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b35\Documents\data\investments\PycharmProjects\Investments\"/>
    </mc:Choice>
  </mc:AlternateContent>
  <xr:revisionPtr revIDLastSave="0" documentId="13_ncr:1_{BF5286AA-DA16-4DE8-A622-AE0913E861B7}" xr6:coauthVersionLast="47" xr6:coauthVersionMax="47" xr10:uidLastSave="{00000000-0000-0000-0000-000000000000}"/>
  <bookViews>
    <workbookView xWindow="57480" yWindow="-120" windowWidth="29040" windowHeight="15720" tabRatio="799" xr2:uid="{00000000-000D-0000-FFFF-FFFF00000000}"/>
  </bookViews>
  <sheets>
    <sheet name="EX5.1.2" sheetId="2" r:id="rId1"/>
    <sheet name="EX5.4.1" sheetId="68" r:id="rId2"/>
    <sheet name="EX7.1.1" sheetId="3" r:id="rId3"/>
    <sheet name="EX7.1.2" sheetId="88" r:id="rId4"/>
    <sheet name="EX7.1.3" sheetId="4" r:id="rId5"/>
    <sheet name="EX7.2.1" sheetId="5" r:id="rId6"/>
    <sheet name="EX7.4.1" sheetId="50" r:id="rId7"/>
    <sheet name="EX8.2.3" sheetId="89" r:id="rId8"/>
    <sheet name="EX9.1.1" sheetId="6" r:id="rId9"/>
    <sheet name="EX9.2.3" sheetId="70" r:id="rId10"/>
    <sheet name="EX9.3.1" sheetId="8" r:id="rId11"/>
    <sheet name="EX9.5.1" sheetId="71" r:id="rId12"/>
    <sheet name="EX9.5.2" sheetId="108" r:id="rId13"/>
    <sheet name="EX10.1.1" sheetId="90" r:id="rId14"/>
    <sheet name="EX10.2.1" sheetId="7" r:id="rId15"/>
    <sheet name="EX10-Vol&amp;Corr" sheetId="54" r:id="rId16"/>
    <sheet name="EX10-Beta_and_Var" sheetId="69" r:id="rId17"/>
    <sheet name="EX10.4.1" sheetId="11" r:id="rId18"/>
    <sheet name="EX11.1.1" sheetId="14" r:id="rId19"/>
    <sheet name="EX11.1.2" sheetId="91" r:id="rId20"/>
    <sheet name="EX11-Efficient Frontier" sheetId="15" r:id="rId21"/>
    <sheet name="EX12-alpha" sheetId="17" r:id="rId22"/>
    <sheet name="EX12-alpha (generalized)" sheetId="18" r:id="rId23"/>
    <sheet name="EX13-Startup" sheetId="92" r:id="rId24"/>
    <sheet name="EX14.1.1" sheetId="22" r:id="rId25"/>
    <sheet name="EX15.3.1" sheetId="93" r:id="rId26"/>
    <sheet name="EX15.3.2" sheetId="63" r:id="rId27"/>
    <sheet name="EX15.3.3" sheetId="95" r:id="rId28"/>
    <sheet name="EX19.2.1" sheetId="79" r:id="rId29"/>
    <sheet name="EX19.2.2" sheetId="80" r:id="rId30"/>
    <sheet name="EX19.2.3" sheetId="66" r:id="rId31"/>
    <sheet name="EX19.3.1" sheetId="81" r:id="rId32"/>
    <sheet name="EX19.2.6" sheetId="82" r:id="rId33"/>
    <sheet name="EX20.2.2" sheetId="83" r:id="rId34"/>
    <sheet name="EX20.3.1" sheetId="86" r:id="rId35"/>
    <sheet name="EX20.3.5" sheetId="96" r:id="rId36"/>
    <sheet name="EX20-PE Metrics" sheetId="97" r:id="rId37"/>
    <sheet name="EX21.5.1" sheetId="78" r:id="rId38"/>
    <sheet name="EX23.1.1" sheetId="75" r:id="rId39"/>
    <sheet name="EX23.2.1" sheetId="102" r:id="rId40"/>
    <sheet name="EX23.3.1" sheetId="101" r:id="rId41"/>
    <sheet name="EX23.3.2" sheetId="103" r:id="rId42"/>
    <sheet name="EX26.2.1" sheetId="48" r:id="rId43"/>
    <sheet name="EX26.6.1" sheetId="104" r:id="rId44"/>
    <sheet name="EX26.6.3" sheetId="105" r:id="rId45"/>
    <sheet name="EX28-Accounting" sheetId="36" r:id="rId46"/>
    <sheet name="EX28-Consensus Model" sheetId="38" r:id="rId47"/>
    <sheet name="EX28-Thesis Model" sheetId="39" r:id="rId48"/>
  </sheets>
  <definedNames>
    <definedName name="CIQWBGuid" hidden="1">"af76dde8-c140-4a3d-8b80-ff681a66c9f3"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45702.9475694444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adj" localSheetId="14" hidden="1">'EX10.2.1'!$C$39:$C$64</definedName>
    <definedName name="solver_adj" localSheetId="20" hidden="1">'EX11-Efficient Frontier'!$B$30:$C$39</definedName>
    <definedName name="solver_adj" localSheetId="21" hidden="1">'EX12-alpha'!$K$44:$L$44</definedName>
    <definedName name="solver_adj" localSheetId="22" hidden="1">'EX12-alpha (generalized)'!$B$18:$C$18</definedName>
    <definedName name="solver_adj" localSheetId="25" hidden="1">'EX15.3.1'!$M$18</definedName>
    <definedName name="solver_adj" localSheetId="26" hidden="1">'EX15.3.2'!$J$18:$M$18</definedName>
    <definedName name="solver_adj" localSheetId="30" hidden="1">'EX19.2.3'!$B$16</definedName>
    <definedName name="solver_adj" localSheetId="32" hidden="1">'EX19.2.6'!$B$24:$K$24</definedName>
    <definedName name="solver_adj" localSheetId="31" hidden="1">'EX19.3.1'!$B$24:$K$24</definedName>
    <definedName name="solver_adj" localSheetId="34" hidden="1">'EX20.3.1'!$B$41:$F$64</definedName>
    <definedName name="solver_adj" localSheetId="41" hidden="1">'EX23.3.2'!$B$30:$C$30</definedName>
    <definedName name="solver_adj" localSheetId="44" hidden="1">'EX26.6.3'!$C$8</definedName>
    <definedName name="solver_adj" localSheetId="46" hidden="1">'EX28-Consensus Model'!$S$24</definedName>
    <definedName name="solver_adj" localSheetId="47" hidden="1">'EX28-Thesis Model'!$S$24</definedName>
    <definedName name="solver_cvg" localSheetId="14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5" hidden="1">0.0001</definedName>
    <definedName name="solver_cvg" localSheetId="26" hidden="1">0.0001</definedName>
    <definedName name="solver_cvg" localSheetId="30" hidden="1">0.0001</definedName>
    <definedName name="solver_cvg" localSheetId="32" hidden="1">0.0001</definedName>
    <definedName name="solver_cvg" localSheetId="31" hidden="1">0.000001</definedName>
    <definedName name="solver_cvg" localSheetId="34" hidden="1">0.0001</definedName>
    <definedName name="solver_cvg" localSheetId="41" hidden="1">0.0001</definedName>
    <definedName name="solver_cvg" localSheetId="44" hidden="1">0.0001</definedName>
    <definedName name="solver_cvg" localSheetId="46" hidden="1">0.0001</definedName>
    <definedName name="solver_cvg" localSheetId="47" hidden="1">0.0001</definedName>
    <definedName name="solver_drv" localSheetId="14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5" hidden="1">1</definedName>
    <definedName name="solver_drv" localSheetId="26" hidden="1">1</definedName>
    <definedName name="solver_drv" localSheetId="30" hidden="1">1</definedName>
    <definedName name="solver_drv" localSheetId="32" hidden="1">2</definedName>
    <definedName name="solver_drv" localSheetId="31" hidden="1">2</definedName>
    <definedName name="solver_drv" localSheetId="34" hidden="1">2</definedName>
    <definedName name="solver_drv" localSheetId="41" hidden="1">1</definedName>
    <definedName name="solver_drv" localSheetId="44" hidden="1">2</definedName>
    <definedName name="solver_drv" localSheetId="46" hidden="1">1</definedName>
    <definedName name="solver_drv" localSheetId="47" hidden="1">1</definedName>
    <definedName name="solver_eng" localSheetId="14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5" hidden="1">1</definedName>
    <definedName name="solver_eng" localSheetId="26" hidden="1">1</definedName>
    <definedName name="solver_eng" localSheetId="30" hidden="1">1</definedName>
    <definedName name="solver_eng" localSheetId="32" hidden="1">1</definedName>
    <definedName name="solver_eng" localSheetId="31" hidden="1">1</definedName>
    <definedName name="solver_eng" localSheetId="34" hidden="1">1</definedName>
    <definedName name="solver_eng" localSheetId="41" hidden="1">1</definedName>
    <definedName name="solver_eng" localSheetId="44" hidden="1">1</definedName>
    <definedName name="solver_eng" localSheetId="46" hidden="1">1</definedName>
    <definedName name="solver_eng" localSheetId="47" hidden="1">1</definedName>
    <definedName name="solver_est" localSheetId="14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5" hidden="1">1</definedName>
    <definedName name="solver_est" localSheetId="26" hidden="1">1</definedName>
    <definedName name="solver_est" localSheetId="30" hidden="1">1</definedName>
    <definedName name="solver_est" localSheetId="32" hidden="1">1</definedName>
    <definedName name="solver_est" localSheetId="31" hidden="1">1</definedName>
    <definedName name="solver_est" localSheetId="34" hidden="1">1</definedName>
    <definedName name="solver_est" localSheetId="41" hidden="1">1</definedName>
    <definedName name="solver_est" localSheetId="44" hidden="1">1</definedName>
    <definedName name="solver_est" localSheetId="46" hidden="1">1</definedName>
    <definedName name="solver_est" localSheetId="47" hidden="1">1</definedName>
    <definedName name="solver_itr" localSheetId="14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5" hidden="1">2147483647</definedName>
    <definedName name="solver_itr" localSheetId="26" hidden="1">2147483647</definedName>
    <definedName name="solver_itr" localSheetId="30" hidden="1">2147483647</definedName>
    <definedName name="solver_itr" localSheetId="32" hidden="1">2147483647</definedName>
    <definedName name="solver_itr" localSheetId="31" hidden="1">2147483647</definedName>
    <definedName name="solver_itr" localSheetId="34" hidden="1">2147483647</definedName>
    <definedName name="solver_itr" localSheetId="41" hidden="1">2147483647</definedName>
    <definedName name="solver_itr" localSheetId="44" hidden="1">2147483647</definedName>
    <definedName name="solver_itr" localSheetId="46" hidden="1">2147483647</definedName>
    <definedName name="solver_itr" localSheetId="47" hidden="1">2147483647</definedName>
    <definedName name="solver_lhs1" localSheetId="14" hidden="1">'EX10.2.1'!$I$5</definedName>
    <definedName name="solver_lhs1" localSheetId="20" hidden="1">'EX11-Efficient Frontier'!$E$30:$E$39</definedName>
    <definedName name="solver_lhs1" localSheetId="32" hidden="1">'EX19.2.6'!$C$41</definedName>
    <definedName name="solver_lhs1" localSheetId="31" hidden="1">'EX19.3.1'!$C$42</definedName>
    <definedName name="solver_lhs1" localSheetId="41" hidden="1">'EX23.3.2'!$F$28</definedName>
    <definedName name="solver_lhs2" localSheetId="14" hidden="1">'EX10.2.1'!$I$6</definedName>
    <definedName name="solver_lhs2" localSheetId="32" hidden="1">'EX19.2.6'!$H$29</definedName>
    <definedName name="solver_lhs2" localSheetId="31" hidden="1">'EX19.3.1'!$I$29</definedName>
    <definedName name="solver_lhs3" localSheetId="14" hidden="1">'EX10.2.1'!$J$5</definedName>
    <definedName name="solver_lhs3" localSheetId="32" hidden="1">'EX19.2.6'!$H$29</definedName>
    <definedName name="solver_lhs3" localSheetId="31" hidden="1">'EX19.3.1'!$L$24</definedName>
    <definedName name="solver_lhs4" localSheetId="14" hidden="1">'EX10.2.1'!$J$6</definedName>
    <definedName name="solver_lhs4" localSheetId="32" hidden="1">'EX19.2.6'!$H$29</definedName>
    <definedName name="solver_lhs5" localSheetId="32" hidden="1">'EX19.2.6'!$H$29</definedName>
    <definedName name="solver_mip" localSheetId="14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5" hidden="1">2147483647</definedName>
    <definedName name="solver_mip" localSheetId="26" hidden="1">2147483647</definedName>
    <definedName name="solver_mip" localSheetId="30" hidden="1">2147483647</definedName>
    <definedName name="solver_mip" localSheetId="32" hidden="1">2147483647</definedName>
    <definedName name="solver_mip" localSheetId="31" hidden="1">2147483647</definedName>
    <definedName name="solver_mip" localSheetId="34" hidden="1">2147483647</definedName>
    <definedName name="solver_mip" localSheetId="41" hidden="1">2147483647</definedName>
    <definedName name="solver_mip" localSheetId="44" hidden="1">2147483647</definedName>
    <definedName name="solver_mip" localSheetId="46" hidden="1">2147483647</definedName>
    <definedName name="solver_mip" localSheetId="47" hidden="1">2147483647</definedName>
    <definedName name="solver_mni" localSheetId="14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5" hidden="1">30</definedName>
    <definedName name="solver_mni" localSheetId="26" hidden="1">30</definedName>
    <definedName name="solver_mni" localSheetId="30" hidden="1">30</definedName>
    <definedName name="solver_mni" localSheetId="32" hidden="1">30</definedName>
    <definedName name="solver_mni" localSheetId="31" hidden="1">30</definedName>
    <definedName name="solver_mni" localSheetId="34" hidden="1">30</definedName>
    <definedName name="solver_mni" localSheetId="41" hidden="1">30</definedName>
    <definedName name="solver_mni" localSheetId="44" hidden="1">30</definedName>
    <definedName name="solver_mni" localSheetId="46" hidden="1">30</definedName>
    <definedName name="solver_mni" localSheetId="47" hidden="1">30</definedName>
    <definedName name="solver_mrt" localSheetId="14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5" hidden="1">0.075</definedName>
    <definedName name="solver_mrt" localSheetId="26" hidden="1">0.075</definedName>
    <definedName name="solver_mrt" localSheetId="30" hidden="1">0.075</definedName>
    <definedName name="solver_mrt" localSheetId="32" hidden="1">0.075</definedName>
    <definedName name="solver_mrt" localSheetId="31" hidden="1">0.075</definedName>
    <definedName name="solver_mrt" localSheetId="34" hidden="1">0.075</definedName>
    <definedName name="solver_mrt" localSheetId="41" hidden="1">0.075</definedName>
    <definedName name="solver_mrt" localSheetId="44" hidden="1">0.075</definedName>
    <definedName name="solver_mrt" localSheetId="46" hidden="1">0.075</definedName>
    <definedName name="solver_mrt" localSheetId="47" hidden="1">0.075</definedName>
    <definedName name="solver_msl" localSheetId="14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5" hidden="1">2</definedName>
    <definedName name="solver_msl" localSheetId="26" hidden="1">2</definedName>
    <definedName name="solver_msl" localSheetId="30" hidden="1">2</definedName>
    <definedName name="solver_msl" localSheetId="32" hidden="1">2</definedName>
    <definedName name="solver_msl" localSheetId="31" hidden="1">2</definedName>
    <definedName name="solver_msl" localSheetId="34" hidden="1">2</definedName>
    <definedName name="solver_msl" localSheetId="41" hidden="1">2</definedName>
    <definedName name="solver_msl" localSheetId="44" hidden="1">2</definedName>
    <definedName name="solver_msl" localSheetId="46" hidden="1">2</definedName>
    <definedName name="solver_msl" localSheetId="47" hidden="1">2</definedName>
    <definedName name="solver_neg" localSheetId="14" hidden="1">2</definedName>
    <definedName name="solver_neg" localSheetId="20" hidden="1">2</definedName>
    <definedName name="solver_neg" localSheetId="21" hidden="1">2</definedName>
    <definedName name="solver_neg" localSheetId="22" hidden="1">2</definedName>
    <definedName name="solver_neg" localSheetId="25" hidden="1">2</definedName>
    <definedName name="solver_neg" localSheetId="26" hidden="1">2</definedName>
    <definedName name="solver_neg" localSheetId="30" hidden="1">2</definedName>
    <definedName name="solver_neg" localSheetId="32" hidden="1">2</definedName>
    <definedName name="solver_neg" localSheetId="31" hidden="1">2</definedName>
    <definedName name="solver_neg" localSheetId="34" hidden="1">2</definedName>
    <definedName name="solver_neg" localSheetId="41" hidden="1">2</definedName>
    <definedName name="solver_neg" localSheetId="44" hidden="1">1</definedName>
    <definedName name="solver_neg" localSheetId="46" hidden="1">2</definedName>
    <definedName name="solver_neg" localSheetId="47" hidden="1">2</definedName>
    <definedName name="solver_nod" localSheetId="14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5" hidden="1">2147483647</definedName>
    <definedName name="solver_nod" localSheetId="26" hidden="1">2147483647</definedName>
    <definedName name="solver_nod" localSheetId="30" hidden="1">2147483647</definedName>
    <definedName name="solver_nod" localSheetId="32" hidden="1">2147483647</definedName>
    <definedName name="solver_nod" localSheetId="31" hidden="1">2147483647</definedName>
    <definedName name="solver_nod" localSheetId="34" hidden="1">2147483647</definedName>
    <definedName name="solver_nod" localSheetId="41" hidden="1">2147483647</definedName>
    <definedName name="solver_nod" localSheetId="44" hidden="1">2147483647</definedName>
    <definedName name="solver_nod" localSheetId="46" hidden="1">2147483647</definedName>
    <definedName name="solver_nod" localSheetId="47" hidden="1">2147483647</definedName>
    <definedName name="solver_num" localSheetId="14" hidden="1">4</definedName>
    <definedName name="solver_num" localSheetId="20" hidden="1">1</definedName>
    <definedName name="solver_num" localSheetId="21" hidden="1">0</definedName>
    <definedName name="solver_num" localSheetId="22" hidden="1">0</definedName>
    <definedName name="solver_num" localSheetId="25" hidden="1">0</definedName>
    <definedName name="solver_num" localSheetId="26" hidden="1">0</definedName>
    <definedName name="solver_num" localSheetId="30" hidden="1">0</definedName>
    <definedName name="solver_num" localSheetId="32" hidden="1">2</definedName>
    <definedName name="solver_num" localSheetId="31" hidden="1">3</definedName>
    <definedName name="solver_num" localSheetId="34" hidden="1">0</definedName>
    <definedName name="solver_num" localSheetId="41" hidden="1">0</definedName>
    <definedName name="solver_num" localSheetId="44" hidden="1">0</definedName>
    <definedName name="solver_num" localSheetId="46" hidden="1">0</definedName>
    <definedName name="solver_num" localSheetId="47" hidden="1">0</definedName>
    <definedName name="solver_nwt" localSheetId="14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5" hidden="1">1</definedName>
    <definedName name="solver_nwt" localSheetId="26" hidden="1">1</definedName>
    <definedName name="solver_nwt" localSheetId="30" hidden="1">1</definedName>
    <definedName name="solver_nwt" localSheetId="32" hidden="1">1</definedName>
    <definedName name="solver_nwt" localSheetId="31" hidden="1">1</definedName>
    <definedName name="solver_nwt" localSheetId="34" hidden="1">1</definedName>
    <definedName name="solver_nwt" localSheetId="41" hidden="1">1</definedName>
    <definedName name="solver_nwt" localSheetId="44" hidden="1">1</definedName>
    <definedName name="solver_nwt" localSheetId="46" hidden="1">1</definedName>
    <definedName name="solver_nwt" localSheetId="47" hidden="1">1</definedName>
    <definedName name="solver_opt" localSheetId="14" hidden="1">'EX10.2.1'!$H$7</definedName>
    <definedName name="solver_opt" localSheetId="20" hidden="1">'EX11-Efficient Frontier'!$F$41</definedName>
    <definedName name="solver_opt" localSheetId="21" hidden="1">'EX12-alpha'!$N$48</definedName>
    <definedName name="solver_opt" localSheetId="22" hidden="1">'EX12-alpha (generalized)'!$B$27</definedName>
    <definedName name="solver_opt" localSheetId="25" hidden="1">'EX15.3.1'!$Q$18</definedName>
    <definedName name="solver_opt" localSheetId="26" hidden="1">'EX15.3.2'!$L$22</definedName>
    <definedName name="solver_opt" localSheetId="30" hidden="1">'EX19.2.3'!$H$11</definedName>
    <definedName name="solver_opt" localSheetId="32" hidden="1">'EX19.2.6'!$G$29</definedName>
    <definedName name="solver_opt" localSheetId="31" hidden="1">'EX19.3.1'!$H$29</definedName>
    <definedName name="solver_opt" localSheetId="34" hidden="1">'EX20.3.1'!$U$71</definedName>
    <definedName name="solver_opt" localSheetId="41" hidden="1">'EX23.3.2'!$F$30</definedName>
    <definedName name="solver_opt" localSheetId="44" hidden="1">'EX26.6.3'!$F$13</definedName>
    <definedName name="solver_opt" localSheetId="46" hidden="1">'EX28-Consensus Model'!$K$29</definedName>
    <definedName name="solver_opt" localSheetId="47" hidden="1">'EX28-Thesis Model'!$K$29</definedName>
    <definedName name="solver_pre" localSheetId="14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5" hidden="1">0.000001</definedName>
    <definedName name="solver_pre" localSheetId="26" hidden="1">0.000001</definedName>
    <definedName name="solver_pre" localSheetId="30" hidden="1">0.000001</definedName>
    <definedName name="solver_pre" localSheetId="32" hidden="1">0.000001</definedName>
    <definedName name="solver_pre" localSheetId="31" hidden="1">0.000000001</definedName>
    <definedName name="solver_pre" localSheetId="34" hidden="1">0.000001</definedName>
    <definedName name="solver_pre" localSheetId="41" hidden="1">0.000001</definedName>
    <definedName name="solver_pre" localSheetId="44" hidden="1">0.000001</definedName>
    <definedName name="solver_pre" localSheetId="46" hidden="1">0.000001</definedName>
    <definedName name="solver_pre" localSheetId="47" hidden="1">0.000001</definedName>
    <definedName name="solver_rbv" localSheetId="14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5" hidden="1">1</definedName>
    <definedName name="solver_rbv" localSheetId="26" hidden="1">1</definedName>
    <definedName name="solver_rbv" localSheetId="30" hidden="1">1</definedName>
    <definedName name="solver_rbv" localSheetId="32" hidden="1">2</definedName>
    <definedName name="solver_rbv" localSheetId="31" hidden="1">2</definedName>
    <definedName name="solver_rbv" localSheetId="34" hidden="1">2</definedName>
    <definedName name="solver_rbv" localSheetId="41" hidden="1">1</definedName>
    <definedName name="solver_rbv" localSheetId="44" hidden="1">2</definedName>
    <definedName name="solver_rbv" localSheetId="46" hidden="1">1</definedName>
    <definedName name="solver_rbv" localSheetId="47" hidden="1">1</definedName>
    <definedName name="solver_rel1" localSheetId="14" hidden="1">2</definedName>
    <definedName name="solver_rel1" localSheetId="20" hidden="1">2</definedName>
    <definedName name="solver_rel1" localSheetId="32" hidden="1">2</definedName>
    <definedName name="solver_rel1" localSheetId="31" hidden="1">2</definedName>
    <definedName name="solver_rel1" localSheetId="41" hidden="1">2</definedName>
    <definedName name="solver_rel2" localSheetId="14" hidden="1">2</definedName>
    <definedName name="solver_rel2" localSheetId="32" hidden="1">2</definedName>
    <definedName name="solver_rel2" localSheetId="31" hidden="1">2</definedName>
    <definedName name="solver_rel3" localSheetId="14" hidden="1">2</definedName>
    <definedName name="solver_rel3" localSheetId="32" hidden="1">2</definedName>
    <definedName name="solver_rel3" localSheetId="31" hidden="1">2</definedName>
    <definedName name="solver_rel4" localSheetId="14" hidden="1">2</definedName>
    <definedName name="solver_rel4" localSheetId="32" hidden="1">2</definedName>
    <definedName name="solver_rel5" localSheetId="32" hidden="1">2</definedName>
    <definedName name="solver_rhs1" localSheetId="14" hidden="1">0</definedName>
    <definedName name="solver_rhs1" localSheetId="20" hidden="1">'EX11-Efficient Frontier'!$G$30:$G$39</definedName>
    <definedName name="solver_rhs1" localSheetId="32" hidden="1">0</definedName>
    <definedName name="solver_rhs1" localSheetId="31" hidden="1">0</definedName>
    <definedName name="solver_rhs1" localSheetId="41" hidden="1">0</definedName>
    <definedName name="solver_rhs2" localSheetId="14" hidden="1">1</definedName>
    <definedName name="solver_rhs2" localSheetId="32" hidden="1">0.05</definedName>
    <definedName name="solver_rhs2" localSheetId="31" hidden="1">0.05</definedName>
    <definedName name="solver_rhs3" localSheetId="14" hidden="1">0</definedName>
    <definedName name="solver_rhs3" localSheetId="32" hidden="1">0.05</definedName>
    <definedName name="solver_rhs3" localSheetId="31" hidden="1">0</definedName>
    <definedName name="solver_rhs4" localSheetId="14" hidden="1">1</definedName>
    <definedName name="solver_rhs4" localSheetId="32" hidden="1">0.05</definedName>
    <definedName name="solver_rhs5" localSheetId="32" hidden="1">0.05</definedName>
    <definedName name="solver_rlx" localSheetId="14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5" hidden="1">2</definedName>
    <definedName name="solver_rlx" localSheetId="26" hidden="1">2</definedName>
    <definedName name="solver_rlx" localSheetId="30" hidden="1">2</definedName>
    <definedName name="solver_rlx" localSheetId="32" hidden="1">2</definedName>
    <definedName name="solver_rlx" localSheetId="31" hidden="1">2</definedName>
    <definedName name="solver_rlx" localSheetId="34" hidden="1">2</definedName>
    <definedName name="solver_rlx" localSheetId="41" hidden="1">2</definedName>
    <definedName name="solver_rlx" localSheetId="44" hidden="1">2</definedName>
    <definedName name="solver_rlx" localSheetId="46" hidden="1">2</definedName>
    <definedName name="solver_rlx" localSheetId="47" hidden="1">2</definedName>
    <definedName name="solver_rsd" localSheetId="14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5" hidden="1">0</definedName>
    <definedName name="solver_rsd" localSheetId="26" hidden="1">0</definedName>
    <definedName name="solver_rsd" localSheetId="30" hidden="1">0</definedName>
    <definedName name="solver_rsd" localSheetId="32" hidden="1">0</definedName>
    <definedName name="solver_rsd" localSheetId="31" hidden="1">0</definedName>
    <definedName name="solver_rsd" localSheetId="34" hidden="1">0</definedName>
    <definedName name="solver_rsd" localSheetId="41" hidden="1">0</definedName>
    <definedName name="solver_rsd" localSheetId="44" hidden="1">0</definedName>
    <definedName name="solver_rsd" localSheetId="46" hidden="1">0</definedName>
    <definedName name="solver_rsd" localSheetId="47" hidden="1">0</definedName>
    <definedName name="solver_scl" localSheetId="14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5" hidden="1">1</definedName>
    <definedName name="solver_scl" localSheetId="26" hidden="1">1</definedName>
    <definedName name="solver_scl" localSheetId="30" hidden="1">1</definedName>
    <definedName name="solver_scl" localSheetId="32" hidden="1">2</definedName>
    <definedName name="solver_scl" localSheetId="31" hidden="1">2</definedName>
    <definedName name="solver_scl" localSheetId="34" hidden="1">2</definedName>
    <definedName name="solver_scl" localSheetId="41" hidden="1">1</definedName>
    <definedName name="solver_scl" localSheetId="44" hidden="1">2</definedName>
    <definedName name="solver_scl" localSheetId="46" hidden="1">1</definedName>
    <definedName name="solver_scl" localSheetId="47" hidden="1">1</definedName>
    <definedName name="solver_sho" localSheetId="14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5" hidden="1">2</definedName>
    <definedName name="solver_sho" localSheetId="26" hidden="1">2</definedName>
    <definedName name="solver_sho" localSheetId="30" hidden="1">2</definedName>
    <definedName name="solver_sho" localSheetId="32" hidden="1">2</definedName>
    <definedName name="solver_sho" localSheetId="31" hidden="1">2</definedName>
    <definedName name="solver_sho" localSheetId="34" hidden="1">2</definedName>
    <definedName name="solver_sho" localSheetId="41" hidden="1">2</definedName>
    <definedName name="solver_sho" localSheetId="44" hidden="1">2</definedName>
    <definedName name="solver_sho" localSheetId="46" hidden="1">2</definedName>
    <definedName name="solver_sho" localSheetId="47" hidden="1">2</definedName>
    <definedName name="solver_ssz" localSheetId="14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5" hidden="1">100</definedName>
    <definedName name="solver_ssz" localSheetId="26" hidden="1">100</definedName>
    <definedName name="solver_ssz" localSheetId="30" hidden="1">100</definedName>
    <definedName name="solver_ssz" localSheetId="32" hidden="1">100</definedName>
    <definedName name="solver_ssz" localSheetId="31" hidden="1">100</definedName>
    <definedName name="solver_ssz" localSheetId="34" hidden="1">100</definedName>
    <definedName name="solver_ssz" localSheetId="41" hidden="1">100</definedName>
    <definedName name="solver_ssz" localSheetId="44" hidden="1">100</definedName>
    <definedName name="solver_ssz" localSheetId="46" hidden="1">100</definedName>
    <definedName name="solver_ssz" localSheetId="47" hidden="1">100</definedName>
    <definedName name="solver_tim" localSheetId="14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5" hidden="1">2147483647</definedName>
    <definedName name="solver_tim" localSheetId="26" hidden="1">2147483647</definedName>
    <definedName name="solver_tim" localSheetId="30" hidden="1">2147483647</definedName>
    <definedName name="solver_tim" localSheetId="32" hidden="1">2147483647</definedName>
    <definedName name="solver_tim" localSheetId="31" hidden="1">2147483647</definedName>
    <definedName name="solver_tim" localSheetId="34" hidden="1">2147483647</definedName>
    <definedName name="solver_tim" localSheetId="41" hidden="1">2147483647</definedName>
    <definedName name="solver_tim" localSheetId="44" hidden="1">2147483647</definedName>
    <definedName name="solver_tim" localSheetId="46" hidden="1">2147483647</definedName>
    <definedName name="solver_tim" localSheetId="47" hidden="1">2147483647</definedName>
    <definedName name="solver_tol" localSheetId="14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5" hidden="1">0.01</definedName>
    <definedName name="solver_tol" localSheetId="26" hidden="1">0.01</definedName>
    <definedName name="solver_tol" localSheetId="30" hidden="1">0.01</definedName>
    <definedName name="solver_tol" localSheetId="32" hidden="1">0.01</definedName>
    <definedName name="solver_tol" localSheetId="31" hidden="1">0.01</definedName>
    <definedName name="solver_tol" localSheetId="34" hidden="1">0.01</definedName>
    <definedName name="solver_tol" localSheetId="41" hidden="1">0.01</definedName>
    <definedName name="solver_tol" localSheetId="44" hidden="1">0.01</definedName>
    <definedName name="solver_tol" localSheetId="46" hidden="1">0.01</definedName>
    <definedName name="solver_tol" localSheetId="47" hidden="1">0.01</definedName>
    <definedName name="solver_typ" localSheetId="14" hidden="1">3</definedName>
    <definedName name="solver_typ" localSheetId="20" hidden="1">2</definedName>
    <definedName name="solver_typ" localSheetId="21" hidden="1">1</definedName>
    <definedName name="solver_typ" localSheetId="22" hidden="1">1</definedName>
    <definedName name="solver_typ" localSheetId="25" hidden="1">1</definedName>
    <definedName name="solver_typ" localSheetId="26" hidden="1">1</definedName>
    <definedName name="solver_typ" localSheetId="30" hidden="1">3</definedName>
    <definedName name="solver_typ" localSheetId="32" hidden="1">1</definedName>
    <definedName name="solver_typ" localSheetId="31" hidden="1">1</definedName>
    <definedName name="solver_typ" localSheetId="34" hidden="1">3</definedName>
    <definedName name="solver_typ" localSheetId="41" hidden="1">3</definedName>
    <definedName name="solver_typ" localSheetId="44" hidden="1">3</definedName>
    <definedName name="solver_typ" localSheetId="46" hidden="1">3</definedName>
    <definedName name="solver_typ" localSheetId="47" hidden="1">3</definedName>
    <definedName name="solver_val" localSheetId="14" hidden="1">0</definedName>
    <definedName name="solver_val" localSheetId="20" hidden="1">-0.1</definedName>
    <definedName name="solver_val" localSheetId="21" hidden="1">0</definedName>
    <definedName name="solver_val" localSheetId="22" hidden="1">0</definedName>
    <definedName name="solver_val" localSheetId="25" hidden="1">0</definedName>
    <definedName name="solver_val" localSheetId="26" hidden="1">0</definedName>
    <definedName name="solver_val" localSheetId="30" hidden="1">1</definedName>
    <definedName name="solver_val" localSheetId="32" hidden="1">0</definedName>
    <definedName name="solver_val" localSheetId="31" hidden="1">0</definedName>
    <definedName name="solver_val" localSheetId="34" hidden="1">1.00234123</definedName>
    <definedName name="solver_val" localSheetId="41" hidden="1">0</definedName>
    <definedName name="solver_val" localSheetId="44" hidden="1">0</definedName>
    <definedName name="solver_val" localSheetId="46" hidden="1">12.15</definedName>
    <definedName name="solver_val" localSheetId="47" hidden="1">12.15</definedName>
    <definedName name="solver_ver" localSheetId="14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5" hidden="1">3</definedName>
    <definedName name="solver_ver" localSheetId="26" hidden="1">3</definedName>
    <definedName name="solver_ver" localSheetId="30" hidden="1">3</definedName>
    <definedName name="solver_ver" localSheetId="32" hidden="1">3</definedName>
    <definedName name="solver_ver" localSheetId="31" hidden="1">3</definedName>
    <definedName name="solver_ver" localSheetId="34" hidden="1">3</definedName>
    <definedName name="solver_ver" localSheetId="41" hidden="1">3</definedName>
    <definedName name="solver_ver" localSheetId="44" hidden="1">3</definedName>
    <definedName name="solver_ver" localSheetId="46" hidden="1">3</definedName>
    <definedName name="solver_ver" localSheetId="4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9" l="1"/>
  <c r="E32" i="2"/>
  <c r="C32" i="2"/>
  <c r="C26" i="2"/>
  <c r="K27" i="38"/>
  <c r="L31" i="39"/>
  <c r="L25" i="39"/>
  <c r="L29" i="39"/>
  <c r="L27" i="39"/>
  <c r="L23" i="39"/>
  <c r="B13" i="39"/>
  <c r="K25" i="38"/>
  <c r="H24" i="38"/>
  <c r="G24" i="38"/>
  <c r="F24" i="38"/>
  <c r="E24" i="38"/>
  <c r="D24" i="38"/>
  <c r="C24" i="38"/>
  <c r="O24" i="38"/>
  <c r="M34" i="36"/>
  <c r="M10" i="36"/>
  <c r="I11" i="36"/>
  <c r="I12" i="36" s="1"/>
  <c r="D18" i="36"/>
  <c r="C7" i="105"/>
  <c r="C10" i="105" s="1"/>
  <c r="C7" i="104"/>
  <c r="C10" i="104"/>
  <c r="C8" i="103"/>
  <c r="B8" i="103"/>
  <c r="C13" i="103"/>
  <c r="B13" i="103"/>
  <c r="B18" i="103"/>
  <c r="F13" i="103"/>
  <c r="F8" i="103"/>
  <c r="D30" i="103"/>
  <c r="B27" i="103"/>
  <c r="C12" i="103"/>
  <c r="B7" i="103"/>
  <c r="C6" i="103"/>
  <c r="C7" i="103" s="1"/>
  <c r="E16" i="102"/>
  <c r="B7" i="102"/>
  <c r="B8" i="102" s="1"/>
  <c r="B13" i="102"/>
  <c r="C6" i="102"/>
  <c r="C7" i="102" s="1"/>
  <c r="C8" i="102" s="1"/>
  <c r="C11" i="105" l="1"/>
  <c r="C14" i="105" s="1"/>
  <c r="C11" i="104"/>
  <c r="C14" i="104" s="1"/>
  <c r="E13" i="103"/>
  <c r="F28" i="103"/>
  <c r="F18" i="103"/>
  <c r="F27" i="103"/>
  <c r="E8" i="103"/>
  <c r="E8" i="102"/>
  <c r="C17" i="103"/>
  <c r="C18" i="103" s="1"/>
  <c r="C12" i="102"/>
  <c r="C13" i="105" l="1"/>
  <c r="F13" i="105" s="1"/>
  <c r="C13" i="104"/>
  <c r="F30" i="103"/>
  <c r="E18" i="103"/>
  <c r="B21" i="103" s="1"/>
  <c r="C13" i="102"/>
  <c r="E13" i="102" s="1"/>
  <c r="E26" i="101" l="1"/>
  <c r="E4" i="101"/>
  <c r="C4" i="101"/>
  <c r="B29" i="101"/>
  <c r="F5" i="101"/>
  <c r="F6" i="101"/>
  <c r="F7" i="101"/>
  <c r="F8" i="101"/>
  <c r="F9" i="101"/>
  <c r="F10" i="101"/>
  <c r="F11" i="101"/>
  <c r="F12" i="101"/>
  <c r="F13" i="101"/>
  <c r="F14" i="101"/>
  <c r="F15" i="101"/>
  <c r="F16" i="101"/>
  <c r="F17" i="101"/>
  <c r="F18" i="101"/>
  <c r="F19" i="101"/>
  <c r="F20" i="101"/>
  <c r="F21" i="101"/>
  <c r="F22" i="101"/>
  <c r="F23" i="101"/>
  <c r="F4" i="101"/>
  <c r="D5" i="101"/>
  <c r="D6" i="101"/>
  <c r="D7" i="101"/>
  <c r="D8" i="101"/>
  <c r="D9" i="101"/>
  <c r="D10" i="101"/>
  <c r="D11" i="101"/>
  <c r="D12" i="101"/>
  <c r="D13" i="101"/>
  <c r="D14" i="101"/>
  <c r="D15" i="101"/>
  <c r="D16" i="101"/>
  <c r="D17" i="101"/>
  <c r="D18" i="101"/>
  <c r="D19" i="101"/>
  <c r="D20" i="101"/>
  <c r="D21" i="101"/>
  <c r="D22" i="101"/>
  <c r="D23" i="101"/>
  <c r="D4" i="101"/>
  <c r="E29" i="75"/>
  <c r="B29" i="75"/>
  <c r="E26" i="75"/>
  <c r="E4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4" i="75"/>
  <c r="C4" i="75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26" i="101" s="1"/>
  <c r="C10" i="101"/>
  <c r="C9" i="101"/>
  <c r="E9" i="101" s="1"/>
  <c r="C8" i="101"/>
  <c r="E8" i="101" s="1"/>
  <c r="C7" i="101"/>
  <c r="E7" i="101" s="1"/>
  <c r="C6" i="101"/>
  <c r="E6" i="101" s="1"/>
  <c r="C5" i="101"/>
  <c r="E5" i="101" s="1"/>
  <c r="F9" i="78"/>
  <c r="F8" i="78"/>
  <c r="F7" i="78"/>
  <c r="F6" i="78"/>
  <c r="F5" i="78"/>
  <c r="F12" i="78"/>
  <c r="D6" i="78"/>
  <c r="G24" i="97"/>
  <c r="G23" i="97"/>
  <c r="G21" i="97"/>
  <c r="G22" i="97" s="1"/>
  <c r="G17" i="97"/>
  <c r="G16" i="97"/>
  <c r="F15" i="97"/>
  <c r="F14" i="97"/>
  <c r="G13" i="97"/>
  <c r="G19" i="97" s="1"/>
  <c r="F12" i="97"/>
  <c r="F11" i="97"/>
  <c r="F10" i="97"/>
  <c r="F9" i="97"/>
  <c r="F8" i="97"/>
  <c r="F7" i="97"/>
  <c r="F6" i="97"/>
  <c r="F5" i="97"/>
  <c r="F4" i="97"/>
  <c r="E20" i="101" l="1"/>
  <c r="E21" i="101"/>
  <c r="E10" i="101"/>
  <c r="E12" i="101"/>
  <c r="E13" i="101"/>
  <c r="E14" i="101"/>
  <c r="E15" i="101"/>
  <c r="E16" i="101"/>
  <c r="E17" i="101"/>
  <c r="E18" i="101"/>
  <c r="E19" i="101"/>
  <c r="E22" i="101"/>
  <c r="E23" i="101"/>
  <c r="E11" i="101"/>
  <c r="H12" i="78"/>
  <c r="F19" i="97"/>
  <c r="L31" i="96" l="1"/>
  <c r="L32" i="96" s="1"/>
  <c r="K32" i="96"/>
  <c r="J32" i="96"/>
  <c r="I32" i="96"/>
  <c r="K27" i="96"/>
  <c r="K31" i="96" s="1"/>
  <c r="J27" i="96"/>
  <c r="J31" i="96" s="1"/>
  <c r="I27" i="96"/>
  <c r="I31" i="96" s="1"/>
  <c r="H23" i="96"/>
  <c r="B39" i="83" l="1"/>
  <c r="B23" i="83"/>
  <c r="C18" i="83"/>
  <c r="B18" i="83"/>
  <c r="K14" i="83"/>
  <c r="K13" i="83"/>
  <c r="J14" i="83"/>
  <c r="J13" i="83"/>
  <c r="H5" i="83"/>
  <c r="G7" i="83"/>
  <c r="H14" i="83"/>
  <c r="H13" i="83"/>
  <c r="G14" i="83"/>
  <c r="G13" i="83"/>
  <c r="C13" i="83"/>
  <c r="B13" i="83"/>
  <c r="F18" i="70"/>
  <c r="F15" i="70"/>
  <c r="G5" i="79"/>
  <c r="B41" i="82" a="1"/>
  <c r="B41" i="82"/>
  <c r="D22" i="82"/>
  <c r="H29" i="81" a="1"/>
  <c r="H29" i="81" s="1"/>
  <c r="C42" i="81" a="1"/>
  <c r="C42" i="81" s="1"/>
  <c r="F27" i="81"/>
  <c r="H20" i="66"/>
  <c r="J17" i="66"/>
  <c r="I17" i="66"/>
  <c r="H17" i="66"/>
  <c r="C33" i="80" a="1"/>
  <c r="C33" i="80"/>
  <c r="B34" i="80" a="1"/>
  <c r="B34" i="80" s="1"/>
  <c r="B33" i="80" a="1"/>
  <c r="B33" i="80" s="1"/>
  <c r="C23" i="80"/>
  <c r="B27" i="80"/>
  <c r="B26" i="80"/>
  <c r="B25" i="80"/>
  <c r="B24" i="80"/>
  <c r="B23" i="80"/>
  <c r="G6" i="79"/>
  <c r="D64" i="79"/>
  <c r="J9" i="95"/>
  <c r="J10" i="95"/>
  <c r="J11" i="95"/>
  <c r="J12" i="95"/>
  <c r="J13" i="95"/>
  <c r="J14" i="95"/>
  <c r="J15" i="95"/>
  <c r="J16" i="95"/>
  <c r="J17" i="95"/>
  <c r="J18" i="95"/>
  <c r="J19" i="95"/>
  <c r="J20" i="95"/>
  <c r="J21" i="95"/>
  <c r="J22" i="95"/>
  <c r="J23" i="95"/>
  <c r="J24" i="95"/>
  <c r="J25" i="95"/>
  <c r="J26" i="95"/>
  <c r="J27" i="95"/>
  <c r="J28" i="95"/>
  <c r="J29" i="95"/>
  <c r="J30" i="95"/>
  <c r="J31" i="95"/>
  <c r="J32" i="95"/>
  <c r="J33" i="95"/>
  <c r="J34" i="95"/>
  <c r="J35" i="95"/>
  <c r="J36" i="95"/>
  <c r="J37" i="95"/>
  <c r="J38" i="95"/>
  <c r="J39" i="95"/>
  <c r="J40" i="95"/>
  <c r="J41" i="95"/>
  <c r="J42" i="95"/>
  <c r="J43" i="95"/>
  <c r="J44" i="95"/>
  <c r="J45" i="95"/>
  <c r="J46" i="95"/>
  <c r="J47" i="95"/>
  <c r="J48" i="95"/>
  <c r="J49" i="95"/>
  <c r="J50" i="95"/>
  <c r="J51" i="95"/>
  <c r="J52" i="95"/>
  <c r="J53" i="95"/>
  <c r="J54" i="95"/>
  <c r="J55" i="95"/>
  <c r="J56" i="95"/>
  <c r="J57" i="95"/>
  <c r="J58" i="95"/>
  <c r="J59" i="95"/>
  <c r="J60" i="95"/>
  <c r="J61" i="95"/>
  <c r="J62" i="95"/>
  <c r="J63" i="95"/>
  <c r="J64" i="95"/>
  <c r="J65" i="95"/>
  <c r="J66" i="95"/>
  <c r="J67" i="95"/>
  <c r="J68" i="95"/>
  <c r="J69" i="95"/>
  <c r="J70" i="95"/>
  <c r="J71" i="95"/>
  <c r="J72" i="95"/>
  <c r="J73" i="95"/>
  <c r="J74" i="95"/>
  <c r="J75" i="95"/>
  <c r="J76" i="95"/>
  <c r="J77" i="95"/>
  <c r="J78" i="95"/>
  <c r="J79" i="95"/>
  <c r="J80" i="95"/>
  <c r="J81" i="95"/>
  <c r="J82" i="95"/>
  <c r="J83" i="95"/>
  <c r="J84" i="95"/>
  <c r="J85" i="95"/>
  <c r="J86" i="95"/>
  <c r="J87" i="95"/>
  <c r="J88" i="95"/>
  <c r="J89" i="95"/>
  <c r="J90" i="95"/>
  <c r="J91" i="95"/>
  <c r="J92" i="95"/>
  <c r="J93" i="95"/>
  <c r="J94" i="95"/>
  <c r="J95" i="95"/>
  <c r="J96" i="95"/>
  <c r="J97" i="95"/>
  <c r="J98" i="95"/>
  <c r="J99" i="95"/>
  <c r="J100" i="95"/>
  <c r="J101" i="95"/>
  <c r="J102" i="95"/>
  <c r="J103" i="95"/>
  <c r="J104" i="95"/>
  <c r="J105" i="95"/>
  <c r="J106" i="95"/>
  <c r="J107" i="95"/>
  <c r="J108" i="95"/>
  <c r="J109" i="95"/>
  <c r="J110" i="95"/>
  <c r="J111" i="95"/>
  <c r="J112" i="95"/>
  <c r="J113" i="95"/>
  <c r="J114" i="95"/>
  <c r="J115" i="95"/>
  <c r="J116" i="95"/>
  <c r="J117" i="95"/>
  <c r="J118" i="95"/>
  <c r="J119" i="95"/>
  <c r="J120" i="95"/>
  <c r="J121" i="95"/>
  <c r="J122" i="95"/>
  <c r="J123" i="95"/>
  <c r="J124" i="95"/>
  <c r="J125" i="95"/>
  <c r="J126" i="95"/>
  <c r="J127" i="95"/>
  <c r="J128" i="95"/>
  <c r="J129" i="95"/>
  <c r="J130" i="95"/>
  <c r="J131" i="95"/>
  <c r="J132" i="95"/>
  <c r="J133" i="95"/>
  <c r="J134" i="95"/>
  <c r="J135" i="95"/>
  <c r="J136" i="95"/>
  <c r="J137" i="95"/>
  <c r="J138" i="95"/>
  <c r="J139" i="95"/>
  <c r="J140" i="95"/>
  <c r="J141" i="95"/>
  <c r="J142" i="95"/>
  <c r="J143" i="95"/>
  <c r="J144" i="95"/>
  <c r="J145" i="95"/>
  <c r="J146" i="95"/>
  <c r="J147" i="95"/>
  <c r="J148" i="95"/>
  <c r="J149" i="95"/>
  <c r="J150" i="95"/>
  <c r="J151" i="95"/>
  <c r="J152" i="95"/>
  <c r="J153" i="95"/>
  <c r="J154" i="95"/>
  <c r="J155" i="95"/>
  <c r="J156" i="95"/>
  <c r="J157" i="95"/>
  <c r="J158" i="95"/>
  <c r="J159" i="95"/>
  <c r="J160" i="95"/>
  <c r="J161" i="95"/>
  <c r="J162" i="95"/>
  <c r="J163" i="95"/>
  <c r="J164" i="95"/>
  <c r="J165" i="95"/>
  <c r="J166" i="95"/>
  <c r="J167" i="95"/>
  <c r="J168" i="95"/>
  <c r="J169" i="95"/>
  <c r="J170" i="95"/>
  <c r="J171" i="95"/>
  <c r="J172" i="95"/>
  <c r="J173" i="95"/>
  <c r="J174" i="95"/>
  <c r="J175" i="95"/>
  <c r="J176" i="95"/>
  <c r="J177" i="95"/>
  <c r="J178" i="95"/>
  <c r="J179" i="95"/>
  <c r="J180" i="95"/>
  <c r="J181" i="95"/>
  <c r="J182" i="95"/>
  <c r="J183" i="95"/>
  <c r="J184" i="95"/>
  <c r="J185" i="95"/>
  <c r="J186" i="95"/>
  <c r="J187" i="95"/>
  <c r="J188" i="95"/>
  <c r="J189" i="95"/>
  <c r="J190" i="95"/>
  <c r="J191" i="95"/>
  <c r="J192" i="95"/>
  <c r="J193" i="95"/>
  <c r="J194" i="95"/>
  <c r="J195" i="95"/>
  <c r="J196" i="95"/>
  <c r="J197" i="95"/>
  <c r="J198" i="95"/>
  <c r="J199" i="95"/>
  <c r="J200" i="95"/>
  <c r="J201" i="95"/>
  <c r="J202" i="95"/>
  <c r="J203" i="95"/>
  <c r="J204" i="95"/>
  <c r="J205" i="95"/>
  <c r="J206" i="95"/>
  <c r="J207" i="95"/>
  <c r="J208" i="95"/>
  <c r="J209" i="95"/>
  <c r="J210" i="95"/>
  <c r="J211" i="95"/>
  <c r="J212" i="95"/>
  <c r="J213" i="95"/>
  <c r="J214" i="95"/>
  <c r="J215" i="95"/>
  <c r="J216" i="95"/>
  <c r="J217" i="95"/>
  <c r="J218" i="95"/>
  <c r="J219" i="95"/>
  <c r="J220" i="95"/>
  <c r="J221" i="95"/>
  <c r="J222" i="95"/>
  <c r="J223" i="95"/>
  <c r="J224" i="95"/>
  <c r="J225" i="95"/>
  <c r="J226" i="95"/>
  <c r="J227" i="95"/>
  <c r="J228" i="95"/>
  <c r="J229" i="95"/>
  <c r="J230" i="95"/>
  <c r="J231" i="95"/>
  <c r="J232" i="95"/>
  <c r="J233" i="95"/>
  <c r="J234" i="95"/>
  <c r="J235" i="95"/>
  <c r="J236" i="95"/>
  <c r="J237" i="95"/>
  <c r="J238" i="95"/>
  <c r="J239" i="95"/>
  <c r="J240" i="95"/>
  <c r="J241" i="95"/>
  <c r="J242" i="95"/>
  <c r="J243" i="95"/>
  <c r="J244" i="95"/>
  <c r="J245" i="95"/>
  <c r="J246" i="95"/>
  <c r="J247" i="95"/>
  <c r="J248" i="95"/>
  <c r="J249" i="95"/>
  <c r="J250" i="95"/>
  <c r="J251" i="95"/>
  <c r="J252" i="95"/>
  <c r="J253" i="95"/>
  <c r="J254" i="95"/>
  <c r="J255" i="95"/>
  <c r="J256" i="95"/>
  <c r="J257" i="95"/>
  <c r="J258" i="95"/>
  <c r="J259" i="95"/>
  <c r="J260" i="95"/>
  <c r="J261" i="95"/>
  <c r="J262" i="95"/>
  <c r="J263" i="95"/>
  <c r="J264" i="95"/>
  <c r="J265" i="95"/>
  <c r="J266" i="95"/>
  <c r="J267" i="95"/>
  <c r="J268" i="95"/>
  <c r="J269" i="95"/>
  <c r="J270" i="95"/>
  <c r="J271" i="95"/>
  <c r="J272" i="95"/>
  <c r="J273" i="95"/>
  <c r="J274" i="95"/>
  <c r="J275" i="95"/>
  <c r="J276" i="95"/>
  <c r="J277" i="95"/>
  <c r="J278" i="95"/>
  <c r="J279" i="95"/>
  <c r="J280" i="95"/>
  <c r="J281" i="95"/>
  <c r="J282" i="95"/>
  <c r="J283" i="95"/>
  <c r="J284" i="95"/>
  <c r="J285" i="95"/>
  <c r="J286" i="95"/>
  <c r="J287" i="95"/>
  <c r="J288" i="95"/>
  <c r="J289" i="95"/>
  <c r="J290" i="95"/>
  <c r="J291" i="95"/>
  <c r="J292" i="95"/>
  <c r="J293" i="95"/>
  <c r="J294" i="95"/>
  <c r="J295" i="95"/>
  <c r="J296" i="95"/>
  <c r="J297" i="95"/>
  <c r="J298" i="95"/>
  <c r="J299" i="95"/>
  <c r="J300" i="95"/>
  <c r="J301" i="95"/>
  <c r="J302" i="95"/>
  <c r="J303" i="95"/>
  <c r="J304" i="95"/>
  <c r="J305" i="95"/>
  <c r="J306" i="95"/>
  <c r="J307" i="95"/>
  <c r="J308" i="95"/>
  <c r="J309" i="95"/>
  <c r="J310" i="95"/>
  <c r="J311" i="95"/>
  <c r="J312" i="95"/>
  <c r="J313" i="95"/>
  <c r="J314" i="95"/>
  <c r="J315" i="95"/>
  <c r="J316" i="95"/>
  <c r="J317" i="95"/>
  <c r="J318" i="95"/>
  <c r="J319" i="95"/>
  <c r="J320" i="95"/>
  <c r="J321" i="95"/>
  <c r="J322" i="95"/>
  <c r="J323" i="95"/>
  <c r="J324" i="95"/>
  <c r="J325" i="95"/>
  <c r="J326" i="95"/>
  <c r="J327" i="95"/>
  <c r="J328" i="95"/>
  <c r="J329" i="95"/>
  <c r="J330" i="95"/>
  <c r="J331" i="95"/>
  <c r="J332" i="95"/>
  <c r="J333" i="95"/>
  <c r="J334" i="95"/>
  <c r="J335" i="95"/>
  <c r="J336" i="95"/>
  <c r="J337" i="95"/>
  <c r="J338" i="95"/>
  <c r="J339" i="95"/>
  <c r="J340" i="95"/>
  <c r="J341" i="95"/>
  <c r="J342" i="95"/>
  <c r="J343" i="95"/>
  <c r="J344" i="95"/>
  <c r="J345" i="95"/>
  <c r="J346" i="95"/>
  <c r="J347" i="95"/>
  <c r="J348" i="95"/>
  <c r="J349" i="95"/>
  <c r="J350" i="95"/>
  <c r="J351" i="95"/>
  <c r="J352" i="95"/>
  <c r="J353" i="95"/>
  <c r="J354" i="95"/>
  <c r="J355" i="95"/>
  <c r="J356" i="95"/>
  <c r="J357" i="95"/>
  <c r="J358" i="95"/>
  <c r="J359" i="95"/>
  <c r="J360" i="95"/>
  <c r="J361" i="95"/>
  <c r="J362" i="95"/>
  <c r="J363" i="95"/>
  <c r="J364" i="95"/>
  <c r="J365" i="95"/>
  <c r="J366" i="95"/>
  <c r="J367" i="95"/>
  <c r="J368" i="95"/>
  <c r="J369" i="95"/>
  <c r="J370" i="95"/>
  <c r="J371" i="95"/>
  <c r="J372" i="95"/>
  <c r="J373" i="95"/>
  <c r="J374" i="95"/>
  <c r="J375" i="95"/>
  <c r="J376" i="95"/>
  <c r="J377" i="95"/>
  <c r="J378" i="95"/>
  <c r="J379" i="95"/>
  <c r="J380" i="95"/>
  <c r="J381" i="95"/>
  <c r="J382" i="95"/>
  <c r="J383" i="95"/>
  <c r="J384" i="95"/>
  <c r="J385" i="95"/>
  <c r="J386" i="95"/>
  <c r="J387" i="95"/>
  <c r="J388" i="95"/>
  <c r="J389" i="95"/>
  <c r="J390" i="95"/>
  <c r="J391" i="95"/>
  <c r="J392" i="95"/>
  <c r="J393" i="95"/>
  <c r="J394" i="95"/>
  <c r="J395" i="95"/>
  <c r="J396" i="95"/>
  <c r="J397" i="95"/>
  <c r="J398" i="95"/>
  <c r="J399" i="95"/>
  <c r="J400" i="95"/>
  <c r="J401" i="95"/>
  <c r="J402" i="95"/>
  <c r="J403" i="95"/>
  <c r="J404" i="95"/>
  <c r="J405" i="95"/>
  <c r="J406" i="95"/>
  <c r="J407" i="95"/>
  <c r="J408" i="95"/>
  <c r="J409" i="95"/>
  <c r="J410" i="95"/>
  <c r="J411" i="95"/>
  <c r="J412" i="95"/>
  <c r="J413" i="95"/>
  <c r="J414" i="95"/>
  <c r="J415" i="95"/>
  <c r="J416" i="95"/>
  <c r="J417" i="95"/>
  <c r="J418" i="95"/>
  <c r="J419" i="95"/>
  <c r="J420" i="95"/>
  <c r="J421" i="95"/>
  <c r="J422" i="95"/>
  <c r="J423" i="95"/>
  <c r="J424" i="95"/>
  <c r="J425" i="95"/>
  <c r="J426" i="95"/>
  <c r="J427" i="95"/>
  <c r="J428" i="95"/>
  <c r="J429" i="95"/>
  <c r="J430" i="95"/>
  <c r="J431" i="95"/>
  <c r="J432" i="95"/>
  <c r="J433" i="95"/>
  <c r="J434" i="95"/>
  <c r="J435" i="95"/>
  <c r="J436" i="95"/>
  <c r="J437" i="95"/>
  <c r="J438" i="95"/>
  <c r="J439" i="95"/>
  <c r="J440" i="95"/>
  <c r="J441" i="95"/>
  <c r="J442" i="95"/>
  <c r="J443" i="95"/>
  <c r="J444" i="95"/>
  <c r="J445" i="95"/>
  <c r="J446" i="95"/>
  <c r="J447" i="95"/>
  <c r="J448" i="95"/>
  <c r="J449" i="95"/>
  <c r="J450" i="95"/>
  <c r="J451" i="95"/>
  <c r="J452" i="95"/>
  <c r="J453" i="95"/>
  <c r="J454" i="95"/>
  <c r="J455" i="95"/>
  <c r="J456" i="95"/>
  <c r="J457" i="95"/>
  <c r="J458" i="95"/>
  <c r="J459" i="95"/>
  <c r="J460" i="95"/>
  <c r="J461" i="95"/>
  <c r="J462" i="95"/>
  <c r="J463" i="95"/>
  <c r="J464" i="95"/>
  <c r="J465" i="95"/>
  <c r="J466" i="95"/>
  <c r="J467" i="95"/>
  <c r="J468" i="95"/>
  <c r="J469" i="95"/>
  <c r="J470" i="95"/>
  <c r="J471" i="95"/>
  <c r="J472" i="95"/>
  <c r="J473" i="95"/>
  <c r="J474" i="95"/>
  <c r="J475" i="95"/>
  <c r="J476" i="95"/>
  <c r="J477" i="95"/>
  <c r="J478" i="95"/>
  <c r="J479" i="95"/>
  <c r="J480" i="95"/>
  <c r="J481" i="95"/>
  <c r="J482" i="95"/>
  <c r="J483" i="95"/>
  <c r="J484" i="95"/>
  <c r="J485" i="95"/>
  <c r="J486" i="95"/>
  <c r="J487" i="95"/>
  <c r="J488" i="95"/>
  <c r="J489" i="95"/>
  <c r="J490" i="95"/>
  <c r="J491" i="95"/>
  <c r="J492" i="95"/>
  <c r="J493" i="95"/>
  <c r="J494" i="95"/>
  <c r="J495" i="95"/>
  <c r="J496" i="95"/>
  <c r="J497" i="95"/>
  <c r="J498" i="95"/>
  <c r="J499" i="95"/>
  <c r="J500" i="95"/>
  <c r="J501" i="95"/>
  <c r="J502" i="95"/>
  <c r="J503" i="95"/>
  <c r="J504" i="95"/>
  <c r="J505" i="95"/>
  <c r="J506" i="95"/>
  <c r="J507" i="95"/>
  <c r="J508" i="95"/>
  <c r="J509" i="95"/>
  <c r="J510" i="95"/>
  <c r="J511" i="95"/>
  <c r="J512" i="95"/>
  <c r="J513" i="95"/>
  <c r="J514" i="95"/>
  <c r="J515" i="95"/>
  <c r="J516" i="95"/>
  <c r="J517" i="95"/>
  <c r="J518" i="95"/>
  <c r="J519" i="95"/>
  <c r="J520" i="95"/>
  <c r="J521" i="95"/>
  <c r="J522" i="95"/>
  <c r="J523" i="95"/>
  <c r="J524" i="95"/>
  <c r="J525" i="95"/>
  <c r="J526" i="95"/>
  <c r="J527" i="95"/>
  <c r="J528" i="95"/>
  <c r="J529" i="95"/>
  <c r="J530" i="95"/>
  <c r="J531" i="95"/>
  <c r="J532" i="95"/>
  <c r="J533" i="95"/>
  <c r="J534" i="95"/>
  <c r="J535" i="95"/>
  <c r="J536" i="95"/>
  <c r="J537" i="95"/>
  <c r="J538" i="95"/>
  <c r="J539" i="95"/>
  <c r="J540" i="95"/>
  <c r="J541" i="95"/>
  <c r="J542" i="95"/>
  <c r="J543" i="95"/>
  <c r="J544" i="95"/>
  <c r="J545" i="95"/>
  <c r="J546" i="95"/>
  <c r="J547" i="95"/>
  <c r="J548" i="95"/>
  <c r="J549" i="95"/>
  <c r="J550" i="95"/>
  <c r="J551" i="95"/>
  <c r="J552" i="95"/>
  <c r="J553" i="95"/>
  <c r="J554" i="95"/>
  <c r="J555" i="95"/>
  <c r="J556" i="95"/>
  <c r="J557" i="95"/>
  <c r="J558" i="95"/>
  <c r="J559" i="95"/>
  <c r="J560" i="95"/>
  <c r="J561" i="95"/>
  <c r="J562" i="95"/>
  <c r="J563" i="95"/>
  <c r="J564" i="95"/>
  <c r="J565" i="95"/>
  <c r="J566" i="95"/>
  <c r="J567" i="95"/>
  <c r="J568" i="95"/>
  <c r="J569" i="95"/>
  <c r="J570" i="95"/>
  <c r="J571" i="95"/>
  <c r="J572" i="95"/>
  <c r="J573" i="95"/>
  <c r="J574" i="95"/>
  <c r="J575" i="95"/>
  <c r="J576" i="95"/>
  <c r="J577" i="95"/>
  <c r="J578" i="95"/>
  <c r="J579" i="95"/>
  <c r="J580" i="95"/>
  <c r="J581" i="95"/>
  <c r="J582" i="95"/>
  <c r="J583" i="95"/>
  <c r="J584" i="95"/>
  <c r="J585" i="95"/>
  <c r="J586" i="95"/>
  <c r="J587" i="95"/>
  <c r="J588" i="95"/>
  <c r="J589" i="95"/>
  <c r="J590" i="95"/>
  <c r="J591" i="95"/>
  <c r="J592" i="95"/>
  <c r="J593" i="95"/>
  <c r="J594" i="95"/>
  <c r="J595" i="95"/>
  <c r="J596" i="95"/>
  <c r="J597" i="95"/>
  <c r="J598" i="95"/>
  <c r="J599" i="95"/>
  <c r="J600" i="95"/>
  <c r="J601" i="95"/>
  <c r="J602" i="95"/>
  <c r="J603" i="95"/>
  <c r="J604" i="95"/>
  <c r="J605" i="95"/>
  <c r="J606" i="95"/>
  <c r="J607" i="95"/>
  <c r="J608" i="95"/>
  <c r="J609" i="95"/>
  <c r="J610" i="95"/>
  <c r="J611" i="95"/>
  <c r="J612" i="95"/>
  <c r="J613" i="95"/>
  <c r="J614" i="95"/>
  <c r="J615" i="95"/>
  <c r="J616" i="95"/>
  <c r="J617" i="95"/>
  <c r="J618" i="95"/>
  <c r="J619" i="95"/>
  <c r="J620" i="95"/>
  <c r="J621" i="95"/>
  <c r="J622" i="95"/>
  <c r="J623" i="95"/>
  <c r="J624" i="95"/>
  <c r="J625" i="95"/>
  <c r="J626" i="95"/>
  <c r="J627" i="95"/>
  <c r="J628" i="95"/>
  <c r="J629" i="95"/>
  <c r="J630" i="95"/>
  <c r="J631" i="95"/>
  <c r="J632" i="95"/>
  <c r="J633" i="95"/>
  <c r="J634" i="95"/>
  <c r="J635" i="95"/>
  <c r="J636" i="95"/>
  <c r="J637" i="95"/>
  <c r="J638" i="95"/>
  <c r="J639" i="95"/>
  <c r="J640" i="95"/>
  <c r="J641" i="95"/>
  <c r="J642" i="95"/>
  <c r="J643" i="95"/>
  <c r="J644" i="95"/>
  <c r="J645" i="95"/>
  <c r="J646" i="95"/>
  <c r="J647" i="95"/>
  <c r="J648" i="95"/>
  <c r="J649" i="95"/>
  <c r="J650" i="95"/>
  <c r="J651" i="95"/>
  <c r="J652" i="95"/>
  <c r="J653" i="95"/>
  <c r="J654" i="95"/>
  <c r="J655" i="95"/>
  <c r="J656" i="95"/>
  <c r="J657" i="95"/>
  <c r="J658" i="95"/>
  <c r="J659" i="95"/>
  <c r="J660" i="95"/>
  <c r="J661" i="95"/>
  <c r="J662" i="95"/>
  <c r="J663" i="95"/>
  <c r="J664" i="95"/>
  <c r="J665" i="95"/>
  <c r="J666" i="95"/>
  <c r="J667" i="95"/>
  <c r="J668" i="95"/>
  <c r="J669" i="95"/>
  <c r="J670" i="95"/>
  <c r="J671" i="95"/>
  <c r="J672" i="95"/>
  <c r="J673" i="95"/>
  <c r="J674" i="95"/>
  <c r="J675" i="95"/>
  <c r="J676" i="95"/>
  <c r="J677" i="95"/>
  <c r="J678" i="95"/>
  <c r="J679" i="95"/>
  <c r="J680" i="95"/>
  <c r="J681" i="95"/>
  <c r="J682" i="95"/>
  <c r="J683" i="95"/>
  <c r="J684" i="95"/>
  <c r="J685" i="95"/>
  <c r="J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260" i="95"/>
  <c r="M261" i="95"/>
  <c r="M262" i="95"/>
  <c r="M263" i="95"/>
  <c r="M264" i="95"/>
  <c r="M265" i="95"/>
  <c r="M266" i="95"/>
  <c r="M267" i="95"/>
  <c r="M268" i="95"/>
  <c r="M269" i="95"/>
  <c r="M270" i="95"/>
  <c r="M271" i="95"/>
  <c r="M272" i="95"/>
  <c r="M273" i="95"/>
  <c r="M274" i="95"/>
  <c r="M275" i="95"/>
  <c r="M276" i="95"/>
  <c r="M277" i="95"/>
  <c r="M278" i="95"/>
  <c r="M279" i="95"/>
  <c r="M280" i="95"/>
  <c r="M281" i="95"/>
  <c r="M282" i="95"/>
  <c r="M283" i="95"/>
  <c r="M284" i="95"/>
  <c r="M285" i="95"/>
  <c r="M286" i="95"/>
  <c r="M287" i="95"/>
  <c r="M288" i="95"/>
  <c r="M289" i="95"/>
  <c r="M290" i="95"/>
  <c r="M291" i="95"/>
  <c r="M292" i="95"/>
  <c r="M293" i="95"/>
  <c r="M294" i="95"/>
  <c r="M295" i="95"/>
  <c r="M296" i="95"/>
  <c r="M297" i="95"/>
  <c r="M298" i="95"/>
  <c r="M299" i="95"/>
  <c r="M300" i="95"/>
  <c r="M301" i="95"/>
  <c r="M302" i="95"/>
  <c r="M303" i="95"/>
  <c r="M304" i="95"/>
  <c r="M305" i="95"/>
  <c r="M306" i="95"/>
  <c r="M307" i="95"/>
  <c r="M308" i="95"/>
  <c r="M309" i="95"/>
  <c r="M310" i="95"/>
  <c r="M311" i="95"/>
  <c r="M312" i="95"/>
  <c r="M313" i="95"/>
  <c r="M314" i="95"/>
  <c r="M315" i="95"/>
  <c r="M316" i="95"/>
  <c r="M317" i="95"/>
  <c r="M318" i="95"/>
  <c r="M319" i="95"/>
  <c r="M320" i="95"/>
  <c r="M321" i="95"/>
  <c r="M322" i="95"/>
  <c r="M323" i="95"/>
  <c r="M324" i="95"/>
  <c r="M325" i="95"/>
  <c r="M326" i="95"/>
  <c r="M327" i="95"/>
  <c r="M328" i="95"/>
  <c r="M329" i="95"/>
  <c r="M330" i="95"/>
  <c r="M331" i="95"/>
  <c r="M332" i="95"/>
  <c r="M333" i="95"/>
  <c r="M334" i="95"/>
  <c r="M335" i="95"/>
  <c r="M336" i="95"/>
  <c r="M337" i="95"/>
  <c r="M338" i="95"/>
  <c r="M339" i="95"/>
  <c r="M340" i="95"/>
  <c r="M341" i="95"/>
  <c r="M342" i="95"/>
  <c r="M343" i="95"/>
  <c r="M344" i="95"/>
  <c r="M345" i="95"/>
  <c r="M346" i="95"/>
  <c r="M347" i="95"/>
  <c r="M348" i="95"/>
  <c r="M349" i="95"/>
  <c r="M350" i="95"/>
  <c r="M351" i="95"/>
  <c r="M352" i="95"/>
  <c r="M353" i="95"/>
  <c r="M354" i="95"/>
  <c r="M355" i="95"/>
  <c r="M356" i="95"/>
  <c r="M357" i="95"/>
  <c r="M358" i="95"/>
  <c r="M359" i="95"/>
  <c r="M360" i="95"/>
  <c r="M361" i="95"/>
  <c r="M362" i="95"/>
  <c r="M363" i="95"/>
  <c r="M364" i="95"/>
  <c r="M365" i="95"/>
  <c r="M366" i="95"/>
  <c r="M367" i="95"/>
  <c r="M368" i="95"/>
  <c r="M369" i="95"/>
  <c r="M370" i="95"/>
  <c r="M371" i="95"/>
  <c r="M372" i="95"/>
  <c r="M373" i="95"/>
  <c r="M374" i="95"/>
  <c r="M375" i="95"/>
  <c r="M376" i="95"/>
  <c r="M377" i="95"/>
  <c r="M378" i="95"/>
  <c r="M379" i="95"/>
  <c r="M380" i="95"/>
  <c r="M381" i="95"/>
  <c r="M382" i="95"/>
  <c r="M383" i="95"/>
  <c r="M384" i="95"/>
  <c r="M385" i="95"/>
  <c r="M386" i="95"/>
  <c r="M387" i="95"/>
  <c r="M388" i="95"/>
  <c r="M389" i="95"/>
  <c r="M390" i="95"/>
  <c r="M391" i="95"/>
  <c r="M392" i="95"/>
  <c r="M393" i="95"/>
  <c r="M394" i="95"/>
  <c r="M395" i="95"/>
  <c r="M396" i="95"/>
  <c r="M397" i="95"/>
  <c r="M398" i="95"/>
  <c r="M399" i="95"/>
  <c r="M400" i="95"/>
  <c r="M401" i="95"/>
  <c r="M402" i="95"/>
  <c r="M403" i="95"/>
  <c r="M404" i="95"/>
  <c r="M405" i="95"/>
  <c r="M406" i="95"/>
  <c r="M407" i="95"/>
  <c r="M408" i="95"/>
  <c r="M409" i="95"/>
  <c r="M410" i="95"/>
  <c r="M411" i="95"/>
  <c r="M412" i="95"/>
  <c r="M413" i="95"/>
  <c r="M414" i="95"/>
  <c r="M415" i="95"/>
  <c r="M416" i="95"/>
  <c r="M417" i="95"/>
  <c r="M418" i="95"/>
  <c r="M419" i="95"/>
  <c r="M420" i="95"/>
  <c r="M421" i="95"/>
  <c r="M422" i="95"/>
  <c r="M423" i="95"/>
  <c r="M424" i="95"/>
  <c r="M425" i="95"/>
  <c r="M426" i="95"/>
  <c r="M427" i="95"/>
  <c r="M428" i="95"/>
  <c r="M429" i="95"/>
  <c r="M430" i="95"/>
  <c r="M431" i="95"/>
  <c r="M432" i="95"/>
  <c r="M433" i="95"/>
  <c r="M434" i="95"/>
  <c r="M435" i="95"/>
  <c r="M436" i="95"/>
  <c r="M437" i="95"/>
  <c r="M438" i="95"/>
  <c r="M439" i="95"/>
  <c r="M440" i="95"/>
  <c r="M441" i="95"/>
  <c r="M442" i="95"/>
  <c r="M443" i="95"/>
  <c r="M444" i="95"/>
  <c r="M445" i="95"/>
  <c r="M446" i="95"/>
  <c r="M447" i="95"/>
  <c r="M448" i="95"/>
  <c r="M449" i="95"/>
  <c r="M450" i="95"/>
  <c r="M451" i="95"/>
  <c r="M452" i="95"/>
  <c r="M453" i="95"/>
  <c r="M454" i="95"/>
  <c r="M455" i="95"/>
  <c r="M456" i="95"/>
  <c r="M457" i="95"/>
  <c r="M458" i="95"/>
  <c r="M459" i="95"/>
  <c r="M460" i="95"/>
  <c r="M461" i="95"/>
  <c r="M462" i="95"/>
  <c r="M463" i="95"/>
  <c r="M464" i="95"/>
  <c r="M465" i="95"/>
  <c r="M466" i="95"/>
  <c r="M467" i="95"/>
  <c r="M468" i="95"/>
  <c r="M469" i="95"/>
  <c r="M470" i="95"/>
  <c r="M471" i="95"/>
  <c r="M472" i="95"/>
  <c r="M473" i="95"/>
  <c r="M474" i="95"/>
  <c r="M475" i="95"/>
  <c r="M476" i="95"/>
  <c r="M477" i="95"/>
  <c r="M478" i="95"/>
  <c r="M479" i="95"/>
  <c r="M480" i="95"/>
  <c r="M481" i="95"/>
  <c r="M482" i="95"/>
  <c r="M483" i="95"/>
  <c r="M484" i="95"/>
  <c r="M485" i="95"/>
  <c r="M486" i="95"/>
  <c r="M487" i="95"/>
  <c r="M488" i="95"/>
  <c r="M489" i="95"/>
  <c r="M490" i="95"/>
  <c r="M491" i="95"/>
  <c r="M492" i="95"/>
  <c r="M493" i="95"/>
  <c r="M494" i="95"/>
  <c r="M495" i="95"/>
  <c r="M496" i="95"/>
  <c r="M497" i="95"/>
  <c r="M498" i="95"/>
  <c r="M499" i="95"/>
  <c r="M500" i="95"/>
  <c r="M501" i="95"/>
  <c r="M502" i="95"/>
  <c r="M503" i="95"/>
  <c r="M504" i="95"/>
  <c r="M505" i="95"/>
  <c r="M506" i="95"/>
  <c r="M507" i="95"/>
  <c r="M508" i="95"/>
  <c r="M509" i="95"/>
  <c r="M510" i="95"/>
  <c r="M511" i="95"/>
  <c r="M512" i="95"/>
  <c r="M513" i="95"/>
  <c r="M514" i="95"/>
  <c r="M515" i="95"/>
  <c r="M516" i="95"/>
  <c r="M517" i="95"/>
  <c r="M518" i="95"/>
  <c r="M519" i="95"/>
  <c r="M520" i="95"/>
  <c r="M521" i="95"/>
  <c r="M522" i="95"/>
  <c r="M523" i="95"/>
  <c r="M524" i="95"/>
  <c r="M525" i="95"/>
  <c r="M526" i="95"/>
  <c r="M527" i="95"/>
  <c r="M528" i="95"/>
  <c r="M529" i="95"/>
  <c r="M530" i="95"/>
  <c r="M531" i="95"/>
  <c r="M532" i="95"/>
  <c r="M533" i="95"/>
  <c r="M534" i="95"/>
  <c r="M535" i="95"/>
  <c r="M536" i="95"/>
  <c r="M537" i="95"/>
  <c r="M538" i="95"/>
  <c r="M539" i="95"/>
  <c r="M540" i="95"/>
  <c r="M541" i="95"/>
  <c r="M542" i="95"/>
  <c r="M543" i="95"/>
  <c r="M544" i="95"/>
  <c r="M545" i="95"/>
  <c r="M546" i="95"/>
  <c r="M547" i="95"/>
  <c r="M548" i="95"/>
  <c r="M549" i="95"/>
  <c r="M550" i="95"/>
  <c r="M551" i="95"/>
  <c r="M552" i="95"/>
  <c r="M553" i="95"/>
  <c r="M554" i="95"/>
  <c r="M555" i="95"/>
  <c r="M556" i="95"/>
  <c r="M557" i="95"/>
  <c r="M558" i="95"/>
  <c r="M559" i="95"/>
  <c r="M560" i="95"/>
  <c r="M561" i="95"/>
  <c r="M562" i="95"/>
  <c r="M563" i="95"/>
  <c r="M564" i="95"/>
  <c r="M565" i="95"/>
  <c r="M566" i="95"/>
  <c r="M567" i="95"/>
  <c r="M568" i="95"/>
  <c r="M569" i="95"/>
  <c r="M570" i="95"/>
  <c r="M571" i="95"/>
  <c r="M572" i="95"/>
  <c r="M573" i="95"/>
  <c r="M574" i="95"/>
  <c r="M575" i="95"/>
  <c r="M576" i="95"/>
  <c r="M577" i="95"/>
  <c r="M578" i="95"/>
  <c r="M579" i="95"/>
  <c r="M580" i="95"/>
  <c r="M581" i="95"/>
  <c r="M582" i="95"/>
  <c r="M583" i="95"/>
  <c r="M584" i="95"/>
  <c r="M585" i="95"/>
  <c r="M586" i="95"/>
  <c r="M587" i="95"/>
  <c r="M588" i="95"/>
  <c r="M589" i="95"/>
  <c r="M590" i="95"/>
  <c r="M591" i="95"/>
  <c r="M592" i="95"/>
  <c r="M593" i="95"/>
  <c r="M594" i="95"/>
  <c r="M595" i="95"/>
  <c r="M596" i="95"/>
  <c r="M597" i="95"/>
  <c r="M598" i="95"/>
  <c r="M599" i="95"/>
  <c r="M600" i="95"/>
  <c r="M601" i="95"/>
  <c r="M602" i="95"/>
  <c r="M603" i="95"/>
  <c r="M604" i="95"/>
  <c r="M605" i="95"/>
  <c r="M606" i="95"/>
  <c r="M607" i="95"/>
  <c r="M608" i="95"/>
  <c r="M609" i="95"/>
  <c r="M610" i="95"/>
  <c r="M611" i="95"/>
  <c r="M612" i="95"/>
  <c r="M613" i="95"/>
  <c r="M614" i="95"/>
  <c r="M615" i="95"/>
  <c r="M616" i="95"/>
  <c r="M617" i="95"/>
  <c r="M618" i="95"/>
  <c r="M619" i="95"/>
  <c r="M620" i="95"/>
  <c r="M621" i="95"/>
  <c r="M622" i="95"/>
  <c r="M623" i="95"/>
  <c r="M624" i="95"/>
  <c r="M625" i="95"/>
  <c r="M626" i="95"/>
  <c r="M627" i="95"/>
  <c r="M628" i="95"/>
  <c r="M629" i="95"/>
  <c r="M630" i="95"/>
  <c r="M631" i="95"/>
  <c r="M632" i="95"/>
  <c r="M633" i="95"/>
  <c r="M634" i="95"/>
  <c r="M635" i="95"/>
  <c r="M636" i="95"/>
  <c r="M637" i="95"/>
  <c r="M638" i="95"/>
  <c r="M639" i="95"/>
  <c r="M640" i="95"/>
  <c r="M641" i="95"/>
  <c r="M642" i="95"/>
  <c r="M643" i="95"/>
  <c r="M644" i="95"/>
  <c r="M645" i="95"/>
  <c r="M646" i="95"/>
  <c r="M647" i="95"/>
  <c r="M648" i="95"/>
  <c r="M649" i="95"/>
  <c r="M650" i="95"/>
  <c r="M651" i="95"/>
  <c r="M652" i="95"/>
  <c r="M653" i="95"/>
  <c r="M654" i="95"/>
  <c r="M655" i="95"/>
  <c r="M656" i="95"/>
  <c r="M657" i="95"/>
  <c r="M658" i="95"/>
  <c r="M659" i="95"/>
  <c r="M660" i="95"/>
  <c r="M661" i="95"/>
  <c r="M662" i="95"/>
  <c r="M663" i="95"/>
  <c r="M664" i="95"/>
  <c r="M665" i="95"/>
  <c r="M666" i="95"/>
  <c r="M667" i="95"/>
  <c r="M668" i="95"/>
  <c r="M669" i="95"/>
  <c r="M670" i="95"/>
  <c r="M671" i="95"/>
  <c r="M672" i="95"/>
  <c r="M673" i="95"/>
  <c r="M674" i="95"/>
  <c r="M675" i="95"/>
  <c r="M676" i="95"/>
  <c r="M677" i="95"/>
  <c r="M678" i="95"/>
  <c r="M679" i="95"/>
  <c r="M680" i="95"/>
  <c r="M681" i="95"/>
  <c r="M682" i="95"/>
  <c r="M683" i="95"/>
  <c r="M684" i="95"/>
  <c r="M685" i="95"/>
  <c r="N9" i="95"/>
  <c r="O9" i="95"/>
  <c r="P9" i="95"/>
  <c r="N10" i="95"/>
  <c r="O10" i="95"/>
  <c r="P10" i="95"/>
  <c r="N11" i="95"/>
  <c r="O11" i="95"/>
  <c r="P11" i="95"/>
  <c r="N12" i="95"/>
  <c r="O12" i="95"/>
  <c r="P12" i="95"/>
  <c r="N13" i="95"/>
  <c r="O13" i="95"/>
  <c r="P13" i="95"/>
  <c r="N14" i="95"/>
  <c r="O14" i="95"/>
  <c r="P14" i="95"/>
  <c r="N15" i="95"/>
  <c r="O15" i="95"/>
  <c r="P15" i="95"/>
  <c r="N16" i="95"/>
  <c r="O16" i="95"/>
  <c r="P16" i="95"/>
  <c r="N17" i="95"/>
  <c r="O17" i="95"/>
  <c r="P17" i="95"/>
  <c r="N18" i="95"/>
  <c r="O18" i="95"/>
  <c r="P18" i="95"/>
  <c r="N19" i="95"/>
  <c r="O19" i="95"/>
  <c r="P19" i="95"/>
  <c r="N20" i="95"/>
  <c r="O20" i="95"/>
  <c r="P20" i="95"/>
  <c r="N21" i="95"/>
  <c r="O21" i="95"/>
  <c r="P21" i="95"/>
  <c r="N22" i="95"/>
  <c r="O22" i="95"/>
  <c r="P22" i="95"/>
  <c r="N23" i="95"/>
  <c r="O23" i="95"/>
  <c r="P23" i="95"/>
  <c r="N24" i="95"/>
  <c r="O24" i="95"/>
  <c r="P24" i="95"/>
  <c r="N25" i="95"/>
  <c r="O25" i="95"/>
  <c r="P25" i="95"/>
  <c r="N26" i="95"/>
  <c r="O26" i="95"/>
  <c r="P26" i="95"/>
  <c r="N27" i="95"/>
  <c r="O27" i="95"/>
  <c r="P27" i="95"/>
  <c r="N28" i="95"/>
  <c r="O28" i="95"/>
  <c r="P28" i="95"/>
  <c r="N29" i="95"/>
  <c r="O29" i="95"/>
  <c r="P29" i="95"/>
  <c r="N30" i="95"/>
  <c r="O30" i="95"/>
  <c r="P30" i="95"/>
  <c r="N31" i="95"/>
  <c r="O31" i="95"/>
  <c r="P31" i="95"/>
  <c r="N32" i="95"/>
  <c r="O32" i="95"/>
  <c r="P32" i="95"/>
  <c r="N33" i="95"/>
  <c r="O33" i="95"/>
  <c r="P33" i="95"/>
  <c r="N34" i="95"/>
  <c r="O34" i="95"/>
  <c r="P34" i="95"/>
  <c r="N35" i="95"/>
  <c r="O35" i="95"/>
  <c r="P35" i="95"/>
  <c r="N36" i="95"/>
  <c r="O36" i="95"/>
  <c r="P36" i="95"/>
  <c r="N37" i="95"/>
  <c r="O37" i="95"/>
  <c r="P37" i="95"/>
  <c r="N38" i="95"/>
  <c r="O38" i="95"/>
  <c r="P38" i="95"/>
  <c r="N39" i="95"/>
  <c r="O39" i="95"/>
  <c r="P39" i="95"/>
  <c r="N40" i="95"/>
  <c r="O40" i="95"/>
  <c r="P40" i="95"/>
  <c r="N41" i="95"/>
  <c r="O41" i="95"/>
  <c r="P41" i="95"/>
  <c r="N42" i="95"/>
  <c r="O42" i="95"/>
  <c r="P42" i="95"/>
  <c r="N43" i="95"/>
  <c r="O43" i="95"/>
  <c r="P43" i="95"/>
  <c r="N44" i="95"/>
  <c r="O44" i="95"/>
  <c r="P44" i="95"/>
  <c r="N45" i="95"/>
  <c r="O45" i="95"/>
  <c r="P45" i="95"/>
  <c r="N46" i="95"/>
  <c r="O46" i="95"/>
  <c r="P46" i="95"/>
  <c r="N47" i="95"/>
  <c r="O47" i="95"/>
  <c r="P47" i="95"/>
  <c r="N48" i="95"/>
  <c r="O48" i="95"/>
  <c r="P48" i="95"/>
  <c r="N49" i="95"/>
  <c r="O49" i="95"/>
  <c r="P49" i="95"/>
  <c r="N50" i="95"/>
  <c r="O50" i="95"/>
  <c r="P50" i="95"/>
  <c r="N51" i="95"/>
  <c r="O51" i="95"/>
  <c r="P51" i="95"/>
  <c r="N52" i="95"/>
  <c r="O52" i="95"/>
  <c r="P52" i="95"/>
  <c r="N53" i="95"/>
  <c r="O53" i="95"/>
  <c r="P53" i="95"/>
  <c r="N54" i="95"/>
  <c r="O54" i="95"/>
  <c r="P54" i="95"/>
  <c r="N55" i="95"/>
  <c r="O55" i="95"/>
  <c r="P55" i="95"/>
  <c r="N56" i="95"/>
  <c r="O56" i="95"/>
  <c r="P56" i="95"/>
  <c r="N57" i="95"/>
  <c r="O57" i="95"/>
  <c r="P57" i="95"/>
  <c r="N58" i="95"/>
  <c r="O58" i="95"/>
  <c r="P58" i="95"/>
  <c r="N59" i="95"/>
  <c r="O59" i="95"/>
  <c r="P59" i="95"/>
  <c r="N60" i="95"/>
  <c r="O60" i="95"/>
  <c r="P60" i="95"/>
  <c r="N61" i="95"/>
  <c r="O61" i="95"/>
  <c r="P61" i="95"/>
  <c r="N62" i="95"/>
  <c r="O62" i="95"/>
  <c r="P62" i="95"/>
  <c r="N63" i="95"/>
  <c r="O63" i="95"/>
  <c r="P63" i="95"/>
  <c r="N64" i="95"/>
  <c r="O64" i="95"/>
  <c r="P64" i="95"/>
  <c r="N65" i="95"/>
  <c r="O65" i="95"/>
  <c r="P65" i="95"/>
  <c r="N66" i="95"/>
  <c r="O66" i="95"/>
  <c r="P66" i="95"/>
  <c r="N67" i="95"/>
  <c r="O67" i="95"/>
  <c r="P67" i="95"/>
  <c r="N68" i="95"/>
  <c r="O68" i="95"/>
  <c r="P68" i="95"/>
  <c r="N69" i="95"/>
  <c r="O69" i="95"/>
  <c r="P69" i="95"/>
  <c r="N70" i="95"/>
  <c r="O70" i="95"/>
  <c r="P70" i="95"/>
  <c r="N71" i="95"/>
  <c r="O71" i="95"/>
  <c r="P71" i="95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N82" i="95"/>
  <c r="O82" i="95"/>
  <c r="P82" i="95"/>
  <c r="N83" i="95"/>
  <c r="O83" i="95"/>
  <c r="P83" i="95"/>
  <c r="N84" i="95"/>
  <c r="O84" i="95"/>
  <c r="P84" i="95"/>
  <c r="N85" i="95"/>
  <c r="O85" i="95"/>
  <c r="P85" i="95"/>
  <c r="N86" i="95"/>
  <c r="O86" i="95"/>
  <c r="P86" i="95"/>
  <c r="N87" i="95"/>
  <c r="O87" i="95"/>
  <c r="P87" i="95"/>
  <c r="N88" i="95"/>
  <c r="O88" i="95"/>
  <c r="P88" i="95"/>
  <c r="N89" i="95"/>
  <c r="O89" i="95"/>
  <c r="P89" i="95"/>
  <c r="N90" i="95"/>
  <c r="O90" i="95"/>
  <c r="P90" i="95"/>
  <c r="N91" i="95"/>
  <c r="O91" i="95"/>
  <c r="P91" i="95"/>
  <c r="N92" i="95"/>
  <c r="O92" i="95"/>
  <c r="P92" i="95"/>
  <c r="N93" i="95"/>
  <c r="O93" i="95"/>
  <c r="P93" i="95"/>
  <c r="N94" i="95"/>
  <c r="O94" i="95"/>
  <c r="P94" i="95"/>
  <c r="N95" i="95"/>
  <c r="O95" i="95"/>
  <c r="P95" i="95"/>
  <c r="N96" i="95"/>
  <c r="O96" i="95"/>
  <c r="P96" i="95"/>
  <c r="N97" i="95"/>
  <c r="O97" i="95"/>
  <c r="P97" i="95"/>
  <c r="N98" i="95"/>
  <c r="O98" i="95"/>
  <c r="P98" i="95"/>
  <c r="N99" i="95"/>
  <c r="O99" i="95"/>
  <c r="P99" i="95"/>
  <c r="N100" i="95"/>
  <c r="O100" i="95"/>
  <c r="P100" i="95"/>
  <c r="N101" i="95"/>
  <c r="O101" i="95"/>
  <c r="P101" i="95"/>
  <c r="N102" i="95"/>
  <c r="O102" i="95"/>
  <c r="P102" i="95"/>
  <c r="N103" i="95"/>
  <c r="O103" i="95"/>
  <c r="P103" i="95"/>
  <c r="N104" i="95"/>
  <c r="O104" i="95"/>
  <c r="P104" i="95"/>
  <c r="N105" i="95"/>
  <c r="O105" i="95"/>
  <c r="P105" i="95"/>
  <c r="N106" i="95"/>
  <c r="O106" i="95"/>
  <c r="P106" i="95"/>
  <c r="N107" i="95"/>
  <c r="O107" i="95"/>
  <c r="P107" i="95"/>
  <c r="N108" i="95"/>
  <c r="O108" i="95"/>
  <c r="P108" i="95"/>
  <c r="N109" i="95"/>
  <c r="O109" i="95"/>
  <c r="P109" i="95"/>
  <c r="N110" i="95"/>
  <c r="O110" i="95"/>
  <c r="P110" i="95"/>
  <c r="N111" i="95"/>
  <c r="O111" i="95"/>
  <c r="P111" i="95"/>
  <c r="N112" i="95"/>
  <c r="O112" i="95"/>
  <c r="P112" i="95"/>
  <c r="N113" i="95"/>
  <c r="O113" i="95"/>
  <c r="P113" i="95"/>
  <c r="N114" i="95"/>
  <c r="O114" i="95"/>
  <c r="P114" i="95"/>
  <c r="N115" i="95"/>
  <c r="O115" i="95"/>
  <c r="P115" i="95"/>
  <c r="N116" i="95"/>
  <c r="O116" i="95"/>
  <c r="P116" i="95"/>
  <c r="N117" i="95"/>
  <c r="O117" i="95"/>
  <c r="P117" i="95"/>
  <c r="N118" i="95"/>
  <c r="O118" i="95"/>
  <c r="P118" i="95"/>
  <c r="N119" i="95"/>
  <c r="O119" i="95"/>
  <c r="P119" i="95"/>
  <c r="N120" i="95"/>
  <c r="O120" i="95"/>
  <c r="P120" i="95"/>
  <c r="N121" i="95"/>
  <c r="O121" i="95"/>
  <c r="P121" i="95"/>
  <c r="N122" i="95"/>
  <c r="O122" i="95"/>
  <c r="P122" i="95"/>
  <c r="N123" i="95"/>
  <c r="O123" i="95"/>
  <c r="P123" i="95"/>
  <c r="N124" i="95"/>
  <c r="O124" i="95"/>
  <c r="P124" i="95"/>
  <c r="N125" i="95"/>
  <c r="O125" i="95"/>
  <c r="P125" i="95"/>
  <c r="N126" i="95"/>
  <c r="O126" i="95"/>
  <c r="P126" i="95"/>
  <c r="N127" i="95"/>
  <c r="O127" i="95"/>
  <c r="P127" i="95"/>
  <c r="N128" i="95"/>
  <c r="O128" i="95"/>
  <c r="P128" i="95"/>
  <c r="N129" i="95"/>
  <c r="O129" i="95"/>
  <c r="P129" i="95"/>
  <c r="N130" i="95"/>
  <c r="O130" i="95"/>
  <c r="P130" i="95"/>
  <c r="N131" i="95"/>
  <c r="O131" i="95"/>
  <c r="P131" i="95"/>
  <c r="N132" i="95"/>
  <c r="O132" i="95"/>
  <c r="P132" i="95"/>
  <c r="N133" i="95"/>
  <c r="O133" i="95"/>
  <c r="P133" i="95"/>
  <c r="N134" i="95"/>
  <c r="O134" i="95"/>
  <c r="P134" i="95"/>
  <c r="N135" i="95"/>
  <c r="O135" i="95"/>
  <c r="P135" i="95"/>
  <c r="N136" i="95"/>
  <c r="O136" i="95"/>
  <c r="P136" i="95"/>
  <c r="N137" i="95"/>
  <c r="O137" i="95"/>
  <c r="P137" i="95"/>
  <c r="N138" i="95"/>
  <c r="O138" i="95"/>
  <c r="P138" i="95"/>
  <c r="N139" i="95"/>
  <c r="O139" i="95"/>
  <c r="P139" i="95"/>
  <c r="N140" i="95"/>
  <c r="O140" i="95"/>
  <c r="P140" i="95"/>
  <c r="N141" i="95"/>
  <c r="O141" i="95"/>
  <c r="P141" i="95"/>
  <c r="N142" i="95"/>
  <c r="O142" i="95"/>
  <c r="P142" i="95"/>
  <c r="N143" i="95"/>
  <c r="O143" i="95"/>
  <c r="P143" i="95"/>
  <c r="N144" i="95"/>
  <c r="O144" i="95"/>
  <c r="P144" i="95"/>
  <c r="N145" i="95"/>
  <c r="O145" i="95"/>
  <c r="P145" i="95"/>
  <c r="N146" i="95"/>
  <c r="O146" i="95"/>
  <c r="P146" i="95"/>
  <c r="N147" i="95"/>
  <c r="O147" i="95"/>
  <c r="P147" i="95"/>
  <c r="N148" i="95"/>
  <c r="O148" i="95"/>
  <c r="P148" i="95"/>
  <c r="N149" i="95"/>
  <c r="O149" i="95"/>
  <c r="P149" i="95"/>
  <c r="N150" i="95"/>
  <c r="O150" i="95"/>
  <c r="P150" i="95"/>
  <c r="N151" i="95"/>
  <c r="O151" i="95"/>
  <c r="P151" i="95"/>
  <c r="N152" i="95"/>
  <c r="O152" i="95"/>
  <c r="P152" i="95"/>
  <c r="N153" i="95"/>
  <c r="O153" i="95"/>
  <c r="P153" i="95"/>
  <c r="N154" i="95"/>
  <c r="O154" i="95"/>
  <c r="P154" i="95"/>
  <c r="N155" i="95"/>
  <c r="O155" i="95"/>
  <c r="P155" i="95"/>
  <c r="N156" i="95"/>
  <c r="O156" i="95"/>
  <c r="P156" i="95"/>
  <c r="N157" i="95"/>
  <c r="O157" i="95"/>
  <c r="P157" i="95"/>
  <c r="N158" i="95"/>
  <c r="O158" i="95"/>
  <c r="P158" i="95"/>
  <c r="N159" i="95"/>
  <c r="O159" i="95"/>
  <c r="P159" i="95"/>
  <c r="N160" i="95"/>
  <c r="O160" i="95"/>
  <c r="P160" i="95"/>
  <c r="N161" i="95"/>
  <c r="O161" i="95"/>
  <c r="P161" i="95"/>
  <c r="N162" i="95"/>
  <c r="O162" i="95"/>
  <c r="P162" i="95"/>
  <c r="N163" i="95"/>
  <c r="O163" i="95"/>
  <c r="P163" i="95"/>
  <c r="N164" i="95"/>
  <c r="O164" i="95"/>
  <c r="P164" i="95"/>
  <c r="N165" i="95"/>
  <c r="O165" i="95"/>
  <c r="P165" i="95"/>
  <c r="N166" i="95"/>
  <c r="O166" i="95"/>
  <c r="P166" i="95"/>
  <c r="N167" i="95"/>
  <c r="O167" i="95"/>
  <c r="P167" i="95"/>
  <c r="N168" i="95"/>
  <c r="O168" i="95"/>
  <c r="P168" i="95"/>
  <c r="N169" i="95"/>
  <c r="O169" i="95"/>
  <c r="P169" i="95"/>
  <c r="N170" i="95"/>
  <c r="O170" i="95"/>
  <c r="P170" i="95"/>
  <c r="N171" i="95"/>
  <c r="O171" i="95"/>
  <c r="P171" i="95"/>
  <c r="N172" i="95"/>
  <c r="O172" i="95"/>
  <c r="P172" i="95"/>
  <c r="N173" i="95"/>
  <c r="O173" i="95"/>
  <c r="P173" i="95"/>
  <c r="N174" i="95"/>
  <c r="O174" i="95"/>
  <c r="P174" i="95"/>
  <c r="N175" i="95"/>
  <c r="O175" i="95"/>
  <c r="P175" i="95"/>
  <c r="N176" i="95"/>
  <c r="O176" i="95"/>
  <c r="P176" i="95"/>
  <c r="N177" i="95"/>
  <c r="O177" i="95"/>
  <c r="P177" i="95"/>
  <c r="N178" i="95"/>
  <c r="O178" i="95"/>
  <c r="P178" i="95"/>
  <c r="N179" i="95"/>
  <c r="O179" i="95"/>
  <c r="P179" i="95"/>
  <c r="N180" i="95"/>
  <c r="O180" i="95"/>
  <c r="P180" i="95"/>
  <c r="N181" i="95"/>
  <c r="O181" i="95"/>
  <c r="P181" i="95"/>
  <c r="N182" i="95"/>
  <c r="O182" i="95"/>
  <c r="P182" i="95"/>
  <c r="N183" i="95"/>
  <c r="O183" i="95"/>
  <c r="P183" i="95"/>
  <c r="N184" i="95"/>
  <c r="O184" i="95"/>
  <c r="P184" i="95"/>
  <c r="N185" i="95"/>
  <c r="O185" i="95"/>
  <c r="P185" i="95"/>
  <c r="N186" i="95"/>
  <c r="O186" i="95"/>
  <c r="P186" i="95"/>
  <c r="N187" i="95"/>
  <c r="O187" i="95"/>
  <c r="P187" i="95"/>
  <c r="N188" i="95"/>
  <c r="O188" i="95"/>
  <c r="P188" i="95"/>
  <c r="N189" i="95"/>
  <c r="O189" i="95"/>
  <c r="P189" i="95"/>
  <c r="N190" i="95"/>
  <c r="O190" i="95"/>
  <c r="P190" i="95"/>
  <c r="N191" i="95"/>
  <c r="O191" i="95"/>
  <c r="P191" i="95"/>
  <c r="N192" i="95"/>
  <c r="O192" i="95"/>
  <c r="P192" i="95"/>
  <c r="N193" i="95"/>
  <c r="O193" i="95"/>
  <c r="P193" i="95"/>
  <c r="N194" i="95"/>
  <c r="O194" i="95"/>
  <c r="P194" i="95"/>
  <c r="N195" i="95"/>
  <c r="O195" i="95"/>
  <c r="P195" i="95"/>
  <c r="N196" i="95"/>
  <c r="O196" i="95"/>
  <c r="P196" i="95"/>
  <c r="N197" i="95"/>
  <c r="O197" i="95"/>
  <c r="P197" i="95"/>
  <c r="N198" i="95"/>
  <c r="O198" i="95"/>
  <c r="P198" i="95"/>
  <c r="N199" i="95"/>
  <c r="O199" i="95"/>
  <c r="P199" i="95"/>
  <c r="N200" i="95"/>
  <c r="O200" i="95"/>
  <c r="P200" i="95"/>
  <c r="N201" i="95"/>
  <c r="O201" i="95"/>
  <c r="P201" i="95"/>
  <c r="N202" i="95"/>
  <c r="O202" i="95"/>
  <c r="P202" i="95"/>
  <c r="N203" i="95"/>
  <c r="O203" i="95"/>
  <c r="P203" i="95"/>
  <c r="N204" i="95"/>
  <c r="O204" i="95"/>
  <c r="P204" i="95"/>
  <c r="N205" i="95"/>
  <c r="O205" i="95"/>
  <c r="P205" i="95"/>
  <c r="N206" i="95"/>
  <c r="O206" i="95"/>
  <c r="P206" i="95"/>
  <c r="N207" i="95"/>
  <c r="O207" i="95"/>
  <c r="P207" i="95"/>
  <c r="N208" i="95"/>
  <c r="O208" i="95"/>
  <c r="P208" i="95"/>
  <c r="N209" i="95"/>
  <c r="O209" i="95"/>
  <c r="P209" i="95"/>
  <c r="N210" i="95"/>
  <c r="O210" i="95"/>
  <c r="P210" i="95"/>
  <c r="N211" i="95"/>
  <c r="O211" i="95"/>
  <c r="P211" i="95"/>
  <c r="N212" i="95"/>
  <c r="O212" i="95"/>
  <c r="P212" i="95"/>
  <c r="N213" i="95"/>
  <c r="O213" i="95"/>
  <c r="P213" i="95"/>
  <c r="N214" i="95"/>
  <c r="O214" i="95"/>
  <c r="P214" i="95"/>
  <c r="N215" i="95"/>
  <c r="O215" i="95"/>
  <c r="P215" i="95"/>
  <c r="N216" i="95"/>
  <c r="O216" i="95"/>
  <c r="P216" i="95"/>
  <c r="N217" i="95"/>
  <c r="O217" i="95"/>
  <c r="P217" i="95"/>
  <c r="N218" i="95"/>
  <c r="O218" i="95"/>
  <c r="P218" i="95"/>
  <c r="N219" i="95"/>
  <c r="O219" i="95"/>
  <c r="P219" i="95"/>
  <c r="N220" i="95"/>
  <c r="O220" i="95"/>
  <c r="P220" i="95"/>
  <c r="N221" i="95"/>
  <c r="O221" i="95"/>
  <c r="P221" i="95"/>
  <c r="N222" i="95"/>
  <c r="O222" i="95"/>
  <c r="P222" i="95"/>
  <c r="N223" i="95"/>
  <c r="O223" i="95"/>
  <c r="P223" i="95"/>
  <c r="N224" i="95"/>
  <c r="O224" i="95"/>
  <c r="P224" i="95"/>
  <c r="N225" i="95"/>
  <c r="O225" i="95"/>
  <c r="P225" i="95"/>
  <c r="N226" i="95"/>
  <c r="O226" i="95"/>
  <c r="P226" i="95"/>
  <c r="N227" i="95"/>
  <c r="O227" i="95"/>
  <c r="P227" i="95"/>
  <c r="N228" i="95"/>
  <c r="O228" i="95"/>
  <c r="P228" i="95"/>
  <c r="N229" i="95"/>
  <c r="O229" i="95"/>
  <c r="P229" i="95"/>
  <c r="N230" i="95"/>
  <c r="O230" i="95"/>
  <c r="P230" i="95"/>
  <c r="N231" i="95"/>
  <c r="O231" i="95"/>
  <c r="P231" i="95"/>
  <c r="N232" i="95"/>
  <c r="O232" i="95"/>
  <c r="P232" i="95"/>
  <c r="N233" i="95"/>
  <c r="O233" i="95"/>
  <c r="P233" i="95"/>
  <c r="N234" i="95"/>
  <c r="O234" i="95"/>
  <c r="P234" i="95"/>
  <c r="N235" i="95"/>
  <c r="O235" i="95"/>
  <c r="P235" i="95"/>
  <c r="N236" i="95"/>
  <c r="O236" i="95"/>
  <c r="P236" i="95"/>
  <c r="N237" i="95"/>
  <c r="O237" i="95"/>
  <c r="P237" i="95"/>
  <c r="N238" i="95"/>
  <c r="O238" i="95"/>
  <c r="P238" i="95"/>
  <c r="N239" i="95"/>
  <c r="O239" i="95"/>
  <c r="P239" i="95"/>
  <c r="N240" i="95"/>
  <c r="O240" i="95"/>
  <c r="P240" i="95"/>
  <c r="N241" i="95"/>
  <c r="O241" i="95"/>
  <c r="P241" i="95"/>
  <c r="N242" i="95"/>
  <c r="O242" i="95"/>
  <c r="P242" i="95"/>
  <c r="N243" i="95"/>
  <c r="O243" i="95"/>
  <c r="P243" i="95"/>
  <c r="N244" i="95"/>
  <c r="O244" i="95"/>
  <c r="P244" i="95"/>
  <c r="N245" i="95"/>
  <c r="O245" i="95"/>
  <c r="P245" i="95"/>
  <c r="N246" i="95"/>
  <c r="O246" i="95"/>
  <c r="P246" i="95"/>
  <c r="N247" i="95"/>
  <c r="O247" i="95"/>
  <c r="P247" i="95"/>
  <c r="N248" i="95"/>
  <c r="O248" i="95"/>
  <c r="P248" i="95"/>
  <c r="N249" i="95"/>
  <c r="O249" i="95"/>
  <c r="P249" i="95"/>
  <c r="N250" i="95"/>
  <c r="O250" i="95"/>
  <c r="P250" i="95"/>
  <c r="N251" i="95"/>
  <c r="O251" i="95"/>
  <c r="P251" i="95"/>
  <c r="N252" i="95"/>
  <c r="O252" i="95"/>
  <c r="P252" i="95"/>
  <c r="N253" i="95"/>
  <c r="O253" i="95"/>
  <c r="P253" i="95"/>
  <c r="N254" i="95"/>
  <c r="O254" i="95"/>
  <c r="P254" i="95"/>
  <c r="N255" i="95"/>
  <c r="O255" i="95"/>
  <c r="P255" i="95"/>
  <c r="N256" i="95"/>
  <c r="O256" i="95"/>
  <c r="P256" i="95"/>
  <c r="N257" i="95"/>
  <c r="O257" i="95"/>
  <c r="P257" i="95"/>
  <c r="N258" i="95"/>
  <c r="O258" i="95"/>
  <c r="P258" i="95"/>
  <c r="N259" i="95"/>
  <c r="O259" i="95"/>
  <c r="P259" i="95"/>
  <c r="N260" i="95"/>
  <c r="O260" i="95"/>
  <c r="P260" i="95"/>
  <c r="N261" i="95"/>
  <c r="O261" i="95"/>
  <c r="P261" i="95"/>
  <c r="N262" i="95"/>
  <c r="O262" i="95"/>
  <c r="P262" i="95"/>
  <c r="N263" i="95"/>
  <c r="O263" i="95"/>
  <c r="P263" i="95"/>
  <c r="N264" i="95"/>
  <c r="O264" i="95"/>
  <c r="P264" i="95"/>
  <c r="N265" i="95"/>
  <c r="O265" i="95"/>
  <c r="P265" i="95"/>
  <c r="N266" i="95"/>
  <c r="O266" i="95"/>
  <c r="P266" i="95"/>
  <c r="N267" i="95"/>
  <c r="O267" i="95"/>
  <c r="P267" i="95"/>
  <c r="N268" i="95"/>
  <c r="O268" i="95"/>
  <c r="P268" i="95"/>
  <c r="N269" i="95"/>
  <c r="O269" i="95"/>
  <c r="P269" i="95"/>
  <c r="N270" i="95"/>
  <c r="O270" i="95"/>
  <c r="P270" i="95"/>
  <c r="N271" i="95"/>
  <c r="O271" i="95"/>
  <c r="P271" i="95"/>
  <c r="N272" i="95"/>
  <c r="O272" i="95"/>
  <c r="P272" i="95"/>
  <c r="N273" i="95"/>
  <c r="O273" i="95"/>
  <c r="P273" i="95"/>
  <c r="N274" i="95"/>
  <c r="O274" i="95"/>
  <c r="P274" i="95"/>
  <c r="N275" i="95"/>
  <c r="O275" i="95"/>
  <c r="P275" i="95"/>
  <c r="N276" i="95"/>
  <c r="O276" i="95"/>
  <c r="P276" i="95"/>
  <c r="N277" i="95"/>
  <c r="O277" i="95"/>
  <c r="P277" i="95"/>
  <c r="N278" i="95"/>
  <c r="O278" i="95"/>
  <c r="P278" i="95"/>
  <c r="N279" i="95"/>
  <c r="O279" i="95"/>
  <c r="P279" i="95"/>
  <c r="N280" i="95"/>
  <c r="O280" i="95"/>
  <c r="P280" i="95"/>
  <c r="N281" i="95"/>
  <c r="O281" i="95"/>
  <c r="P281" i="95"/>
  <c r="N282" i="95"/>
  <c r="O282" i="95"/>
  <c r="P282" i="95"/>
  <c r="N283" i="95"/>
  <c r="O283" i="95"/>
  <c r="P283" i="95"/>
  <c r="N284" i="95"/>
  <c r="O284" i="95"/>
  <c r="P284" i="95"/>
  <c r="N285" i="95"/>
  <c r="O285" i="95"/>
  <c r="P285" i="95"/>
  <c r="N286" i="95"/>
  <c r="O286" i="95"/>
  <c r="P286" i="95"/>
  <c r="N287" i="95"/>
  <c r="O287" i="95"/>
  <c r="P287" i="95"/>
  <c r="N288" i="95"/>
  <c r="O288" i="95"/>
  <c r="P288" i="95"/>
  <c r="N289" i="95"/>
  <c r="O289" i="95"/>
  <c r="P289" i="95"/>
  <c r="N290" i="95"/>
  <c r="O290" i="95"/>
  <c r="P290" i="95"/>
  <c r="N291" i="95"/>
  <c r="O291" i="95"/>
  <c r="P291" i="95"/>
  <c r="N292" i="95"/>
  <c r="O292" i="95"/>
  <c r="P292" i="95"/>
  <c r="N293" i="95"/>
  <c r="O293" i="95"/>
  <c r="P293" i="95"/>
  <c r="N294" i="95"/>
  <c r="O294" i="95"/>
  <c r="P294" i="95"/>
  <c r="N295" i="95"/>
  <c r="O295" i="95"/>
  <c r="P295" i="95"/>
  <c r="N296" i="95"/>
  <c r="O296" i="95"/>
  <c r="P296" i="95"/>
  <c r="N297" i="95"/>
  <c r="O297" i="95"/>
  <c r="P297" i="95"/>
  <c r="N298" i="95"/>
  <c r="O298" i="95"/>
  <c r="P298" i="95"/>
  <c r="N299" i="95"/>
  <c r="O299" i="95"/>
  <c r="P299" i="95"/>
  <c r="N300" i="95"/>
  <c r="O300" i="95"/>
  <c r="P300" i="95"/>
  <c r="N301" i="95"/>
  <c r="O301" i="95"/>
  <c r="P301" i="95"/>
  <c r="N302" i="95"/>
  <c r="O302" i="95"/>
  <c r="P302" i="95"/>
  <c r="N303" i="95"/>
  <c r="O303" i="95"/>
  <c r="P303" i="95"/>
  <c r="N304" i="95"/>
  <c r="O304" i="95"/>
  <c r="P304" i="95"/>
  <c r="N305" i="95"/>
  <c r="O305" i="95"/>
  <c r="P305" i="95"/>
  <c r="N306" i="95"/>
  <c r="O306" i="95"/>
  <c r="P306" i="95"/>
  <c r="N307" i="95"/>
  <c r="O307" i="95"/>
  <c r="P307" i="95"/>
  <c r="N308" i="95"/>
  <c r="O308" i="95"/>
  <c r="P308" i="95"/>
  <c r="N309" i="95"/>
  <c r="O309" i="95"/>
  <c r="P309" i="95"/>
  <c r="N310" i="95"/>
  <c r="O310" i="95"/>
  <c r="P310" i="95"/>
  <c r="N311" i="95"/>
  <c r="O311" i="95"/>
  <c r="P311" i="95"/>
  <c r="N312" i="95"/>
  <c r="O312" i="95"/>
  <c r="P312" i="95"/>
  <c r="N313" i="95"/>
  <c r="O313" i="95"/>
  <c r="P313" i="95"/>
  <c r="N314" i="95"/>
  <c r="O314" i="95"/>
  <c r="P314" i="95"/>
  <c r="N315" i="95"/>
  <c r="O315" i="95"/>
  <c r="P315" i="95"/>
  <c r="N316" i="95"/>
  <c r="O316" i="95"/>
  <c r="P316" i="95"/>
  <c r="N317" i="95"/>
  <c r="O317" i="95"/>
  <c r="P317" i="95"/>
  <c r="N318" i="95"/>
  <c r="O318" i="95"/>
  <c r="P318" i="95"/>
  <c r="N319" i="95"/>
  <c r="O319" i="95"/>
  <c r="P319" i="95"/>
  <c r="N320" i="95"/>
  <c r="O320" i="95"/>
  <c r="P320" i="95"/>
  <c r="N321" i="95"/>
  <c r="O321" i="95"/>
  <c r="P321" i="95"/>
  <c r="N322" i="95"/>
  <c r="O322" i="95"/>
  <c r="P322" i="95"/>
  <c r="N323" i="95"/>
  <c r="O323" i="95"/>
  <c r="P323" i="95"/>
  <c r="N324" i="95"/>
  <c r="O324" i="95"/>
  <c r="P324" i="95"/>
  <c r="N325" i="95"/>
  <c r="O325" i="95"/>
  <c r="P325" i="95"/>
  <c r="N326" i="95"/>
  <c r="O326" i="95"/>
  <c r="P326" i="95"/>
  <c r="N327" i="95"/>
  <c r="O327" i="95"/>
  <c r="P327" i="95"/>
  <c r="N328" i="95"/>
  <c r="O328" i="95"/>
  <c r="P328" i="95"/>
  <c r="N329" i="95"/>
  <c r="O329" i="95"/>
  <c r="P329" i="95"/>
  <c r="N330" i="95"/>
  <c r="O330" i="95"/>
  <c r="P330" i="95"/>
  <c r="N331" i="95"/>
  <c r="O331" i="95"/>
  <c r="P331" i="95"/>
  <c r="N332" i="95"/>
  <c r="O332" i="95"/>
  <c r="P332" i="95"/>
  <c r="N333" i="95"/>
  <c r="O333" i="95"/>
  <c r="P333" i="95"/>
  <c r="N334" i="95"/>
  <c r="O334" i="95"/>
  <c r="P334" i="95"/>
  <c r="N335" i="95"/>
  <c r="O335" i="95"/>
  <c r="P335" i="95"/>
  <c r="N336" i="95"/>
  <c r="O336" i="95"/>
  <c r="P336" i="95"/>
  <c r="N337" i="95"/>
  <c r="O337" i="95"/>
  <c r="P337" i="95"/>
  <c r="N338" i="95"/>
  <c r="O338" i="95"/>
  <c r="P338" i="95"/>
  <c r="N339" i="95"/>
  <c r="O339" i="95"/>
  <c r="P339" i="95"/>
  <c r="N340" i="95"/>
  <c r="O340" i="95"/>
  <c r="P340" i="95"/>
  <c r="N341" i="95"/>
  <c r="O341" i="95"/>
  <c r="P341" i="95"/>
  <c r="N342" i="95"/>
  <c r="O342" i="95"/>
  <c r="P342" i="95"/>
  <c r="N343" i="95"/>
  <c r="O343" i="95"/>
  <c r="P343" i="95"/>
  <c r="N344" i="95"/>
  <c r="O344" i="95"/>
  <c r="P344" i="95"/>
  <c r="N345" i="95"/>
  <c r="O345" i="95"/>
  <c r="P345" i="95"/>
  <c r="N346" i="95"/>
  <c r="O346" i="95"/>
  <c r="P346" i="95"/>
  <c r="N347" i="95"/>
  <c r="O347" i="95"/>
  <c r="P347" i="95"/>
  <c r="N348" i="95"/>
  <c r="O348" i="95"/>
  <c r="P348" i="95"/>
  <c r="N349" i="95"/>
  <c r="O349" i="95"/>
  <c r="P349" i="95"/>
  <c r="N350" i="95"/>
  <c r="O350" i="95"/>
  <c r="P350" i="95"/>
  <c r="N351" i="95"/>
  <c r="O351" i="95"/>
  <c r="P351" i="95"/>
  <c r="N352" i="95"/>
  <c r="O352" i="95"/>
  <c r="P352" i="95"/>
  <c r="N353" i="95"/>
  <c r="O353" i="95"/>
  <c r="P353" i="95"/>
  <c r="N354" i="95"/>
  <c r="O354" i="95"/>
  <c r="P354" i="95"/>
  <c r="N355" i="95"/>
  <c r="O355" i="95"/>
  <c r="P355" i="95"/>
  <c r="N356" i="95"/>
  <c r="O356" i="95"/>
  <c r="P356" i="95"/>
  <c r="N357" i="95"/>
  <c r="O357" i="95"/>
  <c r="P357" i="95"/>
  <c r="N358" i="95"/>
  <c r="O358" i="95"/>
  <c r="P358" i="95"/>
  <c r="N359" i="95"/>
  <c r="O359" i="95"/>
  <c r="P359" i="95"/>
  <c r="N360" i="95"/>
  <c r="O360" i="95"/>
  <c r="P360" i="95"/>
  <c r="N361" i="95"/>
  <c r="O361" i="95"/>
  <c r="P361" i="95"/>
  <c r="N362" i="95"/>
  <c r="O362" i="95"/>
  <c r="P362" i="95"/>
  <c r="N363" i="95"/>
  <c r="O363" i="95"/>
  <c r="P363" i="95"/>
  <c r="N364" i="95"/>
  <c r="O364" i="95"/>
  <c r="P364" i="95"/>
  <c r="N365" i="95"/>
  <c r="O365" i="95"/>
  <c r="P365" i="95"/>
  <c r="N366" i="95"/>
  <c r="O366" i="95"/>
  <c r="P366" i="95"/>
  <c r="N367" i="95"/>
  <c r="O367" i="95"/>
  <c r="P367" i="95"/>
  <c r="N368" i="95"/>
  <c r="O368" i="95"/>
  <c r="P368" i="95"/>
  <c r="N369" i="95"/>
  <c r="O369" i="95"/>
  <c r="P369" i="95"/>
  <c r="N370" i="95"/>
  <c r="O370" i="95"/>
  <c r="P370" i="95"/>
  <c r="N371" i="95"/>
  <c r="O371" i="95"/>
  <c r="P371" i="95"/>
  <c r="N372" i="95"/>
  <c r="O372" i="95"/>
  <c r="P372" i="95"/>
  <c r="N373" i="95"/>
  <c r="O373" i="95"/>
  <c r="P373" i="95"/>
  <c r="N374" i="95"/>
  <c r="O374" i="95"/>
  <c r="P374" i="95"/>
  <c r="N375" i="95"/>
  <c r="O375" i="95"/>
  <c r="P375" i="95"/>
  <c r="N376" i="95"/>
  <c r="O376" i="95"/>
  <c r="P376" i="95"/>
  <c r="N377" i="95"/>
  <c r="O377" i="95"/>
  <c r="P377" i="95"/>
  <c r="N378" i="95"/>
  <c r="O378" i="95"/>
  <c r="P378" i="95"/>
  <c r="N379" i="95"/>
  <c r="O379" i="95"/>
  <c r="P379" i="95"/>
  <c r="N380" i="95"/>
  <c r="O380" i="95"/>
  <c r="P380" i="95"/>
  <c r="N381" i="95"/>
  <c r="O381" i="95"/>
  <c r="P381" i="95"/>
  <c r="N382" i="95"/>
  <c r="O382" i="95"/>
  <c r="P382" i="95"/>
  <c r="N383" i="95"/>
  <c r="O383" i="95"/>
  <c r="P383" i="95"/>
  <c r="N384" i="95"/>
  <c r="O384" i="95"/>
  <c r="P384" i="95"/>
  <c r="N385" i="95"/>
  <c r="O385" i="95"/>
  <c r="P385" i="95"/>
  <c r="N386" i="95"/>
  <c r="O386" i="95"/>
  <c r="P386" i="95"/>
  <c r="N387" i="95"/>
  <c r="O387" i="95"/>
  <c r="P387" i="95"/>
  <c r="N388" i="95"/>
  <c r="O388" i="95"/>
  <c r="P388" i="95"/>
  <c r="N389" i="95"/>
  <c r="O389" i="95"/>
  <c r="P389" i="95"/>
  <c r="N390" i="95"/>
  <c r="O390" i="95"/>
  <c r="P390" i="95"/>
  <c r="N391" i="95"/>
  <c r="O391" i="95"/>
  <c r="P391" i="95"/>
  <c r="N392" i="95"/>
  <c r="O392" i="95"/>
  <c r="P392" i="95"/>
  <c r="N393" i="95"/>
  <c r="O393" i="95"/>
  <c r="P393" i="95"/>
  <c r="N394" i="95"/>
  <c r="O394" i="95"/>
  <c r="P394" i="95"/>
  <c r="N395" i="95"/>
  <c r="O395" i="95"/>
  <c r="P395" i="95"/>
  <c r="N396" i="95"/>
  <c r="O396" i="95"/>
  <c r="P396" i="95"/>
  <c r="N397" i="95"/>
  <c r="O397" i="95"/>
  <c r="P397" i="95"/>
  <c r="N398" i="95"/>
  <c r="O398" i="95"/>
  <c r="P398" i="95"/>
  <c r="N399" i="95"/>
  <c r="O399" i="95"/>
  <c r="P399" i="95"/>
  <c r="N400" i="95"/>
  <c r="O400" i="95"/>
  <c r="P400" i="95"/>
  <c r="N401" i="95"/>
  <c r="O401" i="95"/>
  <c r="P401" i="95"/>
  <c r="N402" i="95"/>
  <c r="O402" i="95"/>
  <c r="P402" i="95"/>
  <c r="N403" i="95"/>
  <c r="O403" i="95"/>
  <c r="P403" i="95"/>
  <c r="N404" i="95"/>
  <c r="O404" i="95"/>
  <c r="P404" i="95"/>
  <c r="N405" i="95"/>
  <c r="O405" i="95"/>
  <c r="P405" i="95"/>
  <c r="N406" i="95"/>
  <c r="O406" i="95"/>
  <c r="P406" i="95"/>
  <c r="N407" i="95"/>
  <c r="O407" i="95"/>
  <c r="P407" i="95"/>
  <c r="N408" i="95"/>
  <c r="O408" i="95"/>
  <c r="P408" i="95"/>
  <c r="N409" i="95"/>
  <c r="O409" i="95"/>
  <c r="P409" i="95"/>
  <c r="N410" i="95"/>
  <c r="O410" i="95"/>
  <c r="P410" i="95"/>
  <c r="N411" i="95"/>
  <c r="O411" i="95"/>
  <c r="P411" i="95"/>
  <c r="N412" i="95"/>
  <c r="O412" i="95"/>
  <c r="P412" i="95"/>
  <c r="N413" i="95"/>
  <c r="O413" i="95"/>
  <c r="P413" i="95"/>
  <c r="N414" i="95"/>
  <c r="O414" i="95"/>
  <c r="P414" i="95"/>
  <c r="N415" i="95"/>
  <c r="O415" i="95"/>
  <c r="P415" i="95"/>
  <c r="N416" i="95"/>
  <c r="O416" i="95"/>
  <c r="P416" i="95"/>
  <c r="N417" i="95"/>
  <c r="O417" i="95"/>
  <c r="P417" i="95"/>
  <c r="N418" i="95"/>
  <c r="O418" i="95"/>
  <c r="P418" i="95"/>
  <c r="N419" i="95"/>
  <c r="O419" i="95"/>
  <c r="P419" i="95"/>
  <c r="N420" i="95"/>
  <c r="O420" i="95"/>
  <c r="P420" i="95"/>
  <c r="N421" i="95"/>
  <c r="O421" i="95"/>
  <c r="P421" i="95"/>
  <c r="N422" i="95"/>
  <c r="O422" i="95"/>
  <c r="P422" i="95"/>
  <c r="N423" i="95"/>
  <c r="O423" i="95"/>
  <c r="P423" i="95"/>
  <c r="N424" i="95"/>
  <c r="O424" i="95"/>
  <c r="P424" i="95"/>
  <c r="N425" i="95"/>
  <c r="O425" i="95"/>
  <c r="P425" i="95"/>
  <c r="N426" i="95"/>
  <c r="O426" i="95"/>
  <c r="P426" i="95"/>
  <c r="N427" i="95"/>
  <c r="O427" i="95"/>
  <c r="P427" i="95"/>
  <c r="N428" i="95"/>
  <c r="O428" i="95"/>
  <c r="P428" i="95"/>
  <c r="N429" i="95"/>
  <c r="O429" i="95"/>
  <c r="P429" i="95"/>
  <c r="N430" i="95"/>
  <c r="O430" i="95"/>
  <c r="P430" i="95"/>
  <c r="N431" i="95"/>
  <c r="O431" i="95"/>
  <c r="P431" i="95"/>
  <c r="N432" i="95"/>
  <c r="O432" i="95"/>
  <c r="P432" i="95"/>
  <c r="N433" i="95"/>
  <c r="O433" i="95"/>
  <c r="P433" i="95"/>
  <c r="N434" i="95"/>
  <c r="O434" i="95"/>
  <c r="P434" i="95"/>
  <c r="N435" i="95"/>
  <c r="O435" i="95"/>
  <c r="P435" i="95"/>
  <c r="N436" i="95"/>
  <c r="O436" i="95"/>
  <c r="P436" i="95"/>
  <c r="N437" i="95"/>
  <c r="O437" i="95"/>
  <c r="P437" i="95"/>
  <c r="N438" i="95"/>
  <c r="O438" i="95"/>
  <c r="P438" i="95"/>
  <c r="N439" i="95"/>
  <c r="O439" i="95"/>
  <c r="P439" i="95"/>
  <c r="N440" i="95"/>
  <c r="O440" i="95"/>
  <c r="P440" i="95"/>
  <c r="N441" i="95"/>
  <c r="O441" i="95"/>
  <c r="P441" i="95"/>
  <c r="N442" i="95"/>
  <c r="O442" i="95"/>
  <c r="P442" i="95"/>
  <c r="N443" i="95"/>
  <c r="O443" i="95"/>
  <c r="P443" i="95"/>
  <c r="N444" i="95"/>
  <c r="O444" i="95"/>
  <c r="P444" i="95"/>
  <c r="N445" i="95"/>
  <c r="O445" i="95"/>
  <c r="P445" i="95"/>
  <c r="N446" i="95"/>
  <c r="O446" i="95"/>
  <c r="P446" i="95"/>
  <c r="N447" i="95"/>
  <c r="O447" i="95"/>
  <c r="P447" i="95"/>
  <c r="N448" i="95"/>
  <c r="O448" i="95"/>
  <c r="P448" i="95"/>
  <c r="N449" i="95"/>
  <c r="O449" i="95"/>
  <c r="P449" i="95"/>
  <c r="N450" i="95"/>
  <c r="O450" i="95"/>
  <c r="P450" i="95"/>
  <c r="N451" i="95"/>
  <c r="O451" i="95"/>
  <c r="P451" i="95"/>
  <c r="N452" i="95"/>
  <c r="O452" i="95"/>
  <c r="P452" i="95"/>
  <c r="N453" i="95"/>
  <c r="O453" i="95"/>
  <c r="P453" i="95"/>
  <c r="N454" i="95"/>
  <c r="O454" i="95"/>
  <c r="P454" i="95"/>
  <c r="N455" i="95"/>
  <c r="O455" i="95"/>
  <c r="P455" i="95"/>
  <c r="N456" i="95"/>
  <c r="O456" i="95"/>
  <c r="P456" i="95"/>
  <c r="N457" i="95"/>
  <c r="O457" i="95"/>
  <c r="P457" i="95"/>
  <c r="N458" i="95"/>
  <c r="O458" i="95"/>
  <c r="P458" i="95"/>
  <c r="N459" i="95"/>
  <c r="O459" i="95"/>
  <c r="P459" i="95"/>
  <c r="N460" i="95"/>
  <c r="O460" i="95"/>
  <c r="P460" i="95"/>
  <c r="N461" i="95"/>
  <c r="O461" i="95"/>
  <c r="P461" i="95"/>
  <c r="N462" i="95"/>
  <c r="O462" i="95"/>
  <c r="P462" i="95"/>
  <c r="N463" i="95"/>
  <c r="O463" i="95"/>
  <c r="P463" i="95"/>
  <c r="N464" i="95"/>
  <c r="O464" i="95"/>
  <c r="P464" i="95"/>
  <c r="N465" i="95"/>
  <c r="O465" i="95"/>
  <c r="P465" i="95"/>
  <c r="N466" i="95"/>
  <c r="O466" i="95"/>
  <c r="P466" i="95"/>
  <c r="N467" i="95"/>
  <c r="O467" i="95"/>
  <c r="P467" i="95"/>
  <c r="N468" i="95"/>
  <c r="O468" i="95"/>
  <c r="P468" i="95"/>
  <c r="N469" i="95"/>
  <c r="O469" i="95"/>
  <c r="P469" i="95"/>
  <c r="N470" i="95"/>
  <c r="O470" i="95"/>
  <c r="P470" i="95"/>
  <c r="N471" i="95"/>
  <c r="O471" i="95"/>
  <c r="P471" i="95"/>
  <c r="N472" i="95"/>
  <c r="O472" i="95"/>
  <c r="P472" i="95"/>
  <c r="N473" i="95"/>
  <c r="O473" i="95"/>
  <c r="P473" i="95"/>
  <c r="N474" i="95"/>
  <c r="O474" i="95"/>
  <c r="P474" i="95"/>
  <c r="N475" i="95"/>
  <c r="O475" i="95"/>
  <c r="P475" i="95"/>
  <c r="N476" i="95"/>
  <c r="O476" i="95"/>
  <c r="P476" i="95"/>
  <c r="N477" i="95"/>
  <c r="O477" i="95"/>
  <c r="P477" i="95"/>
  <c r="N478" i="95"/>
  <c r="O478" i="95"/>
  <c r="P478" i="95"/>
  <c r="N479" i="95"/>
  <c r="O479" i="95"/>
  <c r="P479" i="95"/>
  <c r="N480" i="95"/>
  <c r="O480" i="95"/>
  <c r="P480" i="95"/>
  <c r="N481" i="95"/>
  <c r="O481" i="95"/>
  <c r="P481" i="95"/>
  <c r="N482" i="95"/>
  <c r="O482" i="95"/>
  <c r="P482" i="95"/>
  <c r="N483" i="95"/>
  <c r="O483" i="95"/>
  <c r="P483" i="95"/>
  <c r="N484" i="95"/>
  <c r="O484" i="95"/>
  <c r="P484" i="95"/>
  <c r="N485" i="95"/>
  <c r="O485" i="95"/>
  <c r="P485" i="95"/>
  <c r="N486" i="95"/>
  <c r="O486" i="95"/>
  <c r="P486" i="95"/>
  <c r="N487" i="95"/>
  <c r="O487" i="95"/>
  <c r="P487" i="95"/>
  <c r="N488" i="95"/>
  <c r="O488" i="95"/>
  <c r="P488" i="95"/>
  <c r="N489" i="95"/>
  <c r="O489" i="95"/>
  <c r="P489" i="95"/>
  <c r="N490" i="95"/>
  <c r="O490" i="95"/>
  <c r="P490" i="95"/>
  <c r="N491" i="95"/>
  <c r="O491" i="95"/>
  <c r="P491" i="95"/>
  <c r="N492" i="95"/>
  <c r="O492" i="95"/>
  <c r="P492" i="95"/>
  <c r="N493" i="95"/>
  <c r="O493" i="95"/>
  <c r="P493" i="95"/>
  <c r="N494" i="95"/>
  <c r="O494" i="95"/>
  <c r="P494" i="95"/>
  <c r="N495" i="95"/>
  <c r="O495" i="95"/>
  <c r="P495" i="95"/>
  <c r="N496" i="95"/>
  <c r="O496" i="95"/>
  <c r="P496" i="95"/>
  <c r="N497" i="95"/>
  <c r="O497" i="95"/>
  <c r="P497" i="95"/>
  <c r="N498" i="95"/>
  <c r="O498" i="95"/>
  <c r="P498" i="95"/>
  <c r="N499" i="95"/>
  <c r="O499" i="95"/>
  <c r="P499" i="95"/>
  <c r="N500" i="95"/>
  <c r="O500" i="95"/>
  <c r="P500" i="95"/>
  <c r="N501" i="95"/>
  <c r="O501" i="95"/>
  <c r="P501" i="95"/>
  <c r="N502" i="95"/>
  <c r="O502" i="95"/>
  <c r="P502" i="95"/>
  <c r="N503" i="95"/>
  <c r="O503" i="95"/>
  <c r="P503" i="95"/>
  <c r="N504" i="95"/>
  <c r="O504" i="95"/>
  <c r="P504" i="95"/>
  <c r="N505" i="95"/>
  <c r="O505" i="95"/>
  <c r="P505" i="95"/>
  <c r="N506" i="95"/>
  <c r="O506" i="95"/>
  <c r="P506" i="95"/>
  <c r="N507" i="95"/>
  <c r="O507" i="95"/>
  <c r="P507" i="95"/>
  <c r="N508" i="95"/>
  <c r="O508" i="95"/>
  <c r="P508" i="95"/>
  <c r="N509" i="95"/>
  <c r="O509" i="95"/>
  <c r="P509" i="95"/>
  <c r="N510" i="95"/>
  <c r="O510" i="95"/>
  <c r="P510" i="95"/>
  <c r="N511" i="95"/>
  <c r="O511" i="95"/>
  <c r="P511" i="95"/>
  <c r="N512" i="95"/>
  <c r="O512" i="95"/>
  <c r="P512" i="95"/>
  <c r="N513" i="95"/>
  <c r="O513" i="95"/>
  <c r="P513" i="95"/>
  <c r="N514" i="95"/>
  <c r="O514" i="95"/>
  <c r="P514" i="95"/>
  <c r="N515" i="95"/>
  <c r="O515" i="95"/>
  <c r="P515" i="95"/>
  <c r="N516" i="95"/>
  <c r="O516" i="95"/>
  <c r="P516" i="95"/>
  <c r="N517" i="95"/>
  <c r="O517" i="95"/>
  <c r="P517" i="95"/>
  <c r="N518" i="95"/>
  <c r="O518" i="95"/>
  <c r="P518" i="95"/>
  <c r="N519" i="95"/>
  <c r="O519" i="95"/>
  <c r="P519" i="95"/>
  <c r="N520" i="95"/>
  <c r="O520" i="95"/>
  <c r="P520" i="95"/>
  <c r="N521" i="95"/>
  <c r="O521" i="95"/>
  <c r="P521" i="95"/>
  <c r="N522" i="95"/>
  <c r="O522" i="95"/>
  <c r="P522" i="95"/>
  <c r="N523" i="95"/>
  <c r="O523" i="95"/>
  <c r="P523" i="95"/>
  <c r="N524" i="95"/>
  <c r="O524" i="95"/>
  <c r="P524" i="95"/>
  <c r="N525" i="95"/>
  <c r="O525" i="95"/>
  <c r="P525" i="95"/>
  <c r="N526" i="95"/>
  <c r="O526" i="95"/>
  <c r="P526" i="95"/>
  <c r="N527" i="95"/>
  <c r="O527" i="95"/>
  <c r="P527" i="95"/>
  <c r="N528" i="95"/>
  <c r="O528" i="95"/>
  <c r="P528" i="95"/>
  <c r="N529" i="95"/>
  <c r="O529" i="95"/>
  <c r="P529" i="95"/>
  <c r="N530" i="95"/>
  <c r="O530" i="95"/>
  <c r="P530" i="95"/>
  <c r="N531" i="95"/>
  <c r="O531" i="95"/>
  <c r="P531" i="95"/>
  <c r="N532" i="95"/>
  <c r="O532" i="95"/>
  <c r="P532" i="95"/>
  <c r="N533" i="95"/>
  <c r="O533" i="95"/>
  <c r="P533" i="95"/>
  <c r="N534" i="95"/>
  <c r="O534" i="95"/>
  <c r="P534" i="95"/>
  <c r="N535" i="95"/>
  <c r="O535" i="95"/>
  <c r="P535" i="95"/>
  <c r="N536" i="95"/>
  <c r="O536" i="95"/>
  <c r="P536" i="95"/>
  <c r="N537" i="95"/>
  <c r="O537" i="95"/>
  <c r="P537" i="95"/>
  <c r="N538" i="95"/>
  <c r="O538" i="95"/>
  <c r="P538" i="95"/>
  <c r="N539" i="95"/>
  <c r="O539" i="95"/>
  <c r="P539" i="95"/>
  <c r="N540" i="95"/>
  <c r="O540" i="95"/>
  <c r="P540" i="95"/>
  <c r="N541" i="95"/>
  <c r="O541" i="95"/>
  <c r="P541" i="95"/>
  <c r="N542" i="95"/>
  <c r="O542" i="95"/>
  <c r="P542" i="95"/>
  <c r="N543" i="95"/>
  <c r="O543" i="95"/>
  <c r="P543" i="95"/>
  <c r="N544" i="95"/>
  <c r="O544" i="95"/>
  <c r="P544" i="95"/>
  <c r="N545" i="95"/>
  <c r="O545" i="95"/>
  <c r="P545" i="95"/>
  <c r="N546" i="95"/>
  <c r="O546" i="95"/>
  <c r="P546" i="95"/>
  <c r="N547" i="95"/>
  <c r="O547" i="95"/>
  <c r="P547" i="95"/>
  <c r="N548" i="95"/>
  <c r="O548" i="95"/>
  <c r="P548" i="95"/>
  <c r="N549" i="95"/>
  <c r="O549" i="95"/>
  <c r="P549" i="95"/>
  <c r="N550" i="95"/>
  <c r="O550" i="95"/>
  <c r="P550" i="95"/>
  <c r="N551" i="95"/>
  <c r="O551" i="95"/>
  <c r="P551" i="95"/>
  <c r="N552" i="95"/>
  <c r="O552" i="95"/>
  <c r="P552" i="95"/>
  <c r="N553" i="95"/>
  <c r="O553" i="95"/>
  <c r="P553" i="95"/>
  <c r="N554" i="95"/>
  <c r="O554" i="95"/>
  <c r="P554" i="95"/>
  <c r="N555" i="95"/>
  <c r="O555" i="95"/>
  <c r="P555" i="95"/>
  <c r="N556" i="95"/>
  <c r="O556" i="95"/>
  <c r="P556" i="95"/>
  <c r="N557" i="95"/>
  <c r="O557" i="95"/>
  <c r="P557" i="95"/>
  <c r="N558" i="95"/>
  <c r="O558" i="95"/>
  <c r="P558" i="95"/>
  <c r="N559" i="95"/>
  <c r="O559" i="95"/>
  <c r="P559" i="95"/>
  <c r="N560" i="95"/>
  <c r="O560" i="95"/>
  <c r="P560" i="95"/>
  <c r="N561" i="95"/>
  <c r="O561" i="95"/>
  <c r="P561" i="95"/>
  <c r="N562" i="95"/>
  <c r="O562" i="95"/>
  <c r="P562" i="95"/>
  <c r="N563" i="95"/>
  <c r="O563" i="95"/>
  <c r="P563" i="95"/>
  <c r="N564" i="95"/>
  <c r="O564" i="95"/>
  <c r="P564" i="95"/>
  <c r="N565" i="95"/>
  <c r="O565" i="95"/>
  <c r="P565" i="95"/>
  <c r="N566" i="95"/>
  <c r="O566" i="95"/>
  <c r="P566" i="95"/>
  <c r="N567" i="95"/>
  <c r="O567" i="95"/>
  <c r="P567" i="95"/>
  <c r="N568" i="95"/>
  <c r="O568" i="95"/>
  <c r="P568" i="95"/>
  <c r="N569" i="95"/>
  <c r="O569" i="95"/>
  <c r="P569" i="95"/>
  <c r="N570" i="95"/>
  <c r="O570" i="95"/>
  <c r="P570" i="95"/>
  <c r="N571" i="95"/>
  <c r="O571" i="95"/>
  <c r="P571" i="95"/>
  <c r="N572" i="95"/>
  <c r="O572" i="95"/>
  <c r="P572" i="95"/>
  <c r="N573" i="95"/>
  <c r="O573" i="95"/>
  <c r="P573" i="95"/>
  <c r="N574" i="95"/>
  <c r="O574" i="95"/>
  <c r="P574" i="95"/>
  <c r="N575" i="95"/>
  <c r="O575" i="95"/>
  <c r="P575" i="95"/>
  <c r="N576" i="95"/>
  <c r="O576" i="95"/>
  <c r="P576" i="95"/>
  <c r="N577" i="95"/>
  <c r="O577" i="95"/>
  <c r="P577" i="95"/>
  <c r="N578" i="95"/>
  <c r="O578" i="95"/>
  <c r="P578" i="95"/>
  <c r="N579" i="95"/>
  <c r="O579" i="95"/>
  <c r="P579" i="95"/>
  <c r="N580" i="95"/>
  <c r="O580" i="95"/>
  <c r="P580" i="95"/>
  <c r="N581" i="95"/>
  <c r="O581" i="95"/>
  <c r="P581" i="95"/>
  <c r="N582" i="95"/>
  <c r="O582" i="95"/>
  <c r="P582" i="95"/>
  <c r="N583" i="95"/>
  <c r="O583" i="95"/>
  <c r="P583" i="95"/>
  <c r="N584" i="95"/>
  <c r="O584" i="95"/>
  <c r="P584" i="95"/>
  <c r="N585" i="95"/>
  <c r="O585" i="95"/>
  <c r="P585" i="95"/>
  <c r="N586" i="95"/>
  <c r="O586" i="95"/>
  <c r="P586" i="95"/>
  <c r="N587" i="95"/>
  <c r="O587" i="95"/>
  <c r="P587" i="95"/>
  <c r="N588" i="95"/>
  <c r="O588" i="95"/>
  <c r="P588" i="95"/>
  <c r="N589" i="95"/>
  <c r="O589" i="95"/>
  <c r="P589" i="95"/>
  <c r="N590" i="95"/>
  <c r="O590" i="95"/>
  <c r="P590" i="95"/>
  <c r="N591" i="95"/>
  <c r="O591" i="95"/>
  <c r="P591" i="95"/>
  <c r="N592" i="95"/>
  <c r="O592" i="95"/>
  <c r="P592" i="95"/>
  <c r="N593" i="95"/>
  <c r="O593" i="95"/>
  <c r="P593" i="95"/>
  <c r="N594" i="95"/>
  <c r="O594" i="95"/>
  <c r="P594" i="95"/>
  <c r="N595" i="95"/>
  <c r="O595" i="95"/>
  <c r="P595" i="95"/>
  <c r="N596" i="95"/>
  <c r="O596" i="95"/>
  <c r="P596" i="95"/>
  <c r="N597" i="95"/>
  <c r="O597" i="95"/>
  <c r="P597" i="95"/>
  <c r="N598" i="95"/>
  <c r="O598" i="95"/>
  <c r="P598" i="95"/>
  <c r="N599" i="95"/>
  <c r="O599" i="95"/>
  <c r="P599" i="95"/>
  <c r="N600" i="95"/>
  <c r="O600" i="95"/>
  <c r="P600" i="95"/>
  <c r="N601" i="95"/>
  <c r="O601" i="95"/>
  <c r="P601" i="95"/>
  <c r="N602" i="95"/>
  <c r="O602" i="95"/>
  <c r="P602" i="95"/>
  <c r="N603" i="95"/>
  <c r="O603" i="95"/>
  <c r="P603" i="95"/>
  <c r="N604" i="95"/>
  <c r="O604" i="95"/>
  <c r="P604" i="95"/>
  <c r="N605" i="95"/>
  <c r="O605" i="95"/>
  <c r="P605" i="95"/>
  <c r="N606" i="95"/>
  <c r="O606" i="95"/>
  <c r="P606" i="95"/>
  <c r="N607" i="95"/>
  <c r="O607" i="95"/>
  <c r="P607" i="95"/>
  <c r="N608" i="95"/>
  <c r="O608" i="95"/>
  <c r="P608" i="95"/>
  <c r="N609" i="95"/>
  <c r="O609" i="95"/>
  <c r="P609" i="95"/>
  <c r="N610" i="95"/>
  <c r="O610" i="95"/>
  <c r="P610" i="95"/>
  <c r="N611" i="95"/>
  <c r="O611" i="95"/>
  <c r="P611" i="95"/>
  <c r="N612" i="95"/>
  <c r="O612" i="95"/>
  <c r="P612" i="95"/>
  <c r="N613" i="95"/>
  <c r="O613" i="95"/>
  <c r="P613" i="95"/>
  <c r="N614" i="95"/>
  <c r="O614" i="95"/>
  <c r="P614" i="95"/>
  <c r="N615" i="95"/>
  <c r="O615" i="95"/>
  <c r="P615" i="95"/>
  <c r="N616" i="95"/>
  <c r="O616" i="95"/>
  <c r="P616" i="95"/>
  <c r="N617" i="95"/>
  <c r="O617" i="95"/>
  <c r="P617" i="95"/>
  <c r="N618" i="95"/>
  <c r="O618" i="95"/>
  <c r="P618" i="95"/>
  <c r="N619" i="95"/>
  <c r="O619" i="95"/>
  <c r="P619" i="95"/>
  <c r="N620" i="95"/>
  <c r="O620" i="95"/>
  <c r="P620" i="95"/>
  <c r="N621" i="95"/>
  <c r="O621" i="95"/>
  <c r="P621" i="95"/>
  <c r="N622" i="95"/>
  <c r="O622" i="95"/>
  <c r="P622" i="95"/>
  <c r="N623" i="95"/>
  <c r="O623" i="95"/>
  <c r="P623" i="95"/>
  <c r="N624" i="95"/>
  <c r="O624" i="95"/>
  <c r="P624" i="95"/>
  <c r="N625" i="95"/>
  <c r="O625" i="95"/>
  <c r="P625" i="95"/>
  <c r="N626" i="95"/>
  <c r="O626" i="95"/>
  <c r="P626" i="95"/>
  <c r="N627" i="95"/>
  <c r="O627" i="95"/>
  <c r="P627" i="95"/>
  <c r="N628" i="95"/>
  <c r="O628" i="95"/>
  <c r="P628" i="95"/>
  <c r="N629" i="95"/>
  <c r="O629" i="95"/>
  <c r="P629" i="95"/>
  <c r="N630" i="95"/>
  <c r="O630" i="95"/>
  <c r="P630" i="95"/>
  <c r="N631" i="95"/>
  <c r="O631" i="95"/>
  <c r="P631" i="95"/>
  <c r="N632" i="95"/>
  <c r="O632" i="95"/>
  <c r="P632" i="95"/>
  <c r="N633" i="95"/>
  <c r="O633" i="95"/>
  <c r="P633" i="95"/>
  <c r="N634" i="95"/>
  <c r="O634" i="95"/>
  <c r="P634" i="95"/>
  <c r="N635" i="95"/>
  <c r="O635" i="95"/>
  <c r="P635" i="95"/>
  <c r="N636" i="95"/>
  <c r="O636" i="95"/>
  <c r="P636" i="95"/>
  <c r="N637" i="95"/>
  <c r="O637" i="95"/>
  <c r="P637" i="95"/>
  <c r="N638" i="95"/>
  <c r="O638" i="95"/>
  <c r="P638" i="95"/>
  <c r="N639" i="95"/>
  <c r="O639" i="95"/>
  <c r="P639" i="95"/>
  <c r="N640" i="95"/>
  <c r="O640" i="95"/>
  <c r="P640" i="95"/>
  <c r="N641" i="95"/>
  <c r="O641" i="95"/>
  <c r="P641" i="95"/>
  <c r="N642" i="95"/>
  <c r="O642" i="95"/>
  <c r="P642" i="95"/>
  <c r="N643" i="95"/>
  <c r="O643" i="95"/>
  <c r="P643" i="95"/>
  <c r="N644" i="95"/>
  <c r="O644" i="95"/>
  <c r="P644" i="95"/>
  <c r="N645" i="95"/>
  <c r="O645" i="95"/>
  <c r="P645" i="95"/>
  <c r="N646" i="95"/>
  <c r="O646" i="95"/>
  <c r="P646" i="95"/>
  <c r="N647" i="95"/>
  <c r="O647" i="95"/>
  <c r="P647" i="95"/>
  <c r="N648" i="95"/>
  <c r="O648" i="95"/>
  <c r="P648" i="95"/>
  <c r="N649" i="95"/>
  <c r="O649" i="95"/>
  <c r="P649" i="95"/>
  <c r="N650" i="95"/>
  <c r="O650" i="95"/>
  <c r="P650" i="95"/>
  <c r="N651" i="95"/>
  <c r="O651" i="95"/>
  <c r="P651" i="95"/>
  <c r="N652" i="95"/>
  <c r="O652" i="95"/>
  <c r="P652" i="95"/>
  <c r="N653" i="95"/>
  <c r="O653" i="95"/>
  <c r="P653" i="95"/>
  <c r="N654" i="95"/>
  <c r="O654" i="95"/>
  <c r="P654" i="95"/>
  <c r="N655" i="95"/>
  <c r="O655" i="95"/>
  <c r="P655" i="95"/>
  <c r="N656" i="95"/>
  <c r="O656" i="95"/>
  <c r="P656" i="95"/>
  <c r="N657" i="95"/>
  <c r="O657" i="95"/>
  <c r="P657" i="95"/>
  <c r="N658" i="95"/>
  <c r="O658" i="95"/>
  <c r="P658" i="95"/>
  <c r="N659" i="95"/>
  <c r="O659" i="95"/>
  <c r="P659" i="95"/>
  <c r="N660" i="95"/>
  <c r="O660" i="95"/>
  <c r="P660" i="95"/>
  <c r="N661" i="95"/>
  <c r="O661" i="95"/>
  <c r="P661" i="95"/>
  <c r="N662" i="95"/>
  <c r="O662" i="95"/>
  <c r="P662" i="95"/>
  <c r="N663" i="95"/>
  <c r="O663" i="95"/>
  <c r="P663" i="95"/>
  <c r="N664" i="95"/>
  <c r="O664" i="95"/>
  <c r="P664" i="95"/>
  <c r="N665" i="95"/>
  <c r="O665" i="95"/>
  <c r="P665" i="95"/>
  <c r="N666" i="95"/>
  <c r="O666" i="95"/>
  <c r="P666" i="95"/>
  <c r="N667" i="95"/>
  <c r="O667" i="95"/>
  <c r="P667" i="95"/>
  <c r="N668" i="95"/>
  <c r="O668" i="95"/>
  <c r="P668" i="95"/>
  <c r="N669" i="95"/>
  <c r="O669" i="95"/>
  <c r="P669" i="95"/>
  <c r="N670" i="95"/>
  <c r="O670" i="95"/>
  <c r="P670" i="95"/>
  <c r="N671" i="95"/>
  <c r="O671" i="95"/>
  <c r="P671" i="95"/>
  <c r="N672" i="95"/>
  <c r="O672" i="95"/>
  <c r="P672" i="95"/>
  <c r="N673" i="95"/>
  <c r="O673" i="95"/>
  <c r="P673" i="95"/>
  <c r="N674" i="95"/>
  <c r="O674" i="95"/>
  <c r="P674" i="95"/>
  <c r="N675" i="95"/>
  <c r="O675" i="95"/>
  <c r="P675" i="95"/>
  <c r="N676" i="95"/>
  <c r="O676" i="95"/>
  <c r="P676" i="95"/>
  <c r="N677" i="95"/>
  <c r="O677" i="95"/>
  <c r="P677" i="95"/>
  <c r="N678" i="95"/>
  <c r="O678" i="95"/>
  <c r="P678" i="95"/>
  <c r="N679" i="95"/>
  <c r="O679" i="95"/>
  <c r="P679" i="95"/>
  <c r="N680" i="95"/>
  <c r="O680" i="95"/>
  <c r="P680" i="95"/>
  <c r="N681" i="95"/>
  <c r="O681" i="95"/>
  <c r="P681" i="95"/>
  <c r="N682" i="95"/>
  <c r="O682" i="95"/>
  <c r="P682" i="95"/>
  <c r="N683" i="95"/>
  <c r="O683" i="95"/>
  <c r="P683" i="95"/>
  <c r="N684" i="95"/>
  <c r="O684" i="95"/>
  <c r="P684" i="95"/>
  <c r="N685" i="95"/>
  <c r="O685" i="95"/>
  <c r="P685" i="95"/>
  <c r="P8" i="95"/>
  <c r="O8" i="95"/>
  <c r="N8" i="95"/>
  <c r="M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L99" i="95"/>
  <c r="L100" i="95"/>
  <c r="L101" i="95"/>
  <c r="L102" i="95"/>
  <c r="L103" i="95"/>
  <c r="L104" i="95"/>
  <c r="L105" i="95"/>
  <c r="L106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1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4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1" i="95"/>
  <c r="L192" i="95"/>
  <c r="L193" i="95"/>
  <c r="L194" i="95"/>
  <c r="L195" i="95"/>
  <c r="L196" i="95"/>
  <c r="L197" i="95"/>
  <c r="L198" i="95"/>
  <c r="L199" i="95"/>
  <c r="L200" i="95"/>
  <c r="L201" i="95"/>
  <c r="L202" i="95"/>
  <c r="L203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L222" i="95"/>
  <c r="L223" i="95"/>
  <c r="L224" i="95"/>
  <c r="L225" i="95"/>
  <c r="L226" i="95"/>
  <c r="L227" i="95"/>
  <c r="L228" i="95"/>
  <c r="L229" i="95"/>
  <c r="L230" i="95"/>
  <c r="L231" i="95"/>
  <c r="L232" i="95"/>
  <c r="L233" i="95"/>
  <c r="L234" i="95"/>
  <c r="L235" i="95"/>
  <c r="L236" i="95"/>
  <c r="L237" i="95"/>
  <c r="L238" i="95"/>
  <c r="L239" i="95"/>
  <c r="L240" i="95"/>
  <c r="L241" i="95"/>
  <c r="L242" i="95"/>
  <c r="L243" i="95"/>
  <c r="L244" i="95"/>
  <c r="L245" i="95"/>
  <c r="L246" i="95"/>
  <c r="L247" i="95"/>
  <c r="L248" i="95"/>
  <c r="L249" i="95"/>
  <c r="L250" i="95"/>
  <c r="L251" i="95"/>
  <c r="L252" i="95"/>
  <c r="L253" i="95"/>
  <c r="L254" i="95"/>
  <c r="L255" i="95"/>
  <c r="L256" i="95"/>
  <c r="L257" i="95"/>
  <c r="L258" i="95"/>
  <c r="L259" i="95"/>
  <c r="L260" i="95"/>
  <c r="L261" i="95"/>
  <c r="L262" i="95"/>
  <c r="L263" i="95"/>
  <c r="L264" i="95"/>
  <c r="L265" i="95"/>
  <c r="L266" i="95"/>
  <c r="L267" i="95"/>
  <c r="L268" i="95"/>
  <c r="L269" i="95"/>
  <c r="L270" i="95"/>
  <c r="L271" i="95"/>
  <c r="L272" i="95"/>
  <c r="L273" i="95"/>
  <c r="L274" i="95"/>
  <c r="L275" i="95"/>
  <c r="L276" i="95"/>
  <c r="L277" i="95"/>
  <c r="L278" i="95"/>
  <c r="L279" i="95"/>
  <c r="L280" i="95"/>
  <c r="L281" i="95"/>
  <c r="L282" i="95"/>
  <c r="L283" i="95"/>
  <c r="L284" i="95"/>
  <c r="L285" i="95"/>
  <c r="L286" i="95"/>
  <c r="L287" i="95"/>
  <c r="L288" i="95"/>
  <c r="L289" i="95"/>
  <c r="L290" i="95"/>
  <c r="L291" i="95"/>
  <c r="L292" i="95"/>
  <c r="L293" i="95"/>
  <c r="L294" i="95"/>
  <c r="L295" i="95"/>
  <c r="L296" i="95"/>
  <c r="L297" i="95"/>
  <c r="L298" i="95"/>
  <c r="L299" i="95"/>
  <c r="L300" i="95"/>
  <c r="L301" i="95"/>
  <c r="L302" i="95"/>
  <c r="L303" i="95"/>
  <c r="L304" i="95"/>
  <c r="L305" i="95"/>
  <c r="L306" i="95"/>
  <c r="L307" i="95"/>
  <c r="L308" i="95"/>
  <c r="L309" i="95"/>
  <c r="L310" i="95"/>
  <c r="L311" i="95"/>
  <c r="L312" i="95"/>
  <c r="L313" i="95"/>
  <c r="L314" i="95"/>
  <c r="L315" i="95"/>
  <c r="L316" i="95"/>
  <c r="L317" i="95"/>
  <c r="L318" i="95"/>
  <c r="L319" i="95"/>
  <c r="L320" i="95"/>
  <c r="L321" i="95"/>
  <c r="L322" i="95"/>
  <c r="L323" i="95"/>
  <c r="L324" i="95"/>
  <c r="L325" i="95"/>
  <c r="L326" i="95"/>
  <c r="L327" i="95"/>
  <c r="L328" i="95"/>
  <c r="L329" i="95"/>
  <c r="L330" i="95"/>
  <c r="L331" i="95"/>
  <c r="L332" i="95"/>
  <c r="L333" i="95"/>
  <c r="L334" i="95"/>
  <c r="L335" i="95"/>
  <c r="L336" i="95"/>
  <c r="L337" i="95"/>
  <c r="L338" i="95"/>
  <c r="L339" i="95"/>
  <c r="L340" i="95"/>
  <c r="L341" i="95"/>
  <c r="L342" i="95"/>
  <c r="L343" i="95"/>
  <c r="L344" i="95"/>
  <c r="L345" i="95"/>
  <c r="L346" i="95"/>
  <c r="L347" i="95"/>
  <c r="L348" i="95"/>
  <c r="L349" i="95"/>
  <c r="L350" i="95"/>
  <c r="L351" i="95"/>
  <c r="L352" i="95"/>
  <c r="L353" i="95"/>
  <c r="L354" i="95"/>
  <c r="L355" i="95"/>
  <c r="L356" i="95"/>
  <c r="L357" i="95"/>
  <c r="L358" i="95"/>
  <c r="L359" i="95"/>
  <c r="L360" i="95"/>
  <c r="L361" i="95"/>
  <c r="L362" i="95"/>
  <c r="L363" i="95"/>
  <c r="L364" i="95"/>
  <c r="L365" i="95"/>
  <c r="L366" i="95"/>
  <c r="L367" i="95"/>
  <c r="L368" i="95"/>
  <c r="L369" i="95"/>
  <c r="L370" i="95"/>
  <c r="L371" i="95"/>
  <c r="L372" i="95"/>
  <c r="L373" i="95"/>
  <c r="L374" i="95"/>
  <c r="L375" i="95"/>
  <c r="L376" i="95"/>
  <c r="L377" i="95"/>
  <c r="L378" i="95"/>
  <c r="L379" i="95"/>
  <c r="L380" i="95"/>
  <c r="L381" i="95"/>
  <c r="L382" i="95"/>
  <c r="L383" i="95"/>
  <c r="L384" i="95"/>
  <c r="L385" i="95"/>
  <c r="L386" i="95"/>
  <c r="L387" i="95"/>
  <c r="L388" i="95"/>
  <c r="L389" i="95"/>
  <c r="L390" i="95"/>
  <c r="L391" i="95"/>
  <c r="L392" i="95"/>
  <c r="L393" i="95"/>
  <c r="L394" i="95"/>
  <c r="L395" i="95"/>
  <c r="L396" i="95"/>
  <c r="L397" i="95"/>
  <c r="L398" i="95"/>
  <c r="L399" i="95"/>
  <c r="L400" i="95"/>
  <c r="L401" i="95"/>
  <c r="L402" i="95"/>
  <c r="L403" i="95"/>
  <c r="L404" i="95"/>
  <c r="L405" i="95"/>
  <c r="L406" i="95"/>
  <c r="L407" i="95"/>
  <c r="L408" i="95"/>
  <c r="L409" i="95"/>
  <c r="L410" i="95"/>
  <c r="L411" i="95"/>
  <c r="L412" i="95"/>
  <c r="L413" i="95"/>
  <c r="L414" i="95"/>
  <c r="L415" i="95"/>
  <c r="L416" i="95"/>
  <c r="L417" i="95"/>
  <c r="L418" i="95"/>
  <c r="L419" i="95"/>
  <c r="L420" i="95"/>
  <c r="L421" i="95"/>
  <c r="L422" i="95"/>
  <c r="L423" i="95"/>
  <c r="L424" i="95"/>
  <c r="L425" i="95"/>
  <c r="L426" i="95"/>
  <c r="L427" i="95"/>
  <c r="L428" i="95"/>
  <c r="L429" i="95"/>
  <c r="L430" i="95"/>
  <c r="L431" i="95"/>
  <c r="L432" i="95"/>
  <c r="L433" i="95"/>
  <c r="L434" i="95"/>
  <c r="L435" i="95"/>
  <c r="L436" i="95"/>
  <c r="L437" i="95"/>
  <c r="L438" i="95"/>
  <c r="L439" i="95"/>
  <c r="L440" i="95"/>
  <c r="L441" i="95"/>
  <c r="L442" i="95"/>
  <c r="L443" i="95"/>
  <c r="L444" i="95"/>
  <c r="L445" i="95"/>
  <c r="L446" i="95"/>
  <c r="L447" i="95"/>
  <c r="L448" i="95"/>
  <c r="L449" i="95"/>
  <c r="L450" i="95"/>
  <c r="L451" i="95"/>
  <c r="L452" i="95"/>
  <c r="L453" i="95"/>
  <c r="L454" i="95"/>
  <c r="L455" i="95"/>
  <c r="L456" i="95"/>
  <c r="L457" i="95"/>
  <c r="L458" i="95"/>
  <c r="L459" i="95"/>
  <c r="L460" i="95"/>
  <c r="L461" i="95"/>
  <c r="L462" i="95"/>
  <c r="L463" i="95"/>
  <c r="L464" i="95"/>
  <c r="L465" i="95"/>
  <c r="L466" i="95"/>
  <c r="L467" i="95"/>
  <c r="L468" i="95"/>
  <c r="L469" i="95"/>
  <c r="L470" i="95"/>
  <c r="L471" i="95"/>
  <c r="L472" i="95"/>
  <c r="L473" i="95"/>
  <c r="L474" i="95"/>
  <c r="L475" i="95"/>
  <c r="L476" i="95"/>
  <c r="L477" i="95"/>
  <c r="L478" i="95"/>
  <c r="L479" i="95"/>
  <c r="L480" i="95"/>
  <c r="L481" i="95"/>
  <c r="L482" i="95"/>
  <c r="L483" i="95"/>
  <c r="L484" i="95"/>
  <c r="L485" i="95"/>
  <c r="L486" i="95"/>
  <c r="L487" i="95"/>
  <c r="L488" i="95"/>
  <c r="L489" i="95"/>
  <c r="L490" i="95"/>
  <c r="L491" i="95"/>
  <c r="L492" i="95"/>
  <c r="L493" i="95"/>
  <c r="L494" i="95"/>
  <c r="L495" i="95"/>
  <c r="L496" i="95"/>
  <c r="L497" i="95"/>
  <c r="L498" i="95"/>
  <c r="L499" i="95"/>
  <c r="L500" i="95"/>
  <c r="L501" i="95"/>
  <c r="L502" i="95"/>
  <c r="L503" i="95"/>
  <c r="L504" i="95"/>
  <c r="L505" i="95"/>
  <c r="L506" i="95"/>
  <c r="L507" i="95"/>
  <c r="L508" i="95"/>
  <c r="L509" i="95"/>
  <c r="L510" i="95"/>
  <c r="L511" i="95"/>
  <c r="L512" i="95"/>
  <c r="L513" i="95"/>
  <c r="L514" i="95"/>
  <c r="L515" i="95"/>
  <c r="L516" i="95"/>
  <c r="L517" i="95"/>
  <c r="L518" i="95"/>
  <c r="L519" i="95"/>
  <c r="L520" i="95"/>
  <c r="L521" i="95"/>
  <c r="L522" i="95"/>
  <c r="L523" i="95"/>
  <c r="L524" i="95"/>
  <c r="L525" i="95"/>
  <c r="L526" i="95"/>
  <c r="L527" i="95"/>
  <c r="L528" i="95"/>
  <c r="L529" i="95"/>
  <c r="L530" i="95"/>
  <c r="L531" i="95"/>
  <c r="L532" i="95"/>
  <c r="L533" i="95"/>
  <c r="L534" i="95"/>
  <c r="L535" i="95"/>
  <c r="L536" i="95"/>
  <c r="L537" i="95"/>
  <c r="L538" i="95"/>
  <c r="L539" i="95"/>
  <c r="L540" i="95"/>
  <c r="L541" i="95"/>
  <c r="L542" i="95"/>
  <c r="L543" i="95"/>
  <c r="L544" i="95"/>
  <c r="L545" i="95"/>
  <c r="L546" i="95"/>
  <c r="L547" i="95"/>
  <c r="L548" i="95"/>
  <c r="L549" i="95"/>
  <c r="L550" i="95"/>
  <c r="L551" i="95"/>
  <c r="L552" i="95"/>
  <c r="L553" i="95"/>
  <c r="L554" i="95"/>
  <c r="L555" i="95"/>
  <c r="L556" i="95"/>
  <c r="L557" i="95"/>
  <c r="L558" i="95"/>
  <c r="L559" i="95"/>
  <c r="L560" i="95"/>
  <c r="L561" i="95"/>
  <c r="L562" i="95"/>
  <c r="L563" i="95"/>
  <c r="L564" i="95"/>
  <c r="L565" i="95"/>
  <c r="L566" i="95"/>
  <c r="L567" i="95"/>
  <c r="L568" i="95"/>
  <c r="L569" i="95"/>
  <c r="L570" i="95"/>
  <c r="L571" i="95"/>
  <c r="L572" i="95"/>
  <c r="L573" i="95"/>
  <c r="L574" i="95"/>
  <c r="L575" i="95"/>
  <c r="L576" i="95"/>
  <c r="L577" i="95"/>
  <c r="L578" i="95"/>
  <c r="L579" i="95"/>
  <c r="L580" i="95"/>
  <c r="L581" i="95"/>
  <c r="L582" i="95"/>
  <c r="L583" i="95"/>
  <c r="L584" i="95"/>
  <c r="L585" i="95"/>
  <c r="L586" i="95"/>
  <c r="L587" i="95"/>
  <c r="L588" i="95"/>
  <c r="L589" i="95"/>
  <c r="L590" i="95"/>
  <c r="L591" i="95"/>
  <c r="L592" i="95"/>
  <c r="L593" i="95"/>
  <c r="L594" i="95"/>
  <c r="L595" i="95"/>
  <c r="L596" i="95"/>
  <c r="L597" i="95"/>
  <c r="L598" i="95"/>
  <c r="L599" i="95"/>
  <c r="L600" i="95"/>
  <c r="L601" i="95"/>
  <c r="L602" i="95"/>
  <c r="L603" i="95"/>
  <c r="L604" i="95"/>
  <c r="L605" i="95"/>
  <c r="L606" i="95"/>
  <c r="L607" i="95"/>
  <c r="L608" i="95"/>
  <c r="L609" i="95"/>
  <c r="L610" i="95"/>
  <c r="L611" i="95"/>
  <c r="L612" i="95"/>
  <c r="L613" i="95"/>
  <c r="L614" i="95"/>
  <c r="L615" i="95"/>
  <c r="L616" i="95"/>
  <c r="L617" i="95"/>
  <c r="L618" i="95"/>
  <c r="L619" i="95"/>
  <c r="L620" i="95"/>
  <c r="L621" i="95"/>
  <c r="L622" i="95"/>
  <c r="L623" i="95"/>
  <c r="L624" i="95"/>
  <c r="L625" i="95"/>
  <c r="L626" i="95"/>
  <c r="L627" i="95"/>
  <c r="L628" i="95"/>
  <c r="L629" i="95"/>
  <c r="L630" i="95"/>
  <c r="L631" i="95"/>
  <c r="L632" i="95"/>
  <c r="L633" i="95"/>
  <c r="L634" i="95"/>
  <c r="L635" i="95"/>
  <c r="L636" i="95"/>
  <c r="L637" i="95"/>
  <c r="L638" i="95"/>
  <c r="L639" i="95"/>
  <c r="L640" i="95"/>
  <c r="L641" i="95"/>
  <c r="L642" i="95"/>
  <c r="L643" i="95"/>
  <c r="L644" i="95"/>
  <c r="L645" i="95"/>
  <c r="L646" i="95"/>
  <c r="L647" i="95"/>
  <c r="L648" i="95"/>
  <c r="L649" i="95"/>
  <c r="L650" i="95"/>
  <c r="L651" i="95"/>
  <c r="L652" i="95"/>
  <c r="L653" i="95"/>
  <c r="L654" i="95"/>
  <c r="L655" i="95"/>
  <c r="L656" i="95"/>
  <c r="L657" i="95"/>
  <c r="L658" i="95"/>
  <c r="L659" i="95"/>
  <c r="L660" i="95"/>
  <c r="L661" i="95"/>
  <c r="L662" i="95"/>
  <c r="L663" i="95"/>
  <c r="L664" i="95"/>
  <c r="L665" i="95"/>
  <c r="L666" i="95"/>
  <c r="L667" i="95"/>
  <c r="L668" i="95"/>
  <c r="L669" i="95"/>
  <c r="L670" i="95"/>
  <c r="L671" i="95"/>
  <c r="L672" i="95"/>
  <c r="L673" i="95"/>
  <c r="L674" i="95"/>
  <c r="L675" i="95"/>
  <c r="L676" i="95"/>
  <c r="L677" i="95"/>
  <c r="L678" i="95"/>
  <c r="L679" i="95"/>
  <c r="L680" i="95"/>
  <c r="L681" i="95"/>
  <c r="L682" i="95"/>
  <c r="L683" i="95"/>
  <c r="L684" i="95"/>
  <c r="L685" i="95"/>
  <c r="L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I26" i="95"/>
  <c r="I27" i="95"/>
  <c r="I28" i="95"/>
  <c r="I29" i="95"/>
  <c r="I30" i="95"/>
  <c r="I31" i="95"/>
  <c r="I32" i="95"/>
  <c r="I33" i="95"/>
  <c r="I34" i="95"/>
  <c r="I35" i="95"/>
  <c r="I36" i="95"/>
  <c r="I37" i="95"/>
  <c r="I38" i="95"/>
  <c r="I39" i="95"/>
  <c r="I40" i="95"/>
  <c r="I41" i="95"/>
  <c r="I42" i="95"/>
  <c r="I43" i="95"/>
  <c r="I44" i="95"/>
  <c r="I45" i="95"/>
  <c r="I46" i="95"/>
  <c r="I47" i="95"/>
  <c r="I48" i="95"/>
  <c r="I49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I63" i="95"/>
  <c r="I64" i="95"/>
  <c r="I65" i="95"/>
  <c r="I66" i="95"/>
  <c r="I67" i="95"/>
  <c r="I68" i="95"/>
  <c r="I69" i="95"/>
  <c r="I70" i="95"/>
  <c r="I71" i="95"/>
  <c r="I72" i="95"/>
  <c r="I73" i="95"/>
  <c r="I74" i="95"/>
  <c r="I75" i="95"/>
  <c r="I76" i="95"/>
  <c r="I77" i="95"/>
  <c r="I78" i="95"/>
  <c r="I79" i="95"/>
  <c r="I80" i="95"/>
  <c r="I81" i="95"/>
  <c r="I82" i="95"/>
  <c r="I83" i="95"/>
  <c r="I84" i="95"/>
  <c r="I85" i="95"/>
  <c r="I86" i="95"/>
  <c r="I87" i="95"/>
  <c r="I88" i="95"/>
  <c r="I89" i="95"/>
  <c r="I90" i="95"/>
  <c r="I91" i="95"/>
  <c r="I92" i="95"/>
  <c r="I93" i="95"/>
  <c r="I94" i="95"/>
  <c r="I95" i="95"/>
  <c r="I96" i="95"/>
  <c r="I97" i="95"/>
  <c r="I98" i="95"/>
  <c r="I99" i="95"/>
  <c r="I100" i="95"/>
  <c r="I101" i="95"/>
  <c r="I102" i="95"/>
  <c r="I103" i="95"/>
  <c r="I104" i="95"/>
  <c r="I105" i="95"/>
  <c r="I106" i="95"/>
  <c r="I107" i="95"/>
  <c r="I108" i="95"/>
  <c r="I109" i="95"/>
  <c r="I110" i="95"/>
  <c r="I111" i="95"/>
  <c r="I112" i="95"/>
  <c r="I113" i="95"/>
  <c r="I114" i="95"/>
  <c r="I115" i="95"/>
  <c r="I116" i="95"/>
  <c r="I117" i="95"/>
  <c r="I118" i="95"/>
  <c r="I119" i="95"/>
  <c r="I120" i="95"/>
  <c r="I121" i="95"/>
  <c r="I122" i="95"/>
  <c r="I123" i="95"/>
  <c r="I124" i="95"/>
  <c r="I125" i="95"/>
  <c r="I126" i="95"/>
  <c r="I127" i="95"/>
  <c r="I128" i="95"/>
  <c r="I129" i="95"/>
  <c r="I130" i="95"/>
  <c r="I131" i="95"/>
  <c r="I132" i="95"/>
  <c r="I133" i="95"/>
  <c r="I134" i="95"/>
  <c r="I135" i="95"/>
  <c r="I136" i="95"/>
  <c r="I137" i="95"/>
  <c r="I138" i="95"/>
  <c r="I139" i="95"/>
  <c r="I140" i="95"/>
  <c r="I141" i="95"/>
  <c r="I142" i="95"/>
  <c r="I143" i="95"/>
  <c r="I144" i="95"/>
  <c r="I145" i="95"/>
  <c r="I146" i="95"/>
  <c r="I147" i="95"/>
  <c r="I148" i="95"/>
  <c r="I149" i="95"/>
  <c r="I150" i="95"/>
  <c r="I151" i="95"/>
  <c r="I152" i="95"/>
  <c r="I153" i="95"/>
  <c r="I154" i="95"/>
  <c r="I155" i="95"/>
  <c r="I156" i="95"/>
  <c r="I157" i="95"/>
  <c r="I158" i="95"/>
  <c r="I159" i="95"/>
  <c r="I160" i="95"/>
  <c r="I161" i="95"/>
  <c r="I162" i="95"/>
  <c r="I163" i="95"/>
  <c r="I164" i="95"/>
  <c r="I165" i="95"/>
  <c r="I166" i="95"/>
  <c r="I167" i="95"/>
  <c r="I168" i="95"/>
  <c r="I169" i="95"/>
  <c r="I170" i="95"/>
  <c r="I171" i="95"/>
  <c r="I172" i="95"/>
  <c r="I173" i="95"/>
  <c r="I174" i="95"/>
  <c r="I175" i="95"/>
  <c r="I176" i="95"/>
  <c r="I177" i="95"/>
  <c r="I178" i="95"/>
  <c r="I179" i="95"/>
  <c r="I180" i="95"/>
  <c r="I181" i="95"/>
  <c r="I182" i="95"/>
  <c r="I183" i="95"/>
  <c r="I184" i="95"/>
  <c r="I185" i="95"/>
  <c r="I186" i="95"/>
  <c r="I187" i="95"/>
  <c r="I188" i="95"/>
  <c r="I189" i="95"/>
  <c r="I190" i="95"/>
  <c r="I191" i="95"/>
  <c r="I192" i="95"/>
  <c r="I193" i="95"/>
  <c r="I194" i="95"/>
  <c r="I195" i="95"/>
  <c r="I196" i="95"/>
  <c r="I197" i="95"/>
  <c r="I198" i="95"/>
  <c r="I199" i="95"/>
  <c r="I200" i="95"/>
  <c r="I201" i="95"/>
  <c r="I202" i="95"/>
  <c r="I203" i="95"/>
  <c r="I204" i="95"/>
  <c r="I205" i="95"/>
  <c r="I206" i="95"/>
  <c r="I207" i="95"/>
  <c r="I208" i="95"/>
  <c r="I209" i="95"/>
  <c r="I210" i="95"/>
  <c r="I211" i="95"/>
  <c r="I212" i="95"/>
  <c r="I213" i="95"/>
  <c r="I214" i="95"/>
  <c r="I215" i="95"/>
  <c r="I216" i="95"/>
  <c r="I217" i="95"/>
  <c r="I218" i="95"/>
  <c r="I219" i="95"/>
  <c r="I220" i="95"/>
  <c r="I221" i="95"/>
  <c r="I222" i="95"/>
  <c r="I223" i="95"/>
  <c r="I224" i="95"/>
  <c r="I225" i="95"/>
  <c r="I226" i="95"/>
  <c r="I227" i="95"/>
  <c r="I228" i="95"/>
  <c r="I229" i="95"/>
  <c r="I230" i="95"/>
  <c r="I231" i="95"/>
  <c r="I232" i="95"/>
  <c r="I233" i="95"/>
  <c r="I234" i="95"/>
  <c r="I235" i="95"/>
  <c r="I236" i="95"/>
  <c r="I237" i="95"/>
  <c r="I238" i="95"/>
  <c r="I239" i="95"/>
  <c r="I240" i="95"/>
  <c r="I241" i="95"/>
  <c r="I242" i="95"/>
  <c r="I243" i="95"/>
  <c r="I244" i="95"/>
  <c r="I245" i="95"/>
  <c r="I246" i="95"/>
  <c r="I247" i="95"/>
  <c r="I248" i="95"/>
  <c r="I249" i="95"/>
  <c r="I250" i="95"/>
  <c r="I251" i="95"/>
  <c r="I252" i="95"/>
  <c r="I253" i="95"/>
  <c r="I254" i="95"/>
  <c r="I255" i="95"/>
  <c r="I256" i="95"/>
  <c r="I257" i="95"/>
  <c r="I258" i="95"/>
  <c r="I259" i="95"/>
  <c r="I260" i="95"/>
  <c r="I261" i="95"/>
  <c r="I262" i="95"/>
  <c r="I263" i="95"/>
  <c r="I264" i="95"/>
  <c r="I265" i="95"/>
  <c r="I266" i="95"/>
  <c r="I267" i="95"/>
  <c r="I268" i="95"/>
  <c r="I269" i="95"/>
  <c r="I270" i="95"/>
  <c r="I271" i="95"/>
  <c r="I272" i="95"/>
  <c r="I273" i="95"/>
  <c r="I274" i="95"/>
  <c r="I275" i="95"/>
  <c r="I276" i="95"/>
  <c r="I277" i="95"/>
  <c r="I278" i="95"/>
  <c r="I279" i="95"/>
  <c r="I280" i="95"/>
  <c r="I281" i="95"/>
  <c r="I282" i="95"/>
  <c r="I283" i="95"/>
  <c r="I284" i="95"/>
  <c r="I285" i="95"/>
  <c r="I286" i="95"/>
  <c r="I287" i="95"/>
  <c r="I288" i="95"/>
  <c r="I289" i="95"/>
  <c r="I290" i="95"/>
  <c r="I291" i="95"/>
  <c r="I292" i="95"/>
  <c r="I293" i="95"/>
  <c r="I294" i="95"/>
  <c r="I295" i="95"/>
  <c r="I296" i="95"/>
  <c r="I297" i="95"/>
  <c r="I298" i="95"/>
  <c r="I299" i="95"/>
  <c r="I300" i="95"/>
  <c r="I301" i="95"/>
  <c r="I302" i="95"/>
  <c r="I303" i="95"/>
  <c r="I304" i="95"/>
  <c r="I305" i="95"/>
  <c r="I306" i="95"/>
  <c r="I307" i="95"/>
  <c r="I308" i="95"/>
  <c r="I309" i="95"/>
  <c r="I310" i="95"/>
  <c r="I311" i="95"/>
  <c r="I312" i="95"/>
  <c r="I313" i="95"/>
  <c r="I314" i="95"/>
  <c r="I315" i="95"/>
  <c r="I316" i="95"/>
  <c r="I317" i="95"/>
  <c r="I318" i="95"/>
  <c r="I319" i="95"/>
  <c r="I320" i="95"/>
  <c r="I321" i="95"/>
  <c r="I322" i="95"/>
  <c r="I323" i="95"/>
  <c r="I324" i="95"/>
  <c r="I325" i="95"/>
  <c r="I326" i="95"/>
  <c r="I327" i="95"/>
  <c r="I328" i="95"/>
  <c r="I329" i="95"/>
  <c r="I330" i="95"/>
  <c r="I331" i="95"/>
  <c r="I332" i="95"/>
  <c r="I333" i="95"/>
  <c r="I334" i="95"/>
  <c r="I335" i="95"/>
  <c r="I336" i="95"/>
  <c r="I337" i="95"/>
  <c r="I338" i="95"/>
  <c r="I339" i="95"/>
  <c r="I340" i="95"/>
  <c r="I341" i="95"/>
  <c r="I342" i="95"/>
  <c r="I343" i="95"/>
  <c r="I344" i="95"/>
  <c r="I345" i="95"/>
  <c r="I346" i="95"/>
  <c r="I347" i="95"/>
  <c r="I348" i="95"/>
  <c r="I349" i="95"/>
  <c r="I350" i="95"/>
  <c r="I351" i="95"/>
  <c r="I352" i="95"/>
  <c r="I353" i="95"/>
  <c r="I354" i="95"/>
  <c r="I355" i="95"/>
  <c r="I356" i="95"/>
  <c r="I357" i="95"/>
  <c r="I358" i="95"/>
  <c r="I359" i="95"/>
  <c r="I360" i="95"/>
  <c r="I361" i="95"/>
  <c r="I362" i="95"/>
  <c r="I363" i="95"/>
  <c r="I364" i="95"/>
  <c r="I365" i="95"/>
  <c r="I366" i="95"/>
  <c r="I367" i="95"/>
  <c r="I368" i="95"/>
  <c r="I369" i="95"/>
  <c r="I370" i="95"/>
  <c r="I371" i="95"/>
  <c r="I372" i="95"/>
  <c r="I373" i="95"/>
  <c r="I374" i="95"/>
  <c r="I375" i="95"/>
  <c r="I376" i="95"/>
  <c r="I377" i="95"/>
  <c r="I378" i="95"/>
  <c r="I379" i="95"/>
  <c r="I380" i="95"/>
  <c r="I381" i="95"/>
  <c r="I382" i="95"/>
  <c r="I383" i="95"/>
  <c r="I384" i="95"/>
  <c r="I385" i="95"/>
  <c r="I386" i="95"/>
  <c r="I387" i="95"/>
  <c r="I388" i="95"/>
  <c r="I389" i="95"/>
  <c r="I390" i="95"/>
  <c r="I391" i="95"/>
  <c r="I392" i="95"/>
  <c r="I393" i="95"/>
  <c r="I394" i="95"/>
  <c r="I395" i="95"/>
  <c r="I396" i="95"/>
  <c r="I397" i="95"/>
  <c r="I398" i="95"/>
  <c r="I399" i="95"/>
  <c r="I400" i="95"/>
  <c r="I401" i="95"/>
  <c r="I402" i="95"/>
  <c r="I403" i="95"/>
  <c r="I404" i="95"/>
  <c r="I405" i="95"/>
  <c r="I406" i="95"/>
  <c r="I407" i="95"/>
  <c r="I408" i="95"/>
  <c r="I409" i="95"/>
  <c r="I410" i="95"/>
  <c r="I411" i="95"/>
  <c r="I412" i="95"/>
  <c r="I413" i="95"/>
  <c r="I414" i="95"/>
  <c r="I415" i="95"/>
  <c r="I416" i="95"/>
  <c r="I417" i="95"/>
  <c r="I418" i="95"/>
  <c r="I419" i="95"/>
  <c r="I420" i="95"/>
  <c r="I421" i="95"/>
  <c r="I422" i="95"/>
  <c r="I423" i="95"/>
  <c r="I424" i="95"/>
  <c r="I425" i="95"/>
  <c r="I426" i="95"/>
  <c r="I427" i="95"/>
  <c r="I428" i="95"/>
  <c r="I429" i="95"/>
  <c r="I430" i="95"/>
  <c r="I431" i="95"/>
  <c r="I432" i="95"/>
  <c r="I433" i="95"/>
  <c r="I434" i="95"/>
  <c r="I435" i="95"/>
  <c r="I436" i="95"/>
  <c r="I437" i="95"/>
  <c r="I438" i="95"/>
  <c r="I439" i="95"/>
  <c r="I440" i="95"/>
  <c r="I441" i="95"/>
  <c r="I442" i="95"/>
  <c r="I443" i="95"/>
  <c r="I444" i="95"/>
  <c r="I445" i="95"/>
  <c r="I446" i="95"/>
  <c r="I447" i="95"/>
  <c r="I448" i="95"/>
  <c r="I449" i="95"/>
  <c r="I450" i="95"/>
  <c r="I451" i="95"/>
  <c r="I452" i="95"/>
  <c r="I453" i="95"/>
  <c r="I454" i="95"/>
  <c r="I455" i="95"/>
  <c r="I456" i="95"/>
  <c r="I457" i="95"/>
  <c r="I458" i="95"/>
  <c r="I459" i="95"/>
  <c r="I460" i="95"/>
  <c r="I461" i="95"/>
  <c r="I462" i="95"/>
  <c r="I463" i="95"/>
  <c r="I464" i="95"/>
  <c r="I465" i="95"/>
  <c r="I466" i="95"/>
  <c r="I467" i="95"/>
  <c r="I468" i="95"/>
  <c r="I469" i="95"/>
  <c r="I470" i="95"/>
  <c r="I471" i="95"/>
  <c r="I472" i="95"/>
  <c r="I473" i="95"/>
  <c r="I474" i="95"/>
  <c r="I475" i="95"/>
  <c r="I476" i="95"/>
  <c r="I477" i="95"/>
  <c r="I478" i="95"/>
  <c r="I479" i="95"/>
  <c r="I480" i="95"/>
  <c r="I481" i="95"/>
  <c r="I482" i="95"/>
  <c r="I483" i="95"/>
  <c r="I484" i="95"/>
  <c r="I485" i="95"/>
  <c r="I486" i="95"/>
  <c r="I487" i="95"/>
  <c r="I488" i="95"/>
  <c r="I489" i="95"/>
  <c r="I490" i="95"/>
  <c r="I491" i="95"/>
  <c r="I492" i="95"/>
  <c r="I493" i="95"/>
  <c r="I494" i="95"/>
  <c r="I495" i="95"/>
  <c r="I496" i="95"/>
  <c r="I497" i="95"/>
  <c r="I498" i="95"/>
  <c r="I499" i="95"/>
  <c r="I500" i="95"/>
  <c r="I501" i="95"/>
  <c r="I502" i="95"/>
  <c r="I503" i="95"/>
  <c r="I504" i="95"/>
  <c r="I505" i="95"/>
  <c r="I506" i="95"/>
  <c r="I507" i="95"/>
  <c r="I508" i="95"/>
  <c r="I509" i="95"/>
  <c r="I510" i="95"/>
  <c r="I511" i="95"/>
  <c r="I512" i="95"/>
  <c r="I513" i="95"/>
  <c r="I514" i="95"/>
  <c r="I515" i="95"/>
  <c r="I516" i="95"/>
  <c r="I517" i="95"/>
  <c r="I518" i="95"/>
  <c r="I519" i="95"/>
  <c r="I520" i="95"/>
  <c r="I521" i="95"/>
  <c r="I522" i="95"/>
  <c r="I523" i="95"/>
  <c r="I524" i="95"/>
  <c r="I525" i="95"/>
  <c r="I526" i="95"/>
  <c r="I527" i="95"/>
  <c r="I528" i="95"/>
  <c r="I529" i="95"/>
  <c r="I530" i="95"/>
  <c r="I531" i="95"/>
  <c r="I532" i="95"/>
  <c r="I533" i="95"/>
  <c r="I534" i="95"/>
  <c r="I535" i="95"/>
  <c r="I536" i="95"/>
  <c r="I537" i="95"/>
  <c r="I538" i="95"/>
  <c r="I539" i="95"/>
  <c r="I540" i="95"/>
  <c r="I541" i="95"/>
  <c r="I542" i="95"/>
  <c r="I543" i="95"/>
  <c r="I544" i="95"/>
  <c r="I545" i="95"/>
  <c r="I546" i="95"/>
  <c r="I547" i="95"/>
  <c r="I548" i="95"/>
  <c r="I549" i="95"/>
  <c r="I550" i="95"/>
  <c r="I551" i="95"/>
  <c r="I552" i="95"/>
  <c r="I553" i="95"/>
  <c r="I554" i="95"/>
  <c r="I555" i="95"/>
  <c r="I556" i="95"/>
  <c r="I557" i="95"/>
  <c r="I558" i="95"/>
  <c r="I559" i="95"/>
  <c r="I560" i="95"/>
  <c r="I561" i="95"/>
  <c r="I562" i="95"/>
  <c r="I563" i="95"/>
  <c r="I564" i="95"/>
  <c r="I565" i="95"/>
  <c r="I566" i="95"/>
  <c r="I567" i="95"/>
  <c r="I568" i="95"/>
  <c r="I569" i="95"/>
  <c r="I570" i="95"/>
  <c r="I571" i="95"/>
  <c r="I572" i="95"/>
  <c r="I573" i="95"/>
  <c r="I574" i="95"/>
  <c r="I575" i="95"/>
  <c r="I576" i="95"/>
  <c r="I577" i="95"/>
  <c r="I578" i="95"/>
  <c r="I579" i="95"/>
  <c r="I580" i="95"/>
  <c r="I581" i="95"/>
  <c r="I582" i="95"/>
  <c r="I583" i="95"/>
  <c r="I584" i="95"/>
  <c r="I585" i="95"/>
  <c r="I586" i="95"/>
  <c r="I587" i="95"/>
  <c r="I588" i="95"/>
  <c r="I589" i="95"/>
  <c r="I590" i="95"/>
  <c r="I591" i="95"/>
  <c r="I592" i="95"/>
  <c r="I593" i="95"/>
  <c r="I594" i="95"/>
  <c r="I595" i="95"/>
  <c r="I596" i="95"/>
  <c r="I597" i="95"/>
  <c r="I598" i="95"/>
  <c r="I599" i="95"/>
  <c r="I600" i="95"/>
  <c r="I601" i="95"/>
  <c r="I602" i="95"/>
  <c r="I603" i="95"/>
  <c r="I604" i="95"/>
  <c r="I605" i="95"/>
  <c r="I606" i="95"/>
  <c r="I607" i="95"/>
  <c r="I608" i="95"/>
  <c r="I609" i="95"/>
  <c r="I610" i="95"/>
  <c r="I611" i="95"/>
  <c r="I612" i="95"/>
  <c r="I613" i="95"/>
  <c r="I614" i="95"/>
  <c r="I615" i="95"/>
  <c r="I616" i="95"/>
  <c r="I617" i="95"/>
  <c r="I618" i="95"/>
  <c r="I619" i="95"/>
  <c r="I620" i="95"/>
  <c r="I621" i="95"/>
  <c r="I622" i="95"/>
  <c r="I623" i="95"/>
  <c r="I624" i="95"/>
  <c r="I625" i="95"/>
  <c r="I626" i="95"/>
  <c r="I627" i="95"/>
  <c r="I628" i="95"/>
  <c r="I629" i="95"/>
  <c r="I630" i="95"/>
  <c r="I631" i="95"/>
  <c r="I632" i="95"/>
  <c r="I633" i="95"/>
  <c r="I634" i="95"/>
  <c r="I635" i="95"/>
  <c r="I636" i="95"/>
  <c r="I637" i="95"/>
  <c r="I638" i="95"/>
  <c r="I639" i="95"/>
  <c r="I640" i="95"/>
  <c r="I641" i="95"/>
  <c r="I642" i="95"/>
  <c r="I643" i="95"/>
  <c r="I644" i="95"/>
  <c r="I645" i="95"/>
  <c r="I646" i="95"/>
  <c r="I647" i="95"/>
  <c r="I648" i="95"/>
  <c r="I649" i="95"/>
  <c r="I650" i="95"/>
  <c r="I651" i="95"/>
  <c r="I652" i="95"/>
  <c r="I653" i="95"/>
  <c r="I654" i="95"/>
  <c r="I655" i="95"/>
  <c r="I656" i="95"/>
  <c r="I657" i="95"/>
  <c r="I658" i="95"/>
  <c r="I659" i="95"/>
  <c r="I660" i="95"/>
  <c r="I661" i="95"/>
  <c r="I662" i="95"/>
  <c r="I663" i="95"/>
  <c r="I664" i="95"/>
  <c r="I665" i="95"/>
  <c r="I666" i="95"/>
  <c r="I667" i="95"/>
  <c r="I668" i="95"/>
  <c r="I669" i="95"/>
  <c r="I670" i="95"/>
  <c r="I671" i="95"/>
  <c r="I672" i="95"/>
  <c r="I673" i="95"/>
  <c r="I674" i="95"/>
  <c r="I675" i="95"/>
  <c r="I676" i="95"/>
  <c r="I677" i="95"/>
  <c r="I678" i="95"/>
  <c r="I679" i="95"/>
  <c r="I680" i="95"/>
  <c r="I681" i="95"/>
  <c r="I682" i="95"/>
  <c r="I683" i="95"/>
  <c r="I684" i="95"/>
  <c r="I685" i="95"/>
  <c r="I8" i="95"/>
  <c r="L53" i="63"/>
  <c r="L52" i="63"/>
  <c r="J52" i="63"/>
  <c r="I52" i="63"/>
  <c r="L48" i="63"/>
  <c r="J48" i="63"/>
  <c r="I48" i="63"/>
  <c r="L47" i="63"/>
  <c r="J47" i="63" a="1"/>
  <c r="J47" i="63"/>
  <c r="I47" i="63"/>
  <c r="J53" i="63"/>
  <c r="I53" i="63"/>
  <c r="L37" i="63"/>
  <c r="K37" i="63"/>
  <c r="J37" i="63"/>
  <c r="I37" i="63"/>
  <c r="M37" i="63"/>
  <c r="M36" i="63"/>
  <c r="K36" i="63"/>
  <c r="J36" i="63"/>
  <c r="I36" i="63"/>
  <c r="L36" i="63"/>
  <c r="M35" i="63"/>
  <c r="L35" i="63"/>
  <c r="J35" i="63"/>
  <c r="I35" i="63"/>
  <c r="K35" i="63"/>
  <c r="M34" i="63"/>
  <c r="L34" i="63"/>
  <c r="K34" i="63"/>
  <c r="I34" i="63"/>
  <c r="J34" i="63"/>
  <c r="M33" i="63"/>
  <c r="L33" i="63"/>
  <c r="K33" i="63"/>
  <c r="J33" i="63"/>
  <c r="I33" i="63"/>
  <c r="M41" i="63"/>
  <c r="L41" i="63"/>
  <c r="K41" i="63"/>
  <c r="J41" i="63"/>
  <c r="I41" i="63"/>
  <c r="I42" i="63" s="1"/>
  <c r="N42" i="63"/>
  <c r="M42" i="63"/>
  <c r="L42" i="63"/>
  <c r="K42" i="63"/>
  <c r="J42" i="63"/>
  <c r="R8" i="95" l="1"/>
  <c r="K47" i="63"/>
  <c r="K48" i="63" s="1"/>
  <c r="K52" i="63"/>
  <c r="K53" i="63" s="1"/>
  <c r="J27" i="63"/>
  <c r="J28" i="63" s="1"/>
  <c r="M14" i="63"/>
  <c r="L14" i="63"/>
  <c r="N14" i="63"/>
  <c r="M13" i="63"/>
  <c r="L13" i="63"/>
  <c r="K13" i="63"/>
  <c r="K14" i="63" s="1"/>
  <c r="J13" i="63"/>
  <c r="J14" i="63" s="1"/>
  <c r="I13" i="63"/>
  <c r="I14" i="63" s="1"/>
  <c r="K9" i="63"/>
  <c r="J9" i="63"/>
  <c r="I9" i="63"/>
  <c r="L9" i="63"/>
  <c r="I8" i="63"/>
  <c r="J8" i="63"/>
  <c r="K8" i="63"/>
  <c r="I7" i="63"/>
  <c r="J7" i="63"/>
  <c r="I6" i="63"/>
  <c r="M9" i="63"/>
  <c r="M8" i="63"/>
  <c r="L8" i="63"/>
  <c r="M7" i="63"/>
  <c r="L7" i="63"/>
  <c r="K7" i="63"/>
  <c r="M6" i="63"/>
  <c r="L6" i="63"/>
  <c r="K6" i="63"/>
  <c r="J6" i="63"/>
  <c r="M5" i="63"/>
  <c r="L5" i="63"/>
  <c r="K5" i="63"/>
  <c r="J5" i="63"/>
  <c r="I5" i="63"/>
  <c r="J22" i="63" s="1" a="1"/>
  <c r="J22" i="63" s="1"/>
  <c r="I22" i="63" l="1"/>
  <c r="I27" i="63"/>
  <c r="I28" i="63" s="1"/>
  <c r="K27" i="63"/>
  <c r="K28" i="63" s="1"/>
  <c r="L28" i="63" s="1"/>
  <c r="L27" i="63" l="1"/>
  <c r="I23" i="63"/>
  <c r="J13" i="68" l="1"/>
  <c r="J12" i="68"/>
  <c r="I12" i="68"/>
  <c r="J6" i="68"/>
  <c r="J5" i="68"/>
  <c r="J7" i="68"/>
  <c r="J8" i="68"/>
  <c r="I5" i="68"/>
  <c r="I8" i="68"/>
  <c r="I7" i="68"/>
  <c r="I6" i="68"/>
  <c r="D12" i="68"/>
  <c r="M9" i="93"/>
  <c r="M14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1" i="93"/>
  <c r="P42" i="93"/>
  <c r="P43" i="93"/>
  <c r="P44" i="93"/>
  <c r="P45" i="93"/>
  <c r="P46" i="93"/>
  <c r="P47" i="93"/>
  <c r="P48" i="93"/>
  <c r="P49" i="93"/>
  <c r="P50" i="93"/>
  <c r="P51" i="93"/>
  <c r="P52" i="93"/>
  <c r="P53" i="93"/>
  <c r="P54" i="93"/>
  <c r="P55" i="93"/>
  <c r="P56" i="93"/>
  <c r="P57" i="93"/>
  <c r="O57" i="93"/>
  <c r="O56" i="93"/>
  <c r="O55" i="93"/>
  <c r="O54" i="93"/>
  <c r="O53" i="93"/>
  <c r="O52" i="93"/>
  <c r="O51" i="93"/>
  <c r="O50" i="93"/>
  <c r="O49" i="93"/>
  <c r="O48" i="93"/>
  <c r="O47" i="93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N23" i="93"/>
  <c r="N24" i="93"/>
  <c r="N25" i="93"/>
  <c r="N26" i="93"/>
  <c r="N27" i="93"/>
  <c r="N28" i="93"/>
  <c r="N29" i="93"/>
  <c r="N30" i="93"/>
  <c r="N31" i="93"/>
  <c r="N32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N50" i="93"/>
  <c r="N51" i="93"/>
  <c r="N52" i="93"/>
  <c r="N53" i="93"/>
  <c r="N54" i="93"/>
  <c r="N55" i="93"/>
  <c r="N56" i="93"/>
  <c r="N57" i="93"/>
  <c r="N22" i="93"/>
  <c r="N14" i="93"/>
  <c r="N10" i="93"/>
  <c r="N9" i="93"/>
  <c r="N18" i="93"/>
  <c r="O18" i="93" s="1"/>
  <c r="M10" i="93"/>
  <c r="F14" i="93"/>
  <c r="E14" i="93"/>
  <c r="F10" i="93"/>
  <c r="F9" i="93"/>
  <c r="E9" i="93"/>
  <c r="G23" i="93"/>
  <c r="G24" i="93"/>
  <c r="G25" i="93"/>
  <c r="G26" i="93"/>
  <c r="G27" i="93"/>
  <c r="G28" i="93"/>
  <c r="G29" i="93"/>
  <c r="G30" i="93"/>
  <c r="G31" i="93"/>
  <c r="G32" i="93"/>
  <c r="G33" i="93"/>
  <c r="G34" i="93"/>
  <c r="G35" i="93"/>
  <c r="G36" i="93"/>
  <c r="G37" i="93"/>
  <c r="G38" i="93"/>
  <c r="G39" i="93"/>
  <c r="G40" i="93"/>
  <c r="G41" i="93"/>
  <c r="G42" i="93"/>
  <c r="G43" i="93"/>
  <c r="G44" i="93"/>
  <c r="G45" i="93"/>
  <c r="G46" i="93"/>
  <c r="G47" i="93"/>
  <c r="G48" i="93"/>
  <c r="G49" i="93"/>
  <c r="G50" i="93"/>
  <c r="G51" i="93"/>
  <c r="G52" i="93"/>
  <c r="G53" i="93"/>
  <c r="G54" i="93"/>
  <c r="G55" i="93"/>
  <c r="G56" i="93"/>
  <c r="G57" i="93"/>
  <c r="G22" i="93"/>
  <c r="F23" i="93"/>
  <c r="F24" i="93"/>
  <c r="F25" i="93"/>
  <c r="F26" i="93"/>
  <c r="F27" i="93"/>
  <c r="F28" i="93"/>
  <c r="F29" i="93"/>
  <c r="F30" i="93"/>
  <c r="F31" i="93"/>
  <c r="F32" i="93"/>
  <c r="F33" i="93"/>
  <c r="F34" i="93"/>
  <c r="F35" i="93"/>
  <c r="F36" i="93"/>
  <c r="F37" i="93"/>
  <c r="F38" i="93"/>
  <c r="F39" i="93"/>
  <c r="F40" i="93"/>
  <c r="F41" i="93"/>
  <c r="F42" i="93"/>
  <c r="F43" i="93"/>
  <c r="F44" i="93"/>
  <c r="F45" i="93"/>
  <c r="F46" i="93"/>
  <c r="F47" i="93"/>
  <c r="F48" i="93"/>
  <c r="F49" i="93"/>
  <c r="F50" i="93"/>
  <c r="F51" i="93"/>
  <c r="F52" i="93"/>
  <c r="F53" i="93"/>
  <c r="F54" i="93"/>
  <c r="F55" i="93"/>
  <c r="F56" i="93"/>
  <c r="F57" i="93"/>
  <c r="F22" i="93"/>
  <c r="F18" i="93"/>
  <c r="H38" i="93" s="1"/>
  <c r="E10" i="93"/>
  <c r="H6" i="22"/>
  <c r="D33" i="92"/>
  <c r="C7" i="92"/>
  <c r="D9" i="92"/>
  <c r="C6" i="92"/>
  <c r="E6" i="92" s="1"/>
  <c r="D32" i="92"/>
  <c r="D24" i="92"/>
  <c r="D23" i="92"/>
  <c r="D26" i="92" s="1"/>
  <c r="C33" i="92"/>
  <c r="C32" i="92"/>
  <c r="C35" i="92" s="1"/>
  <c r="C24" i="92"/>
  <c r="C23" i="92"/>
  <c r="C26" i="92" s="1"/>
  <c r="D15" i="92"/>
  <c r="D14" i="92"/>
  <c r="C15" i="92"/>
  <c r="C14" i="92"/>
  <c r="R22" i="93" l="1"/>
  <c r="S22" i="93"/>
  <c r="P18" i="93" a="1"/>
  <c r="P18" i="93" s="1"/>
  <c r="Q18" i="93" s="1"/>
  <c r="H45" i="93"/>
  <c r="H37" i="93"/>
  <c r="H36" i="93"/>
  <c r="H32" i="93"/>
  <c r="H26" i="93"/>
  <c r="H44" i="93"/>
  <c r="H34" i="93"/>
  <c r="H22" i="93"/>
  <c r="H57" i="93"/>
  <c r="H27" i="93"/>
  <c r="H25" i="93"/>
  <c r="H51" i="93"/>
  <c r="H50" i="93"/>
  <c r="H30" i="93"/>
  <c r="H54" i="93"/>
  <c r="H52" i="93"/>
  <c r="H49" i="93"/>
  <c r="H33" i="93"/>
  <c r="H56" i="93"/>
  <c r="H48" i="93"/>
  <c r="H31" i="93"/>
  <c r="H29" i="93"/>
  <c r="H55" i="93"/>
  <c r="H24" i="93"/>
  <c r="H23" i="93"/>
  <c r="H47" i="93"/>
  <c r="H35" i="93"/>
  <c r="H28" i="93"/>
  <c r="H53" i="93"/>
  <c r="H46" i="93"/>
  <c r="H41" i="93"/>
  <c r="H40" i="93"/>
  <c r="H43" i="93"/>
  <c r="H39" i="93"/>
  <c r="H42" i="93"/>
  <c r="H18" i="93" a="1"/>
  <c r="H18" i="93" s="1"/>
  <c r="G18" i="93"/>
  <c r="E7" i="92"/>
  <c r="F7" i="92" s="1"/>
  <c r="I14" i="92"/>
  <c r="I23" i="92"/>
  <c r="I32" i="92"/>
  <c r="C9" i="92"/>
  <c r="E15" i="92"/>
  <c r="F15" i="92" s="1"/>
  <c r="E14" i="92"/>
  <c r="F14" i="92" s="1"/>
  <c r="E24" i="92"/>
  <c r="F24" i="92" s="1"/>
  <c r="D35" i="92"/>
  <c r="E23" i="92"/>
  <c r="F23" i="92" s="1"/>
  <c r="F26" i="92" s="1"/>
  <c r="E33" i="92"/>
  <c r="F33" i="92" s="1"/>
  <c r="E32" i="92"/>
  <c r="E17" i="92"/>
  <c r="D17" i="92"/>
  <c r="C17" i="92"/>
  <c r="F17" i="92" l="1"/>
  <c r="E26" i="92"/>
  <c r="K22" i="93"/>
  <c r="J22" i="93"/>
  <c r="I18" i="93"/>
  <c r="E9" i="92"/>
  <c r="F6" i="92"/>
  <c r="E35" i="92"/>
  <c r="F32" i="92"/>
  <c r="F35" i="92" s="1"/>
  <c r="F9" i="92" l="1"/>
  <c r="H26" i="18"/>
  <c r="B25" i="18" a="1"/>
  <c r="B25" i="18"/>
  <c r="M44" i="17"/>
  <c r="F25" i="15" a="1"/>
  <c r="F25" i="15" s="1"/>
  <c r="F24" i="15" a="1"/>
  <c r="F24" i="15" s="1"/>
  <c r="F23" i="15" a="1"/>
  <c r="F23" i="15" s="1"/>
  <c r="F22" i="15" a="1"/>
  <c r="F22" i="15" s="1"/>
  <c r="F21" i="15" a="1"/>
  <c r="F21" i="15" s="1"/>
  <c r="F20" i="15" a="1"/>
  <c r="F20" i="15" s="1"/>
  <c r="F19" i="15" a="1"/>
  <c r="F19" i="15" s="1"/>
  <c r="F18" i="15" a="1"/>
  <c r="F18" i="15" s="1"/>
  <c r="F16" i="15" a="1"/>
  <c r="F16" i="15" s="1"/>
  <c r="J15" i="91"/>
  <c r="I15" i="91" a="1"/>
  <c r="I15" i="91"/>
  <c r="G8" i="11"/>
  <c r="G5" i="11"/>
  <c r="G4" i="11"/>
  <c r="L12" i="91"/>
  <c r="L11" i="91"/>
  <c r="K12" i="91" s="1"/>
  <c r="K11" i="91"/>
  <c r="L10" i="91"/>
  <c r="J12" i="91" s="1"/>
  <c r="K10" i="91"/>
  <c r="J11" i="91" s="1"/>
  <c r="J10" i="91"/>
  <c r="L9" i="91"/>
  <c r="I12" i="91" s="1"/>
  <c r="K9" i="91"/>
  <c r="I11" i="91" s="1"/>
  <c r="J9" i="91"/>
  <c r="I10" i="91" s="1"/>
  <c r="I9" i="91"/>
  <c r="E5" i="91"/>
  <c r="G67" i="91" s="1"/>
  <c r="H8" i="69"/>
  <c r="D6" i="54"/>
  <c r="F6" i="54" s="1"/>
  <c r="I9" i="7"/>
  <c r="B21" i="90"/>
  <c r="B20" i="90"/>
  <c r="B18" i="90"/>
  <c r="C17" i="90"/>
  <c r="B17" i="90"/>
  <c r="K4" i="89"/>
  <c r="J4" i="89"/>
  <c r="E63" i="89"/>
  <c r="E62" i="89"/>
  <c r="E61" i="89"/>
  <c r="E60" i="89"/>
  <c r="E59" i="89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43" i="89"/>
  <c r="E42" i="89"/>
  <c r="E41" i="89"/>
  <c r="E40" i="89"/>
  <c r="E39" i="89"/>
  <c r="E38" i="89"/>
  <c r="E37" i="89"/>
  <c r="E36" i="89"/>
  <c r="E35" i="89"/>
  <c r="E34" i="89"/>
  <c r="E33" i="89"/>
  <c r="E32" i="89"/>
  <c r="E31" i="89"/>
  <c r="E30" i="89"/>
  <c r="E29" i="89"/>
  <c r="E28" i="89"/>
  <c r="E27" i="89"/>
  <c r="E26" i="89"/>
  <c r="E25" i="89"/>
  <c r="E24" i="89"/>
  <c r="E23" i="89"/>
  <c r="E22" i="89"/>
  <c r="E21" i="89"/>
  <c r="E20" i="89"/>
  <c r="E19" i="89"/>
  <c r="E18" i="89"/>
  <c r="E17" i="89"/>
  <c r="E16" i="89"/>
  <c r="E15" i="89"/>
  <c r="E14" i="89"/>
  <c r="E13" i="89"/>
  <c r="E12" i="89"/>
  <c r="E11" i="89"/>
  <c r="E10" i="89"/>
  <c r="E9" i="89"/>
  <c r="E8" i="89"/>
  <c r="J7" i="89" s="1"/>
  <c r="E7" i="89"/>
  <c r="E6" i="89"/>
  <c r="E5" i="89"/>
  <c r="E4" i="89"/>
  <c r="E7" i="50"/>
  <c r="E6" i="50"/>
  <c r="E5" i="50"/>
  <c r="G26" i="5"/>
  <c r="L66" i="5"/>
  <c r="L25" i="5"/>
  <c r="G25" i="5"/>
  <c r="G22" i="5"/>
  <c r="G21" i="5"/>
  <c r="G20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7" i="5"/>
  <c r="G1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G15" i="5" s="1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7" i="5"/>
  <c r="H10" i="5"/>
  <c r="G10" i="5"/>
  <c r="H9" i="5"/>
  <c r="G9" i="5"/>
  <c r="H8" i="5"/>
  <c r="G8" i="5"/>
  <c r="B16" i="4"/>
  <c r="B15" i="4"/>
  <c r="D18" i="88"/>
  <c r="D16" i="88"/>
  <c r="D13" i="88"/>
  <c r="D12" i="88"/>
  <c r="D11" i="88"/>
  <c r="D10" i="88"/>
  <c r="D9" i="88"/>
  <c r="D8" i="88"/>
  <c r="D7" i="88"/>
  <c r="D6" i="88"/>
  <c r="D5" i="88"/>
  <c r="D4" i="88"/>
  <c r="C5" i="88"/>
  <c r="C6" i="88"/>
  <c r="C7" i="88"/>
  <c r="C8" i="88"/>
  <c r="C9" i="88"/>
  <c r="C10" i="88"/>
  <c r="C11" i="88"/>
  <c r="C12" i="88"/>
  <c r="C13" i="88"/>
  <c r="C4" i="88"/>
  <c r="B15" i="88"/>
  <c r="C13" i="3"/>
  <c r="B8" i="3"/>
  <c r="C8" i="3" s="1"/>
  <c r="B7" i="3"/>
  <c r="C7" i="3" s="1"/>
  <c r="B6" i="3"/>
  <c r="C6" i="3" s="1"/>
  <c r="B5" i="3"/>
  <c r="C5" i="3" s="1"/>
  <c r="B4" i="3"/>
  <c r="B11" i="3" s="1"/>
  <c r="A11" i="3"/>
  <c r="E36" i="2"/>
  <c r="G24" i="83"/>
  <c r="G25" i="83" s="1"/>
  <c r="T11" i="86"/>
  <c r="AA11" i="86" s="1"/>
  <c r="T12" i="86"/>
  <c r="T16" i="86"/>
  <c r="X16" i="86" s="1"/>
  <c r="T31" i="86"/>
  <c r="X31" i="86" s="1"/>
  <c r="T32" i="86"/>
  <c r="AD32" i="86" s="1"/>
  <c r="T41" i="86"/>
  <c r="AA41" i="86" s="1"/>
  <c r="T60" i="86"/>
  <c r="AE60" i="86" s="1"/>
  <c r="T54" i="86"/>
  <c r="AA54" i="86" s="1"/>
  <c r="T53" i="86"/>
  <c r="T52" i="86"/>
  <c r="AD52" i="86" s="1"/>
  <c r="T34" i="86"/>
  <c r="AE34" i="86" s="1"/>
  <c r="T33" i="86"/>
  <c r="T28" i="86"/>
  <c r="T9" i="86"/>
  <c r="T7" i="86"/>
  <c r="AA7" i="86" s="1"/>
  <c r="T6" i="86"/>
  <c r="X6" i="86" s="1"/>
  <c r="P63" i="86"/>
  <c r="P62" i="86"/>
  <c r="P61" i="86"/>
  <c r="P60" i="86"/>
  <c r="P59" i="86"/>
  <c r="P58" i="86"/>
  <c r="P57" i="86"/>
  <c r="P56" i="86"/>
  <c r="P55" i="86"/>
  <c r="P54" i="86"/>
  <c r="P53" i="86"/>
  <c r="P52" i="86"/>
  <c r="P51" i="86"/>
  <c r="P50" i="86"/>
  <c r="P49" i="86"/>
  <c r="P48" i="86"/>
  <c r="P47" i="86"/>
  <c r="P46" i="86"/>
  <c r="P45" i="86"/>
  <c r="P44" i="86"/>
  <c r="P43" i="86"/>
  <c r="P42" i="86"/>
  <c r="P41" i="86"/>
  <c r="P40" i="86"/>
  <c r="P39" i="86"/>
  <c r="P38" i="86"/>
  <c r="P37" i="86"/>
  <c r="P36" i="86"/>
  <c r="P35" i="86"/>
  <c r="P34" i="86"/>
  <c r="P33" i="86"/>
  <c r="P32" i="86"/>
  <c r="P31" i="86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1" i="86"/>
  <c r="P10" i="86"/>
  <c r="P9" i="86"/>
  <c r="P8" i="86"/>
  <c r="P7" i="86"/>
  <c r="P6" i="86"/>
  <c r="P5" i="86"/>
  <c r="P64" i="86"/>
  <c r="T58" i="86"/>
  <c r="T57" i="86"/>
  <c r="T40" i="86"/>
  <c r="AE40" i="86" s="1"/>
  <c r="T36" i="86"/>
  <c r="T19" i="86"/>
  <c r="AD19" i="86" s="1"/>
  <c r="T15" i="86"/>
  <c r="AD15" i="86" s="1"/>
  <c r="T13" i="86"/>
  <c r="G28" i="91" l="1"/>
  <c r="G29" i="91"/>
  <c r="G24" i="91"/>
  <c r="G25" i="91"/>
  <c r="G26" i="91"/>
  <c r="G27" i="91"/>
  <c r="G50" i="91"/>
  <c r="G14" i="91"/>
  <c r="G51" i="91"/>
  <c r="G32" i="91"/>
  <c r="G33" i="91"/>
  <c r="G48" i="91"/>
  <c r="G49" i="91"/>
  <c r="G53" i="91"/>
  <c r="G54" i="91"/>
  <c r="G15" i="91"/>
  <c r="G55" i="91"/>
  <c r="G68" i="91"/>
  <c r="G30" i="91"/>
  <c r="G31" i="91"/>
  <c r="G46" i="91"/>
  <c r="G47" i="91"/>
  <c r="G52" i="91"/>
  <c r="G56" i="91"/>
  <c r="G9" i="91"/>
  <c r="G35" i="91"/>
  <c r="G57" i="91"/>
  <c r="G58" i="91"/>
  <c r="G37" i="91"/>
  <c r="G11" i="91"/>
  <c r="G60" i="91"/>
  <c r="G19" i="91"/>
  <c r="G41" i="91"/>
  <c r="G63" i="91"/>
  <c r="G20" i="91"/>
  <c r="G42" i="91"/>
  <c r="G64" i="91"/>
  <c r="G34" i="91"/>
  <c r="G36" i="91"/>
  <c r="G10" i="91"/>
  <c r="G16" i="91"/>
  <c r="G59" i="91"/>
  <c r="G17" i="91"/>
  <c r="G38" i="91"/>
  <c r="G12" i="91"/>
  <c r="G18" i="91"/>
  <c r="G39" i="91"/>
  <c r="G61" i="91"/>
  <c r="G40" i="91"/>
  <c r="G62" i="91"/>
  <c r="G21" i="91"/>
  <c r="G43" i="91"/>
  <c r="G65" i="91"/>
  <c r="G13" i="91"/>
  <c r="G22" i="91"/>
  <c r="G44" i="91"/>
  <c r="G66" i="91"/>
  <c r="G23" i="91"/>
  <c r="G45" i="91"/>
  <c r="L7" i="89"/>
  <c r="K7" i="89"/>
  <c r="L4" i="89"/>
  <c r="G23" i="89" s="1"/>
  <c r="G13" i="5"/>
  <c r="G14" i="5"/>
  <c r="C4" i="3"/>
  <c r="C11" i="3" s="1"/>
  <c r="X12" i="86"/>
  <c r="AD12" i="86"/>
  <c r="AC60" i="86"/>
  <c r="AA34" i="86"/>
  <c r="AB34" i="86"/>
  <c r="AA60" i="86"/>
  <c r="AD60" i="86"/>
  <c r="X52" i="86"/>
  <c r="X54" i="86"/>
  <c r="X11" i="86"/>
  <c r="AD58" i="86"/>
  <c r="X58" i="86"/>
  <c r="AE52" i="86"/>
  <c r="AE6" i="86"/>
  <c r="AE7" i="86"/>
  <c r="AE11" i="86"/>
  <c r="AE12" i="86"/>
  <c r="AC7" i="86"/>
  <c r="AB11" i="86"/>
  <c r="AC11" i="86"/>
  <c r="AD11" i="86"/>
  <c r="AA12" i="86"/>
  <c r="AC58" i="86"/>
  <c r="AB12" i="86"/>
  <c r="AC15" i="86"/>
  <c r="AC16" i="86"/>
  <c r="AE13" i="86"/>
  <c r="X13" i="86"/>
  <c r="AD13" i="86"/>
  <c r="AA13" i="86"/>
  <c r="X9" i="86"/>
  <c r="AE9" i="86"/>
  <c r="AD53" i="86"/>
  <c r="AE53" i="86"/>
  <c r="X53" i="86"/>
  <c r="AE15" i="86"/>
  <c r="AB13" i="86"/>
  <c r="AA15" i="86"/>
  <c r="AD34" i="86"/>
  <c r="AB58" i="86"/>
  <c r="AA52" i="86"/>
  <c r="AG52" i="86" s="1"/>
  <c r="U61" i="86"/>
  <c r="Y61" i="86" s="1"/>
  <c r="X15" i="86"/>
  <c r="T35" i="86"/>
  <c r="AC35" i="86" s="1"/>
  <c r="AB15" i="86"/>
  <c r="AB52" i="86"/>
  <c r="AB7" i="86"/>
  <c r="AD54" i="86"/>
  <c r="T42" i="86"/>
  <c r="T44" i="86"/>
  <c r="V44" i="86" s="1"/>
  <c r="T23" i="86"/>
  <c r="AB23" i="86" s="1"/>
  <c r="T46" i="86"/>
  <c r="V46" i="86" s="1"/>
  <c r="T47" i="86"/>
  <c r="AB47" i="86" s="1"/>
  <c r="T26" i="86"/>
  <c r="AC26" i="86" s="1"/>
  <c r="T27" i="86"/>
  <c r="V27" i="86" s="1"/>
  <c r="X28" i="86"/>
  <c r="AD28" i="86"/>
  <c r="AB28" i="86"/>
  <c r="AA28" i="86"/>
  <c r="AE28" i="86"/>
  <c r="T20" i="86"/>
  <c r="AB20" i="86" s="1"/>
  <c r="T43" i="86"/>
  <c r="AB43" i="86" s="1"/>
  <c r="T24" i="86"/>
  <c r="AC24" i="86" s="1"/>
  <c r="T25" i="86"/>
  <c r="V25" i="86" s="1"/>
  <c r="AC33" i="86"/>
  <c r="AD33" i="86"/>
  <c r="AA33" i="86"/>
  <c r="AE33" i="86"/>
  <c r="X33" i="86"/>
  <c r="AD57" i="86"/>
  <c r="AA57" i="86"/>
  <c r="AE57" i="86"/>
  <c r="T63" i="86"/>
  <c r="X40" i="86"/>
  <c r="AC40" i="86"/>
  <c r="AC41" i="86"/>
  <c r="AE54" i="86"/>
  <c r="T18" i="86"/>
  <c r="AE18" i="86" s="1"/>
  <c r="U18" i="86"/>
  <c r="Y18" i="86" s="1"/>
  <c r="AA40" i="86"/>
  <c r="AA53" i="86"/>
  <c r="X57" i="86"/>
  <c r="AE19" i="86"/>
  <c r="X19" i="86"/>
  <c r="AB40" i="86"/>
  <c r="AB53" i="86"/>
  <c r="T50" i="86"/>
  <c r="V50" i="86" s="1"/>
  <c r="AB57" i="86"/>
  <c r="AD40" i="86"/>
  <c r="X7" i="86"/>
  <c r="AD7" i="86"/>
  <c r="T29" i="86"/>
  <c r="V29" i="86" s="1"/>
  <c r="T51" i="86"/>
  <c r="V51" i="86" s="1"/>
  <c r="X60" i="86"/>
  <c r="T8" i="86"/>
  <c r="AB8" i="86" s="1"/>
  <c r="AB41" i="86"/>
  <c r="AB54" i="86"/>
  <c r="AB9" i="86"/>
  <c r="AB31" i="86"/>
  <c r="AA36" i="86"/>
  <c r="AE36" i="86"/>
  <c r="AD36" i="86"/>
  <c r="AE41" i="86"/>
  <c r="X41" i="86"/>
  <c r="AC36" i="86"/>
  <c r="AD41" i="86"/>
  <c r="T62" i="86"/>
  <c r="T17" i="86"/>
  <c r="T5" i="86"/>
  <c r="AA32" i="86"/>
  <c r="T56" i="86"/>
  <c r="V56" i="86" s="1"/>
  <c r="AE31" i="86"/>
  <c r="AD31" i="86"/>
  <c r="AA31" i="86"/>
  <c r="AD16" i="86"/>
  <c r="AE16" i="86"/>
  <c r="AA16" i="86"/>
  <c r="X32" i="86"/>
  <c r="AE32" i="86"/>
  <c r="AD9" i="86"/>
  <c r="AA9" i="86"/>
  <c r="AA6" i="86"/>
  <c r="AA19" i="86"/>
  <c r="X34" i="86"/>
  <c r="AB32" i="86"/>
  <c r="AB36" i="86"/>
  <c r="AB6" i="86"/>
  <c r="AB19" i="86"/>
  <c r="AB33" i="86"/>
  <c r="AB16" i="86"/>
  <c r="T38" i="86"/>
  <c r="AC38" i="86" s="1"/>
  <c r="AD6" i="86"/>
  <c r="AC19" i="86"/>
  <c r="AB60" i="86"/>
  <c r="X36" i="86"/>
  <c r="AC6" i="86"/>
  <c r="AC28" i="86"/>
  <c r="AC52" i="86"/>
  <c r="AC9" i="86"/>
  <c r="U31" i="86"/>
  <c r="Y31" i="86" s="1"/>
  <c r="AC53" i="86"/>
  <c r="AC32" i="86"/>
  <c r="AC54" i="86"/>
  <c r="AA58" i="86"/>
  <c r="AC12" i="86"/>
  <c r="AC34" i="86"/>
  <c r="AC13" i="86"/>
  <c r="AC57" i="86"/>
  <c r="U37" i="86"/>
  <c r="Y37" i="86" s="1"/>
  <c r="U39" i="86"/>
  <c r="Y39" i="86" s="1"/>
  <c r="U59" i="86"/>
  <c r="Y59" i="86" s="1"/>
  <c r="U58" i="86"/>
  <c r="Y58" i="86" s="1"/>
  <c r="AC31" i="86"/>
  <c r="AE58" i="86"/>
  <c r="U10" i="86"/>
  <c r="Y10" i="86" s="1"/>
  <c r="U55" i="86"/>
  <c r="Y55" i="86" s="1"/>
  <c r="U43" i="86"/>
  <c r="Y43" i="86" s="1"/>
  <c r="U54" i="86"/>
  <c r="Y54" i="86" s="1"/>
  <c r="T10" i="86"/>
  <c r="AB10" i="86" s="1"/>
  <c r="U30" i="86"/>
  <c r="Y30" i="86" s="1"/>
  <c r="U50" i="86"/>
  <c r="Y50" i="86" s="1"/>
  <c r="U32" i="86"/>
  <c r="Y32" i="86" s="1"/>
  <c r="U45" i="86"/>
  <c r="Y45" i="86" s="1"/>
  <c r="U49" i="86"/>
  <c r="Y49" i="86" s="1"/>
  <c r="U33" i="86"/>
  <c r="Y33" i="86" s="1"/>
  <c r="U52" i="86"/>
  <c r="Y52" i="86" s="1"/>
  <c r="U53" i="86"/>
  <c r="Y53" i="86" s="1"/>
  <c r="V53" i="86"/>
  <c r="V13" i="86"/>
  <c r="V28" i="86"/>
  <c r="V60" i="86"/>
  <c r="V52" i="86"/>
  <c r="V16" i="86"/>
  <c r="V19" i="86"/>
  <c r="V54" i="86"/>
  <c r="T30" i="86"/>
  <c r="U7" i="86"/>
  <c r="Y7" i="86" s="1"/>
  <c r="U12" i="86"/>
  <c r="Y12" i="86" s="1"/>
  <c r="U17" i="86"/>
  <c r="Y17" i="86" s="1"/>
  <c r="T59" i="86"/>
  <c r="AE59" i="86" s="1"/>
  <c r="U24" i="86"/>
  <c r="Y24" i="86" s="1"/>
  <c r="U25" i="86"/>
  <c r="Y25" i="86" s="1"/>
  <c r="T37" i="86"/>
  <c r="AE37" i="86" s="1"/>
  <c r="U38" i="86"/>
  <c r="Y38" i="86" s="1"/>
  <c r="T21" i="86"/>
  <c r="AC21" i="86" s="1"/>
  <c r="T61" i="86"/>
  <c r="T49" i="86"/>
  <c r="AB49" i="86" s="1"/>
  <c r="U26" i="86"/>
  <c r="Y26" i="86" s="1"/>
  <c r="T45" i="86"/>
  <c r="AC45" i="86" s="1"/>
  <c r="U46" i="86"/>
  <c r="Y46" i="86" s="1"/>
  <c r="U21" i="86"/>
  <c r="Y21" i="86" s="1"/>
  <c r="T39" i="86"/>
  <c r="U62" i="86"/>
  <c r="Y62" i="86" s="1"/>
  <c r="T48" i="86"/>
  <c r="T14" i="86"/>
  <c r="AC14" i="86" s="1"/>
  <c r="T22" i="86"/>
  <c r="U48" i="86"/>
  <c r="Y48" i="86" s="1"/>
  <c r="U14" i="86"/>
  <c r="Y14" i="86" s="1"/>
  <c r="U22" i="86"/>
  <c r="Y22" i="86" s="1"/>
  <c r="T55" i="86"/>
  <c r="AB55" i="86" s="1"/>
  <c r="U40" i="86"/>
  <c r="Y40" i="86" s="1"/>
  <c r="U35" i="86"/>
  <c r="Y35" i="86" s="1"/>
  <c r="V57" i="86"/>
  <c r="V36" i="86"/>
  <c r="V34" i="86"/>
  <c r="V31" i="86"/>
  <c r="U47" i="86"/>
  <c r="Y47" i="86" s="1"/>
  <c r="U15" i="86"/>
  <c r="Y15" i="86" s="1"/>
  <c r="U44" i="86"/>
  <c r="Y44" i="86" s="1"/>
  <c r="U9" i="86"/>
  <c r="Y9" i="86" s="1"/>
  <c r="U6" i="86"/>
  <c r="Y6" i="86" s="1"/>
  <c r="U36" i="86"/>
  <c r="Y36" i="86" s="1"/>
  <c r="U57" i="86"/>
  <c r="Y57" i="86" s="1"/>
  <c r="U34" i="86"/>
  <c r="Y34" i="86" s="1"/>
  <c r="U16" i="86"/>
  <c r="Y16" i="86" s="1"/>
  <c r="V40" i="86"/>
  <c r="U42" i="86"/>
  <c r="Y42" i="86" s="1"/>
  <c r="U63" i="86"/>
  <c r="Y63" i="86" s="1"/>
  <c r="U11" i="86"/>
  <c r="Y11" i="86" s="1"/>
  <c r="V11" i="86"/>
  <c r="U5" i="86"/>
  <c r="U56" i="86"/>
  <c r="Y56" i="86" s="1"/>
  <c r="U23" i="86"/>
  <c r="Y23" i="86" s="1"/>
  <c r="U20" i="86"/>
  <c r="Y20" i="86" s="1"/>
  <c r="U13" i="86"/>
  <c r="Y13" i="86" s="1"/>
  <c r="V15" i="86"/>
  <c r="U51" i="86"/>
  <c r="Y51" i="86" s="1"/>
  <c r="U41" i="86"/>
  <c r="Y41" i="86" s="1"/>
  <c r="U19" i="86"/>
  <c r="Y19" i="86" s="1"/>
  <c r="V32" i="86"/>
  <c r="V58" i="86"/>
  <c r="V7" i="86"/>
  <c r="U8" i="86"/>
  <c r="Y8" i="86" s="1"/>
  <c r="U27" i="86"/>
  <c r="Y27" i="86" s="1"/>
  <c r="U29" i="86"/>
  <c r="Y29" i="86" s="1"/>
  <c r="V9" i="86"/>
  <c r="V12" i="86"/>
  <c r="U28" i="86"/>
  <c r="Y28" i="86" s="1"/>
  <c r="U60" i="86"/>
  <c r="Y60" i="86" s="1"/>
  <c r="V6" i="86"/>
  <c r="V33" i="86"/>
  <c r="V41" i="86"/>
  <c r="AB62" i="86" l="1"/>
  <c r="AA62" i="86"/>
  <c r="G47" i="89"/>
  <c r="G39" i="89"/>
  <c r="G43" i="89"/>
  <c r="G22" i="89"/>
  <c r="G48" i="89"/>
  <c r="G27" i="89"/>
  <c r="G60" i="89"/>
  <c r="G4" i="89"/>
  <c r="G41" i="89"/>
  <c r="G26" i="89"/>
  <c r="G17" i="89"/>
  <c r="G30" i="89"/>
  <c r="G7" i="89"/>
  <c r="G29" i="89"/>
  <c r="G51" i="89"/>
  <c r="G52" i="89"/>
  <c r="G33" i="89"/>
  <c r="G55" i="89"/>
  <c r="G12" i="89"/>
  <c r="G5" i="89"/>
  <c r="G34" i="89"/>
  <c r="G13" i="89"/>
  <c r="G49" i="89"/>
  <c r="G35" i="89"/>
  <c r="G53" i="89"/>
  <c r="G57" i="89"/>
  <c r="G37" i="89"/>
  <c r="G14" i="89"/>
  <c r="G44" i="89"/>
  <c r="G15" i="89"/>
  <c r="G6" i="89"/>
  <c r="G16" i="89"/>
  <c r="G28" i="89"/>
  <c r="G50" i="89"/>
  <c r="G32" i="89"/>
  <c r="G61" i="89"/>
  <c r="G56" i="89"/>
  <c r="G18" i="89"/>
  <c r="G24" i="89"/>
  <c r="G58" i="89"/>
  <c r="G19" i="89"/>
  <c r="G46" i="89"/>
  <c r="G38" i="89"/>
  <c r="G63" i="89"/>
  <c r="G25" i="89"/>
  <c r="G40" i="89"/>
  <c r="G21" i="89"/>
  <c r="G20" i="89"/>
  <c r="G31" i="89"/>
  <c r="G9" i="89"/>
  <c r="G45" i="89"/>
  <c r="G36" i="89"/>
  <c r="G10" i="89"/>
  <c r="G8" i="89"/>
  <c r="G42" i="89"/>
  <c r="G54" i="89"/>
  <c r="G59" i="89"/>
  <c r="G11" i="89"/>
  <c r="G62" i="89"/>
  <c r="AG15" i="86"/>
  <c r="V5" i="86"/>
  <c r="AA5" i="86"/>
  <c r="AG53" i="86"/>
  <c r="AG54" i="86"/>
  <c r="AG16" i="86"/>
  <c r="AG11" i="86"/>
  <c r="AG7" i="86"/>
  <c r="AG58" i="86"/>
  <c r="AG6" i="86"/>
  <c r="AG36" i="86"/>
  <c r="AG9" i="86"/>
  <c r="AG28" i="86"/>
  <c r="AG41" i="86"/>
  <c r="AG13" i="86"/>
  <c r="AG31" i="86"/>
  <c r="AG34" i="86"/>
  <c r="AG19" i="86"/>
  <c r="AG57" i="86"/>
  <c r="AG12" i="86"/>
  <c r="AG40" i="86"/>
  <c r="AG60" i="86"/>
  <c r="AG33" i="86"/>
  <c r="AG32" i="86"/>
  <c r="Y5" i="86"/>
  <c r="AB27" i="86"/>
  <c r="AB29" i="86"/>
  <c r="AB38" i="86"/>
  <c r="AB25" i="86"/>
  <c r="AB51" i="86"/>
  <c r="AB26" i="86"/>
  <c r="AB44" i="86"/>
  <c r="AB50" i="86"/>
  <c r="AB56" i="86"/>
  <c r="V23" i="86"/>
  <c r="AC20" i="86"/>
  <c r="V62" i="86"/>
  <c r="V18" i="86"/>
  <c r="AB46" i="86"/>
  <c r="AC25" i="86"/>
  <c r="AC59" i="86"/>
  <c r="AB18" i="86"/>
  <c r="AC23" i="86"/>
  <c r="V24" i="86"/>
  <c r="AB37" i="86"/>
  <c r="AD35" i="86"/>
  <c r="AE35" i="86"/>
  <c r="X35" i="86"/>
  <c r="AA35" i="86"/>
  <c r="V43" i="86"/>
  <c r="AB35" i="86"/>
  <c r="AB24" i="86"/>
  <c r="V35" i="86"/>
  <c r="AC56" i="86"/>
  <c r="AC43" i="86"/>
  <c r="V20" i="86"/>
  <c r="AD63" i="86"/>
  <c r="X63" i="86"/>
  <c r="AC63" i="86"/>
  <c r="AA63" i="86"/>
  <c r="AE63" i="86"/>
  <c r="V22" i="86"/>
  <c r="AE22" i="86"/>
  <c r="AA22" i="86"/>
  <c r="AD22" i="86"/>
  <c r="X22" i="86"/>
  <c r="V14" i="86"/>
  <c r="AD14" i="86"/>
  <c r="AE14" i="86"/>
  <c r="AB14" i="86"/>
  <c r="AA14" i="86"/>
  <c r="X14" i="86"/>
  <c r="V48" i="86"/>
  <c r="X48" i="86"/>
  <c r="AD48" i="86"/>
  <c r="AC48" i="86"/>
  <c r="AE48" i="86"/>
  <c r="AA48" i="86"/>
  <c r="V39" i="86"/>
  <c r="X39" i="86"/>
  <c r="AD39" i="86"/>
  <c r="AA39" i="86"/>
  <c r="X51" i="86"/>
  <c r="AD51" i="86"/>
  <c r="AC51" i="86"/>
  <c r="AA51" i="86"/>
  <c r="AE51" i="86"/>
  <c r="AE42" i="86"/>
  <c r="X42" i="86"/>
  <c r="AD42" i="86"/>
  <c r="AA42" i="86"/>
  <c r="V30" i="86"/>
  <c r="AD30" i="86"/>
  <c r="AA30" i="86"/>
  <c r="AE30" i="86"/>
  <c r="X30" i="86"/>
  <c r="AD8" i="86"/>
  <c r="AA8" i="86"/>
  <c r="X8" i="86"/>
  <c r="AE8" i="86"/>
  <c r="X27" i="86"/>
  <c r="AD27" i="86"/>
  <c r="AE27" i="86"/>
  <c r="AA27" i="86"/>
  <c r="V10" i="86"/>
  <c r="AB48" i="86"/>
  <c r="V42" i="86"/>
  <c r="V8" i="86"/>
  <c r="AD17" i="86"/>
  <c r="AA17" i="86"/>
  <c r="AE17" i="86"/>
  <c r="X17" i="86"/>
  <c r="AC42" i="86"/>
  <c r="V38" i="86"/>
  <c r="V61" i="86"/>
  <c r="AE61" i="86"/>
  <c r="AC61" i="86"/>
  <c r="AD61" i="86"/>
  <c r="AB61" i="86"/>
  <c r="X61" i="86"/>
  <c r="AA61" i="86"/>
  <c r="AC8" i="86"/>
  <c r="X47" i="86"/>
  <c r="AA47" i="86"/>
  <c r="AE47" i="86"/>
  <c r="AD47" i="86"/>
  <c r="V21" i="86"/>
  <c r="AE21" i="86"/>
  <c r="X21" i="86"/>
  <c r="AD21" i="86"/>
  <c r="AA21" i="86"/>
  <c r="AE39" i="86"/>
  <c r="AC27" i="86"/>
  <c r="AE46" i="86"/>
  <c r="X46" i="86"/>
  <c r="AD46" i="86"/>
  <c r="AA46" i="86"/>
  <c r="V17" i="86"/>
  <c r="AC47" i="86"/>
  <c r="AE23" i="86"/>
  <c r="AD23" i="86"/>
  <c r="AA23" i="86"/>
  <c r="X23" i="86"/>
  <c r="AB22" i="86"/>
  <c r="V63" i="86"/>
  <c r="AE44" i="86"/>
  <c r="AD44" i="86"/>
  <c r="AC44" i="86"/>
  <c r="AA44" i="86"/>
  <c r="X44" i="86"/>
  <c r="AC10" i="86"/>
  <c r="X5" i="86"/>
  <c r="AD5" i="86"/>
  <c r="AE5" i="86"/>
  <c r="X29" i="86"/>
  <c r="AA29" i="86"/>
  <c r="AD29" i="86"/>
  <c r="AE29" i="86"/>
  <c r="X62" i="86"/>
  <c r="AE62" i="86"/>
  <c r="AC62" i="86"/>
  <c r="AD62" i="86"/>
  <c r="AC39" i="86"/>
  <c r="AC17" i="86"/>
  <c r="V55" i="86"/>
  <c r="AD55" i="86"/>
  <c r="AC55" i="86"/>
  <c r="AA55" i="86"/>
  <c r="AE55" i="86"/>
  <c r="X55" i="86"/>
  <c r="AB21" i="86"/>
  <c r="AD10" i="86"/>
  <c r="AA10" i="86"/>
  <c r="AE10" i="86"/>
  <c r="X10" i="86"/>
  <c r="AB30" i="86"/>
  <c r="AA56" i="86"/>
  <c r="AD56" i="86"/>
  <c r="AE56" i="86"/>
  <c r="X56" i="86"/>
  <c r="AD38" i="86"/>
  <c r="AA38" i="86"/>
  <c r="AE38" i="86"/>
  <c r="X38" i="86"/>
  <c r="AA18" i="86"/>
  <c r="X18" i="86"/>
  <c r="AD18" i="86"/>
  <c r="AC18" i="86"/>
  <c r="V45" i="86"/>
  <c r="AD45" i="86"/>
  <c r="AE45" i="86"/>
  <c r="AA45" i="86"/>
  <c r="X45" i="86"/>
  <c r="X26" i="86"/>
  <c r="AE26" i="86"/>
  <c r="AD26" i="86"/>
  <c r="AA26" i="86"/>
  <c r="V49" i="86"/>
  <c r="X49" i="86"/>
  <c r="AD49" i="86"/>
  <c r="AC49" i="86"/>
  <c r="AE49" i="86"/>
  <c r="AA49" i="86"/>
  <c r="AC30" i="86"/>
  <c r="AB39" i="86"/>
  <c r="AB17" i="86"/>
  <c r="X25" i="86"/>
  <c r="AE25" i="86"/>
  <c r="AD25" i="86"/>
  <c r="AA25" i="86"/>
  <c r="AC5" i="86"/>
  <c r="AD24" i="86"/>
  <c r="AA24" i="86"/>
  <c r="X24" i="86"/>
  <c r="AE24" i="86"/>
  <c r="V37" i="86"/>
  <c r="AD37" i="86"/>
  <c r="AA37" i="86"/>
  <c r="X37" i="86"/>
  <c r="AB45" i="86"/>
  <c r="AC46" i="86"/>
  <c r="V47" i="86"/>
  <c r="X50" i="86"/>
  <c r="AD50" i="86"/>
  <c r="AC50" i="86"/>
  <c r="AA50" i="86"/>
  <c r="AE50" i="86"/>
  <c r="V26" i="86"/>
  <c r="V59" i="86"/>
  <c r="AD59" i="86"/>
  <c r="AB59" i="86"/>
  <c r="AA59" i="86"/>
  <c r="X59" i="86"/>
  <c r="AC29" i="86"/>
  <c r="AC22" i="86"/>
  <c r="AC37" i="86"/>
  <c r="AE43" i="86"/>
  <c r="AD43" i="86"/>
  <c r="X43" i="86"/>
  <c r="AA43" i="86"/>
  <c r="AB5" i="86"/>
  <c r="AB63" i="86"/>
  <c r="AE20" i="86"/>
  <c r="X20" i="86"/>
  <c r="AD20" i="86"/>
  <c r="AA20" i="86"/>
  <c r="AB42" i="86"/>
  <c r="J8" i="89" l="1"/>
  <c r="K8" i="89"/>
  <c r="AG26" i="86"/>
  <c r="AG43" i="86"/>
  <c r="AG44" i="86"/>
  <c r="AG49" i="86"/>
  <c r="AG21" i="86"/>
  <c r="AG5" i="86"/>
  <c r="AG10" i="86"/>
  <c r="AG20" i="86"/>
  <c r="AG46" i="86"/>
  <c r="AG14" i="86"/>
  <c r="AG24" i="86"/>
  <c r="AG39" i="86"/>
  <c r="AG62" i="86"/>
  <c r="AG30" i="86"/>
  <c r="AG56" i="86"/>
  <c r="AG37" i="86"/>
  <c r="AG17" i="86"/>
  <c r="AG29" i="86"/>
  <c r="AG22" i="86"/>
  <c r="AG51" i="86"/>
  <c r="AG42" i="86"/>
  <c r="AG45" i="86"/>
  <c r="AG59" i="86"/>
  <c r="AG25" i="86"/>
  <c r="AG47" i="86"/>
  <c r="AG48" i="86"/>
  <c r="AG63" i="86"/>
  <c r="AG18" i="86"/>
  <c r="AG61" i="86"/>
  <c r="AG23" i="86"/>
  <c r="AG8" i="86"/>
  <c r="AG55" i="86"/>
  <c r="AG27" i="86"/>
  <c r="AG35" i="86"/>
  <c r="AG50" i="86"/>
  <c r="AG38" i="86"/>
  <c r="E9" i="83"/>
  <c r="D9" i="83"/>
  <c r="L24" i="82"/>
  <c r="H29" i="82" s="1"/>
  <c r="N23" i="82"/>
  <c r="D27" i="82" a="1"/>
  <c r="D27" i="82" s="1"/>
  <c r="B37" i="82"/>
  <c r="C37" i="82" s="1"/>
  <c r="B36" i="82"/>
  <c r="C36" i="82" s="1"/>
  <c r="B35" i="82"/>
  <c r="C35" i="82" s="1"/>
  <c r="B34" i="82"/>
  <c r="C34" i="82" s="1"/>
  <c r="B33" i="82"/>
  <c r="C33" i="82" s="1"/>
  <c r="B32" i="82"/>
  <c r="C32" i="82" s="1"/>
  <c r="B31" i="82"/>
  <c r="C31" i="82" s="1"/>
  <c r="B30" i="82"/>
  <c r="C30" i="82" s="1"/>
  <c r="B29" i="82"/>
  <c r="C29" i="82" s="1"/>
  <c r="B28" i="82"/>
  <c r="C28" i="82" s="1"/>
  <c r="B27" i="82"/>
  <c r="C27" i="82" s="1"/>
  <c r="K22" i="82"/>
  <c r="J22" i="82"/>
  <c r="I22" i="82"/>
  <c r="H22" i="82"/>
  <c r="G22" i="82"/>
  <c r="F22" i="82"/>
  <c r="E22" i="82"/>
  <c r="C22" i="82"/>
  <c r="B22" i="82"/>
  <c r="L8" i="89" l="1"/>
  <c r="G8" i="83"/>
  <c r="C14" i="83"/>
  <c r="E39" i="83"/>
  <c r="E40" i="83" s="1"/>
  <c r="D39" i="83"/>
  <c r="D40" i="83" s="1"/>
  <c r="C39" i="83"/>
  <c r="C40" i="83" s="1"/>
  <c r="F39" i="83"/>
  <c r="F40" i="83" s="1"/>
  <c r="G9" i="83"/>
  <c r="J8" i="83" s="1"/>
  <c r="G6" i="83"/>
  <c r="H6" i="83"/>
  <c r="G5" i="83"/>
  <c r="H7" i="83"/>
  <c r="H8" i="83"/>
  <c r="L22" i="82"/>
  <c r="N22" i="82" s="1"/>
  <c r="N24" i="82"/>
  <c r="C41" i="82" a="1"/>
  <c r="C41" i="82" s="1"/>
  <c r="F41" i="82" s="1"/>
  <c r="E27" i="82"/>
  <c r="G29" i="82" s="1" a="1"/>
  <c r="G29" i="82" s="1"/>
  <c r="D37" i="82"/>
  <c r="E37" i="82" s="1"/>
  <c r="D35" i="82"/>
  <c r="E35" i="82" s="1"/>
  <c r="D33" i="82"/>
  <c r="E33" i="82" s="1"/>
  <c r="D31" i="82"/>
  <c r="E31" i="82" s="1"/>
  <c r="D28" i="82"/>
  <c r="E28" i="82" s="1"/>
  <c r="D36" i="82"/>
  <c r="E36" i="82" s="1"/>
  <c r="D34" i="82"/>
  <c r="E34" i="82" s="1"/>
  <c r="D32" i="82"/>
  <c r="E32" i="82" s="1"/>
  <c r="D30" i="82"/>
  <c r="E30" i="82" s="1"/>
  <c r="D29" i="82"/>
  <c r="E29" i="82" s="1"/>
  <c r="G39" i="83" l="1"/>
  <c r="B40" i="83"/>
  <c r="G40" i="83" s="1"/>
  <c r="D13" i="83"/>
  <c r="D14" i="83" s="1"/>
  <c r="B14" i="83"/>
  <c r="J5" i="83"/>
  <c r="K5" i="83"/>
  <c r="J17" i="83"/>
  <c r="J18" i="83"/>
  <c r="H9" i="83"/>
  <c r="I29" i="82"/>
  <c r="C19" i="83" l="1"/>
  <c r="K18" i="83"/>
  <c r="K17" i="83"/>
  <c r="B19" i="83"/>
  <c r="C28" i="83"/>
  <c r="C29" i="83" s="1"/>
  <c r="K8" i="83"/>
  <c r="C23" i="83"/>
  <c r="C24" i="83" s="1"/>
  <c r="B28" i="83"/>
  <c r="F36" i="81"/>
  <c r="F35" i="81"/>
  <c r="F34" i="81"/>
  <c r="F33" i="81"/>
  <c r="F32" i="81"/>
  <c r="F31" i="81"/>
  <c r="F30" i="81"/>
  <c r="F29" i="81"/>
  <c r="F28" i="81"/>
  <c r="L24" i="81"/>
  <c r="F19" i="80"/>
  <c r="E19" i="80"/>
  <c r="D19" i="80"/>
  <c r="C19" i="80"/>
  <c r="B19" i="80"/>
  <c r="K23" i="81"/>
  <c r="D22" i="81"/>
  <c r="D27" i="81"/>
  <c r="D36" i="81"/>
  <c r="D35" i="81"/>
  <c r="D34" i="81"/>
  <c r="D33" i="81"/>
  <c r="D32" i="81"/>
  <c r="D31" i="81"/>
  <c r="D30" i="81"/>
  <c r="D29" i="81"/>
  <c r="D28" i="81"/>
  <c r="J22" i="81"/>
  <c r="I22" i="81"/>
  <c r="H22" i="81"/>
  <c r="G22" i="81"/>
  <c r="F22" i="81"/>
  <c r="E22" i="81"/>
  <c r="C22" i="81"/>
  <c r="B22" i="81"/>
  <c r="D18" i="83" l="1"/>
  <c r="B35" i="81"/>
  <c r="B27" i="81"/>
  <c r="B29" i="83"/>
  <c r="D28" i="83"/>
  <c r="D29" i="83" s="1"/>
  <c r="D19" i="83"/>
  <c r="B24" i="83"/>
  <c r="D23" i="83"/>
  <c r="D24" i="83" s="1"/>
  <c r="I29" i="81"/>
  <c r="L23" i="81"/>
  <c r="B32" i="81"/>
  <c r="B30" i="81"/>
  <c r="B38" i="81"/>
  <c r="C35" i="81" s="1"/>
  <c r="B34" i="81"/>
  <c r="C34" i="81" s="1"/>
  <c r="B31" i="81"/>
  <c r="C31" i="81" s="1"/>
  <c r="B28" i="81"/>
  <c r="C28" i="81" s="1"/>
  <c r="B39" i="81"/>
  <c r="B33" i="81"/>
  <c r="C33" i="81" s="1"/>
  <c r="E33" i="81" s="1"/>
  <c r="B29" i="81"/>
  <c r="B36" i="81"/>
  <c r="C36" i="81" s="1"/>
  <c r="E36" i="81" s="1"/>
  <c r="K22" i="81"/>
  <c r="L22" i="81" s="1"/>
  <c r="B42" i="81" l="1" a="1"/>
  <c r="B42" i="81" s="1"/>
  <c r="E34" i="81"/>
  <c r="C30" i="81"/>
  <c r="E30" i="81" s="1"/>
  <c r="E31" i="81"/>
  <c r="C32" i="81"/>
  <c r="E32" i="81" s="1"/>
  <c r="E35" i="81"/>
  <c r="C29" i="81"/>
  <c r="C27" i="81"/>
  <c r="B34" i="83"/>
  <c r="B35" i="83" s="1"/>
  <c r="E27" i="81"/>
  <c r="E28" i="81"/>
  <c r="E29" i="81"/>
  <c r="J29" i="81" l="1"/>
  <c r="B29" i="80"/>
  <c r="D27" i="80"/>
  <c r="D26" i="80"/>
  <c r="D25" i="80"/>
  <c r="D24" i="80"/>
  <c r="D23" i="80"/>
  <c r="B30" i="80"/>
  <c r="G18" i="80"/>
  <c r="G17" i="80"/>
  <c r="D13" i="79"/>
  <c r="D14" i="79"/>
  <c r="D15" i="79"/>
  <c r="D16" i="79"/>
  <c r="D17" i="79"/>
  <c r="D18" i="79"/>
  <c r="D19" i="79"/>
  <c r="D20" i="79"/>
  <c r="D21" i="79"/>
  <c r="D22" i="79"/>
  <c r="D23" i="79"/>
  <c r="D24" i="79"/>
  <c r="D25" i="79"/>
  <c r="D26" i="79"/>
  <c r="D27" i="79"/>
  <c r="D35" i="79"/>
  <c r="D36" i="79"/>
  <c r="D37" i="79"/>
  <c r="D38" i="79"/>
  <c r="D39" i="79"/>
  <c r="D40" i="79"/>
  <c r="D41" i="79"/>
  <c r="D42" i="79"/>
  <c r="D43" i="79"/>
  <c r="D44" i="79"/>
  <c r="D45" i="79"/>
  <c r="D46" i="79"/>
  <c r="D47" i="79"/>
  <c r="D48" i="79"/>
  <c r="D49" i="79"/>
  <c r="D57" i="79"/>
  <c r="D58" i="79"/>
  <c r="D59" i="79"/>
  <c r="D60" i="79"/>
  <c r="D61" i="79"/>
  <c r="D62" i="79"/>
  <c r="D63" i="79"/>
  <c r="D6" i="79"/>
  <c r="D7" i="79"/>
  <c r="D8" i="79"/>
  <c r="D9" i="79"/>
  <c r="D10" i="79"/>
  <c r="D11" i="79"/>
  <c r="D12" i="79"/>
  <c r="D28" i="79"/>
  <c r="D29" i="79"/>
  <c r="D30" i="79"/>
  <c r="D31" i="79"/>
  <c r="D32" i="79"/>
  <c r="D33" i="79"/>
  <c r="D34" i="79"/>
  <c r="D50" i="79"/>
  <c r="D51" i="79"/>
  <c r="D52" i="79"/>
  <c r="D53" i="79"/>
  <c r="D54" i="79"/>
  <c r="D55" i="79"/>
  <c r="D56" i="79"/>
  <c r="D5" i="79"/>
  <c r="D9" i="78"/>
  <c r="D8" i="78"/>
  <c r="D7" i="78"/>
  <c r="D12" i="78" l="1"/>
  <c r="C25" i="80"/>
  <c r="G19" i="80"/>
  <c r="E23" i="80"/>
  <c r="C24" i="80"/>
  <c r="E24" i="80" s="1"/>
  <c r="C27" i="80"/>
  <c r="E27" i="80" s="1"/>
  <c r="C26" i="80"/>
  <c r="E25" i="80"/>
  <c r="G7" i="79"/>
  <c r="C23" i="75"/>
  <c r="C22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C6" i="75"/>
  <c r="C5" i="75"/>
  <c r="G12" i="70"/>
  <c r="G11" i="70" s="1"/>
  <c r="G7" i="70"/>
  <c r="F5" i="39"/>
  <c r="O5" i="39" s="1"/>
  <c r="O22" i="39" s="1"/>
  <c r="C6" i="39"/>
  <c r="C17" i="39" s="1"/>
  <c r="C23" i="39" s="1"/>
  <c r="D6" i="39"/>
  <c r="D17" i="39" s="1"/>
  <c r="D23" i="39" s="1"/>
  <c r="E6" i="39"/>
  <c r="E13" i="39" s="1"/>
  <c r="F7" i="39"/>
  <c r="G7" i="39"/>
  <c r="H7" i="39"/>
  <c r="B17" i="39"/>
  <c r="B16" i="39" s="1"/>
  <c r="B23" i="39"/>
  <c r="B24" i="39" s="1"/>
  <c r="E17" i="39"/>
  <c r="E23" i="39" s="1"/>
  <c r="Q7" i="39"/>
  <c r="K11" i="39"/>
  <c r="K13" i="39" s="1"/>
  <c r="L11" i="39"/>
  <c r="L13" i="39" s="1"/>
  <c r="M11" i="39"/>
  <c r="M13" i="39" s="1"/>
  <c r="N11" i="39"/>
  <c r="O11" i="39"/>
  <c r="P11" i="39"/>
  <c r="P13" i="39" s="1"/>
  <c r="Q11" i="39"/>
  <c r="N13" i="39"/>
  <c r="O13" i="39"/>
  <c r="Q13" i="39"/>
  <c r="K26" i="39"/>
  <c r="F5" i="38"/>
  <c r="O5" i="38" s="1"/>
  <c r="O22" i="38" s="1"/>
  <c r="B11" i="38"/>
  <c r="B12" i="38" s="1"/>
  <c r="C11" i="38"/>
  <c r="C12" i="38" s="1"/>
  <c r="C15" i="38"/>
  <c r="C21" i="38" s="1"/>
  <c r="D11" i="38"/>
  <c r="E11" i="38"/>
  <c r="E15" i="38" s="1"/>
  <c r="F11" i="38"/>
  <c r="F15" i="38" s="1"/>
  <c r="G11" i="38"/>
  <c r="G12" i="38" s="1"/>
  <c r="H11" i="38"/>
  <c r="H12" i="38" s="1"/>
  <c r="C7" i="38"/>
  <c r="D7" i="38"/>
  <c r="E7" i="38"/>
  <c r="F7" i="38"/>
  <c r="G7" i="38"/>
  <c r="H7" i="38"/>
  <c r="Q7" i="38"/>
  <c r="K11" i="38"/>
  <c r="K13" i="38" s="1"/>
  <c r="L11" i="38"/>
  <c r="L13" i="38" s="1"/>
  <c r="M11" i="38"/>
  <c r="M13" i="38" s="1"/>
  <c r="N11" i="38"/>
  <c r="N13" i="38" s="1"/>
  <c r="O11" i="38"/>
  <c r="O13" i="38" s="1"/>
  <c r="P11" i="38"/>
  <c r="P13" i="38" s="1"/>
  <c r="Q11" i="38"/>
  <c r="Q13" i="38" s="1"/>
  <c r="F12" i="38"/>
  <c r="K26" i="38"/>
  <c r="I19" i="36"/>
  <c r="I21" i="36" s="1"/>
  <c r="I28" i="36" s="1"/>
  <c r="D13" i="36"/>
  <c r="D23" i="36" s="1"/>
  <c r="M21" i="36"/>
  <c r="I24" i="36"/>
  <c r="D29" i="36"/>
  <c r="D35" i="36" s="1"/>
  <c r="I25" i="36"/>
  <c r="D36" i="36"/>
  <c r="M40" i="36"/>
  <c r="F15" i="66"/>
  <c r="D16" i="66"/>
  <c r="B17" i="66"/>
  <c r="C17" i="66"/>
  <c r="C20" i="66" s="1"/>
  <c r="C21" i="66" s="1"/>
  <c r="B4" i="48"/>
  <c r="C4" i="48"/>
  <c r="D4" i="48"/>
  <c r="F4" i="48"/>
  <c r="A5" i="48"/>
  <c r="D18" i="18"/>
  <c r="J18" i="18"/>
  <c r="B21" i="18"/>
  <c r="C21" i="18"/>
  <c r="D21" i="18"/>
  <c r="B26" i="18"/>
  <c r="H21" i="18"/>
  <c r="H25" i="18"/>
  <c r="B22" i="18"/>
  <c r="D22" i="18"/>
  <c r="J22" i="18" s="1"/>
  <c r="H22" i="18"/>
  <c r="I22" i="18" s="1"/>
  <c r="B23" i="18"/>
  <c r="D23" i="18"/>
  <c r="J23" i="18" s="1"/>
  <c r="H23" i="18"/>
  <c r="I23" i="18" s="1"/>
  <c r="H27" i="18"/>
  <c r="E6" i="22"/>
  <c r="F6" i="22"/>
  <c r="G6" i="22"/>
  <c r="I6" i="22" s="1"/>
  <c r="F7" i="17"/>
  <c r="G7" i="17"/>
  <c r="H7" i="17"/>
  <c r="I7" i="17"/>
  <c r="N7" i="17"/>
  <c r="F8" i="17"/>
  <c r="G8" i="17"/>
  <c r="H8" i="17"/>
  <c r="I8" i="17"/>
  <c r="N8" i="17"/>
  <c r="F9" i="17"/>
  <c r="G9" i="17"/>
  <c r="H9" i="17"/>
  <c r="I9" i="17"/>
  <c r="N9" i="17"/>
  <c r="F10" i="17"/>
  <c r="G10" i="17"/>
  <c r="H10" i="17"/>
  <c r="I10" i="17"/>
  <c r="N10" i="17"/>
  <c r="F11" i="17"/>
  <c r="G11" i="17"/>
  <c r="H11" i="17"/>
  <c r="I11" i="17"/>
  <c r="N11" i="17"/>
  <c r="F12" i="17"/>
  <c r="G12" i="17"/>
  <c r="H12" i="17"/>
  <c r="I12" i="17"/>
  <c r="N12" i="17"/>
  <c r="F13" i="17"/>
  <c r="G13" i="17"/>
  <c r="H13" i="17"/>
  <c r="I13" i="17"/>
  <c r="N13" i="17"/>
  <c r="F14" i="17"/>
  <c r="G14" i="17"/>
  <c r="H14" i="17"/>
  <c r="I14" i="17"/>
  <c r="N14" i="17"/>
  <c r="F15" i="17"/>
  <c r="G15" i="17"/>
  <c r="H15" i="17"/>
  <c r="I15" i="17"/>
  <c r="N15" i="17"/>
  <c r="F16" i="17"/>
  <c r="G16" i="17"/>
  <c r="H16" i="17"/>
  <c r="I16" i="17"/>
  <c r="N16" i="17"/>
  <c r="F17" i="17"/>
  <c r="G17" i="17"/>
  <c r="H17" i="17"/>
  <c r="I17" i="17"/>
  <c r="N17" i="17"/>
  <c r="F18" i="17"/>
  <c r="G18" i="17"/>
  <c r="H18" i="17"/>
  <c r="I18" i="17"/>
  <c r="N18" i="17"/>
  <c r="F19" i="17"/>
  <c r="G19" i="17"/>
  <c r="H19" i="17"/>
  <c r="I19" i="17"/>
  <c r="N19" i="17"/>
  <c r="F20" i="17"/>
  <c r="G20" i="17"/>
  <c r="H20" i="17"/>
  <c r="I20" i="17"/>
  <c r="N20" i="17"/>
  <c r="F21" i="17"/>
  <c r="G21" i="17"/>
  <c r="H21" i="17"/>
  <c r="I21" i="17"/>
  <c r="N21" i="17"/>
  <c r="F22" i="17"/>
  <c r="G22" i="17"/>
  <c r="H22" i="17"/>
  <c r="I22" i="17"/>
  <c r="N22" i="17"/>
  <c r="F23" i="17"/>
  <c r="G23" i="17"/>
  <c r="H23" i="17"/>
  <c r="I23" i="17"/>
  <c r="N23" i="17"/>
  <c r="F24" i="17"/>
  <c r="G24" i="17"/>
  <c r="H24" i="17"/>
  <c r="I24" i="17"/>
  <c r="N24" i="17"/>
  <c r="F25" i="17"/>
  <c r="G25" i="17"/>
  <c r="H25" i="17"/>
  <c r="I25" i="17"/>
  <c r="N25" i="17"/>
  <c r="F26" i="17"/>
  <c r="G26" i="17"/>
  <c r="H26" i="17"/>
  <c r="I26" i="17"/>
  <c r="N26" i="17"/>
  <c r="F27" i="17"/>
  <c r="G27" i="17"/>
  <c r="H27" i="17"/>
  <c r="I27" i="17"/>
  <c r="N27" i="17"/>
  <c r="F28" i="17"/>
  <c r="G28" i="17"/>
  <c r="H28" i="17"/>
  <c r="I28" i="17"/>
  <c r="N28" i="17"/>
  <c r="F29" i="17"/>
  <c r="G29" i="17"/>
  <c r="H29" i="17"/>
  <c r="I29" i="17"/>
  <c r="N29" i="17"/>
  <c r="F30" i="17"/>
  <c r="G30" i="17"/>
  <c r="H30" i="17"/>
  <c r="I30" i="17"/>
  <c r="N30" i="17"/>
  <c r="F31" i="17"/>
  <c r="G31" i="17"/>
  <c r="H31" i="17"/>
  <c r="I31" i="17"/>
  <c r="N31" i="17"/>
  <c r="F32" i="17"/>
  <c r="G32" i="17"/>
  <c r="H32" i="17"/>
  <c r="I32" i="17"/>
  <c r="N32" i="17"/>
  <c r="F33" i="17"/>
  <c r="G33" i="17"/>
  <c r="H33" i="17"/>
  <c r="I33" i="17"/>
  <c r="N33" i="17"/>
  <c r="F34" i="17"/>
  <c r="G34" i="17"/>
  <c r="H34" i="17"/>
  <c r="I34" i="17"/>
  <c r="N34" i="17"/>
  <c r="F35" i="17"/>
  <c r="G35" i="17"/>
  <c r="H35" i="17"/>
  <c r="I35" i="17"/>
  <c r="N35" i="17"/>
  <c r="F36" i="17"/>
  <c r="G36" i="17"/>
  <c r="H36" i="17"/>
  <c r="I36" i="17"/>
  <c r="N36" i="17"/>
  <c r="F37" i="17"/>
  <c r="G37" i="17"/>
  <c r="H37" i="17"/>
  <c r="I37" i="17"/>
  <c r="N37" i="17"/>
  <c r="F38" i="17"/>
  <c r="G38" i="17"/>
  <c r="H38" i="17"/>
  <c r="I38" i="17"/>
  <c r="N38" i="17"/>
  <c r="F39" i="17"/>
  <c r="G39" i="17"/>
  <c r="H39" i="17"/>
  <c r="I39" i="17"/>
  <c r="N39" i="17"/>
  <c r="F40" i="17"/>
  <c r="G40" i="17"/>
  <c r="H40" i="17"/>
  <c r="I40" i="17"/>
  <c r="N40" i="17"/>
  <c r="F41" i="17"/>
  <c r="G41" i="17"/>
  <c r="H41" i="17"/>
  <c r="I41" i="17"/>
  <c r="N41" i="17"/>
  <c r="F42" i="17"/>
  <c r="G42" i="17"/>
  <c r="H42" i="17"/>
  <c r="I42" i="17"/>
  <c r="N42" i="17"/>
  <c r="B45" i="17"/>
  <c r="C45" i="17"/>
  <c r="D45" i="17"/>
  <c r="B46" i="17"/>
  <c r="C46" i="17"/>
  <c r="D46" i="17"/>
  <c r="D47" i="17"/>
  <c r="D16" i="15"/>
  <c r="E16" i="15"/>
  <c r="D17" i="15"/>
  <c r="D18" i="15"/>
  <c r="E18" i="15" s="1"/>
  <c r="D19" i="15"/>
  <c r="D20" i="15"/>
  <c r="E20" i="15"/>
  <c r="D21" i="15"/>
  <c r="D22" i="15"/>
  <c r="E22" i="15" s="1"/>
  <c r="D23" i="15"/>
  <c r="E23" i="15"/>
  <c r="D24" i="15"/>
  <c r="E24" i="15" s="1"/>
  <c r="D25" i="15"/>
  <c r="D30" i="15"/>
  <c r="F30" i="15" s="1"/>
  <c r="D31" i="15"/>
  <c r="E31" i="15" s="1"/>
  <c r="G31" i="15"/>
  <c r="G32" i="15" s="1"/>
  <c r="G33" i="15" s="1"/>
  <c r="D32" i="15"/>
  <c r="D33" i="15"/>
  <c r="F33" i="15" s="1"/>
  <c r="E33" i="15"/>
  <c r="D34" i="15"/>
  <c r="F34" i="15" s="1"/>
  <c r="D35" i="15"/>
  <c r="F35" i="15" s="1"/>
  <c r="D36" i="15"/>
  <c r="F36" i="15" s="1"/>
  <c r="D37" i="15"/>
  <c r="E37" i="15" s="1"/>
  <c r="G37" i="15"/>
  <c r="G38" i="15" s="1"/>
  <c r="D38" i="15"/>
  <c r="F38" i="15" s="1"/>
  <c r="D39" i="15"/>
  <c r="E39" i="15" s="1"/>
  <c r="D45" i="15"/>
  <c r="E45" i="15" s="1"/>
  <c r="E48" i="15"/>
  <c r="F48" i="15"/>
  <c r="E5" i="14"/>
  <c r="G29" i="14" s="1"/>
  <c r="G9" i="14"/>
  <c r="G8" i="70"/>
  <c r="G11" i="11"/>
  <c r="G12" i="11" s="1"/>
  <c r="G9" i="11"/>
  <c r="E5" i="8"/>
  <c r="F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E5" i="69"/>
  <c r="E6" i="69"/>
  <c r="E7" i="69"/>
  <c r="E8" i="69"/>
  <c r="E9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H5" i="69"/>
  <c r="I5" i="69"/>
  <c r="H6" i="69"/>
  <c r="H7" i="69" s="1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I5" i="7"/>
  <c r="J5" i="7"/>
  <c r="I6" i="7"/>
  <c r="J6" i="7"/>
  <c r="I8" i="7"/>
  <c r="B17" i="6"/>
  <c r="E5" i="6" s="1"/>
  <c r="C17" i="6"/>
  <c r="F14" i="6" s="1"/>
  <c r="H19" i="6"/>
  <c r="G27" i="5"/>
  <c r="G7" i="3"/>
  <c r="G4" i="3" s="1"/>
  <c r="C10" i="68"/>
  <c r="D10" i="68"/>
  <c r="E10" i="68"/>
  <c r="C12" i="68"/>
  <c r="E12" i="68"/>
  <c r="C12" i="2"/>
  <c r="C13" i="2"/>
  <c r="C14" i="2"/>
  <c r="E33" i="2"/>
  <c r="E34" i="2"/>
  <c r="E16" i="39" l="1"/>
  <c r="C13" i="39"/>
  <c r="E12" i="39"/>
  <c r="F16" i="38"/>
  <c r="F21" i="38"/>
  <c r="F22" i="38" s="1"/>
  <c r="H15" i="38"/>
  <c r="G15" i="38"/>
  <c r="G16" i="38" s="1"/>
  <c r="C16" i="38"/>
  <c r="D37" i="36"/>
  <c r="I29" i="36"/>
  <c r="I30" i="36" s="1"/>
  <c r="M9" i="36" s="1"/>
  <c r="C26" i="75"/>
  <c r="J23" i="63"/>
  <c r="B27" i="18"/>
  <c r="I21" i="18"/>
  <c r="O50" i="17"/>
  <c r="B47" i="17"/>
  <c r="C47" i="17"/>
  <c r="I46" i="17"/>
  <c r="O51" i="17"/>
  <c r="O53" i="17" s="1"/>
  <c r="G49" i="17"/>
  <c r="E17" i="15"/>
  <c r="F17" i="15" a="1"/>
  <c r="F17" i="15" s="1"/>
  <c r="F31" i="15"/>
  <c r="E30" i="15"/>
  <c r="F37" i="15"/>
  <c r="E36" i="15"/>
  <c r="G11" i="14"/>
  <c r="G10" i="14"/>
  <c r="G59" i="14"/>
  <c r="G58" i="14"/>
  <c r="G57" i="14"/>
  <c r="G56" i="14"/>
  <c r="G35" i="14"/>
  <c r="G34" i="14"/>
  <c r="G33" i="14"/>
  <c r="G32" i="14"/>
  <c r="G13" i="14"/>
  <c r="G31" i="14"/>
  <c r="G54" i="14"/>
  <c r="G30" i="14"/>
  <c r="G53" i="14"/>
  <c r="G27" i="14"/>
  <c r="G50" i="14"/>
  <c r="G25" i="14"/>
  <c r="G48" i="14"/>
  <c r="G47" i="14"/>
  <c r="G46" i="14"/>
  <c r="G22" i="14"/>
  <c r="G45" i="14"/>
  <c r="G21" i="14"/>
  <c r="G68" i="14"/>
  <c r="G44" i="14"/>
  <c r="G20" i="14"/>
  <c r="G18" i="14"/>
  <c r="G43" i="14"/>
  <c r="G66" i="14"/>
  <c r="G41" i="14"/>
  <c r="G64" i="14"/>
  <c r="G40" i="14"/>
  <c r="G15" i="14"/>
  <c r="G63" i="14"/>
  <c r="G38" i="14"/>
  <c r="G14" i="14"/>
  <c r="G55" i="14"/>
  <c r="G28" i="14"/>
  <c r="G52" i="14"/>
  <c r="G26" i="14"/>
  <c r="G49" i="14"/>
  <c r="G24" i="14"/>
  <c r="G23" i="14"/>
  <c r="G67" i="14"/>
  <c r="G19" i="14"/>
  <c r="G42" i="14"/>
  <c r="G65" i="14"/>
  <c r="G16" i="14"/>
  <c r="G62" i="14"/>
  <c r="G37" i="14"/>
  <c r="G60" i="14"/>
  <c r="G36" i="14"/>
  <c r="G12" i="14"/>
  <c r="K5" i="69"/>
  <c r="K5" i="7"/>
  <c r="K6" i="8"/>
  <c r="I35" i="70"/>
  <c r="I14" i="70"/>
  <c r="I15" i="70"/>
  <c r="I47" i="70"/>
  <c r="I36" i="70"/>
  <c r="F15" i="6"/>
  <c r="E9" i="6"/>
  <c r="E6" i="6"/>
  <c r="F5" i="6"/>
  <c r="H5" i="6"/>
  <c r="F13" i="6"/>
  <c r="F12" i="6"/>
  <c r="F10" i="6"/>
  <c r="E12" i="6"/>
  <c r="H12" i="6" s="1"/>
  <c r="F9" i="6"/>
  <c r="H9" i="6" s="1"/>
  <c r="I10" i="68"/>
  <c r="C16" i="2"/>
  <c r="D14" i="2" s="1"/>
  <c r="C22" i="2" s="1"/>
  <c r="D22" i="2" s="1"/>
  <c r="C28" i="2" s="1"/>
  <c r="F32" i="2"/>
  <c r="E26" i="80"/>
  <c r="C34" i="80" a="1"/>
  <c r="C34" i="80" s="1"/>
  <c r="D17" i="66"/>
  <c r="D20" i="66" s="1"/>
  <c r="D21" i="66" s="1"/>
  <c r="F16" i="66"/>
  <c r="I39" i="70"/>
  <c r="I23" i="70"/>
  <c r="I21" i="70"/>
  <c r="I46" i="70"/>
  <c r="I27" i="70"/>
  <c r="I49" i="70"/>
  <c r="I19" i="70"/>
  <c r="I22" i="70"/>
  <c r="I16" i="70"/>
  <c r="I20" i="70"/>
  <c r="I30" i="70"/>
  <c r="I37" i="70"/>
  <c r="I38" i="70"/>
  <c r="I17" i="70"/>
  <c r="I18" i="70"/>
  <c r="I40" i="70"/>
  <c r="I41" i="70"/>
  <c r="I42" i="70"/>
  <c r="I43" i="70"/>
  <c r="I44" i="70"/>
  <c r="I45" i="70"/>
  <c r="I24" i="70"/>
  <c r="I25" i="70"/>
  <c r="I26" i="70"/>
  <c r="I48" i="70"/>
  <c r="I6" i="70"/>
  <c r="I28" i="70"/>
  <c r="I50" i="70"/>
  <c r="I7" i="70"/>
  <c r="I29" i="70"/>
  <c r="I51" i="70"/>
  <c r="I8" i="70"/>
  <c r="I52" i="70"/>
  <c r="I9" i="70"/>
  <c r="I31" i="70"/>
  <c r="I53" i="70"/>
  <c r="I10" i="70"/>
  <c r="I32" i="70"/>
  <c r="I54" i="70"/>
  <c r="I11" i="70"/>
  <c r="I33" i="70"/>
  <c r="I55" i="70"/>
  <c r="I12" i="70"/>
  <c r="I34" i="70"/>
  <c r="I56" i="70"/>
  <c r="I13" i="70"/>
  <c r="E5" i="38"/>
  <c r="D5" i="38" s="1"/>
  <c r="C5" i="38" s="1"/>
  <c r="G5" i="38"/>
  <c r="P5" i="38" s="1"/>
  <c r="P22" i="38" s="1"/>
  <c r="J10" i="68"/>
  <c r="H4" i="3"/>
  <c r="E21" i="15"/>
  <c r="G5" i="3"/>
  <c r="H5" i="3" s="1"/>
  <c r="E15" i="6"/>
  <c r="H15" i="6" s="1"/>
  <c r="N47" i="17"/>
  <c r="N45" i="17"/>
  <c r="K22" i="18"/>
  <c r="F4" i="6"/>
  <c r="I45" i="17"/>
  <c r="C22" i="18"/>
  <c r="E22" i="18" s="1"/>
  <c r="E19" i="15"/>
  <c r="G50" i="17"/>
  <c r="G52" i="17" s="1"/>
  <c r="N50" i="17"/>
  <c r="F34" i="2"/>
  <c r="E14" i="6"/>
  <c r="H14" i="6" s="1"/>
  <c r="E7" i="6"/>
  <c r="E10" i="6"/>
  <c r="H10" i="6" s="1"/>
  <c r="E4" i="6"/>
  <c r="H4" i="6" s="1"/>
  <c r="E11" i="6"/>
  <c r="E13" i="6"/>
  <c r="H13" i="6" s="1"/>
  <c r="K6" i="7"/>
  <c r="F45" i="15"/>
  <c r="G45" i="15" s="1"/>
  <c r="F49" i="15" s="1"/>
  <c r="E24" i="39"/>
  <c r="E25" i="39" s="1"/>
  <c r="N6" i="39" s="1"/>
  <c r="F33" i="2"/>
  <c r="E32" i="15"/>
  <c r="F32" i="15"/>
  <c r="B20" i="66"/>
  <c r="F17" i="66"/>
  <c r="N51" i="17"/>
  <c r="N53" i="17" s="1"/>
  <c r="I49" i="17"/>
  <c r="I50" i="17"/>
  <c r="I52" i="17" s="1"/>
  <c r="F11" i="6"/>
  <c r="F39" i="15"/>
  <c r="G45" i="17"/>
  <c r="G46" i="17"/>
  <c r="J21" i="18"/>
  <c r="K21" i="18" s="1"/>
  <c r="E21" i="18"/>
  <c r="E38" i="15"/>
  <c r="D24" i="39"/>
  <c r="D25" i="39" s="1"/>
  <c r="M6" i="39" s="1"/>
  <c r="C24" i="39"/>
  <c r="C25" i="39"/>
  <c r="L6" i="39" s="1"/>
  <c r="C16" i="39"/>
  <c r="K7" i="8"/>
  <c r="J7" i="8" s="1"/>
  <c r="J6" i="8"/>
  <c r="F8" i="6"/>
  <c r="I47" i="17"/>
  <c r="I48" i="17" s="1"/>
  <c r="E21" i="38"/>
  <c r="E16" i="38"/>
  <c r="E25" i="15"/>
  <c r="E8" i="6"/>
  <c r="G47" i="17"/>
  <c r="D12" i="38"/>
  <c r="D15" i="38"/>
  <c r="F7" i="6"/>
  <c r="E35" i="15"/>
  <c r="N46" i="17"/>
  <c r="K23" i="18"/>
  <c r="C22" i="38"/>
  <c r="C23" i="38"/>
  <c r="L6" i="38" s="1"/>
  <c r="F6" i="6"/>
  <c r="H6" i="6" s="1"/>
  <c r="C23" i="18"/>
  <c r="E23" i="18" s="1"/>
  <c r="E34" i="15"/>
  <c r="B5" i="48"/>
  <c r="C5" i="48"/>
  <c r="D5" i="48"/>
  <c r="A6" i="48"/>
  <c r="G5" i="39"/>
  <c r="B25" i="39"/>
  <c r="K6" i="39" s="1"/>
  <c r="K9" i="39" s="1"/>
  <c r="K14" i="39" s="1"/>
  <c r="K16" i="39" s="1"/>
  <c r="H21" i="38"/>
  <c r="E5" i="39"/>
  <c r="G21" i="38"/>
  <c r="F6" i="39"/>
  <c r="G61" i="14"/>
  <c r="G39" i="14"/>
  <c r="G17" i="14"/>
  <c r="F23" i="38"/>
  <c r="O6" i="38" s="1"/>
  <c r="D13" i="39"/>
  <c r="D16" i="39" s="1"/>
  <c r="B15" i="38"/>
  <c r="C12" i="39"/>
  <c r="E12" i="38"/>
  <c r="G51" i="14"/>
  <c r="H16" i="38" l="1"/>
  <c r="R24" i="38"/>
  <c r="R25" i="38" s="1"/>
  <c r="M23" i="36"/>
  <c r="M42" i="36" s="1"/>
  <c r="E9" i="75"/>
  <c r="E8" i="75"/>
  <c r="E21" i="75"/>
  <c r="E18" i="75"/>
  <c r="E7" i="75"/>
  <c r="E22" i="75"/>
  <c r="E20" i="75"/>
  <c r="E17" i="75"/>
  <c r="E23" i="75"/>
  <c r="E16" i="75"/>
  <c r="E15" i="75"/>
  <c r="E14" i="75"/>
  <c r="E6" i="75"/>
  <c r="E19" i="75"/>
  <c r="E12" i="75"/>
  <c r="E13" i="75"/>
  <c r="E11" i="75"/>
  <c r="E10" i="75"/>
  <c r="E5" i="75"/>
  <c r="K22" i="63"/>
  <c r="L22" i="63" s="1"/>
  <c r="I51" i="17"/>
  <c r="G48" i="17"/>
  <c r="G51" i="17"/>
  <c r="F41" i="15"/>
  <c r="I9" i="14"/>
  <c r="J9" i="14" s="1"/>
  <c r="L7" i="70"/>
  <c r="G8" i="3"/>
  <c r="F36" i="2"/>
  <c r="D12" i="2"/>
  <c r="C20" i="2" s="1"/>
  <c r="D20" i="2" s="1"/>
  <c r="D13" i="2"/>
  <c r="C21" i="2" s="1"/>
  <c r="D21" i="2" s="1"/>
  <c r="C27" i="2" s="1"/>
  <c r="L6" i="70"/>
  <c r="M5" i="38"/>
  <c r="H5" i="38"/>
  <c r="Q5" i="38" s="1"/>
  <c r="Q22" i="38" s="1"/>
  <c r="N5" i="38"/>
  <c r="H27" i="8"/>
  <c r="H10" i="8"/>
  <c r="H58" i="8"/>
  <c r="H11" i="8"/>
  <c r="H63" i="8"/>
  <c r="H35" i="8"/>
  <c r="H36" i="8"/>
  <c r="H37" i="8"/>
  <c r="H33" i="8"/>
  <c r="H14" i="8"/>
  <c r="H38" i="8"/>
  <c r="H15" i="8"/>
  <c r="H44" i="8"/>
  <c r="H45" i="8"/>
  <c r="H16" i="8"/>
  <c r="H46" i="8"/>
  <c r="H5" i="8"/>
  <c r="H47" i="8"/>
  <c r="H19" i="8"/>
  <c r="H49" i="8"/>
  <c r="H24" i="8"/>
  <c r="H55" i="8"/>
  <c r="H25" i="8"/>
  <c r="H59" i="8"/>
  <c r="H7" i="8"/>
  <c r="H54" i="8"/>
  <c r="H41" i="8"/>
  <c r="H62" i="8"/>
  <c r="H30" i="8"/>
  <c r="H8" i="8"/>
  <c r="H28" i="8"/>
  <c r="H17" i="8"/>
  <c r="H61" i="8"/>
  <c r="H50" i="8"/>
  <c r="H39" i="8"/>
  <c r="H51" i="8"/>
  <c r="H60" i="8"/>
  <c r="H32" i="8"/>
  <c r="H6" i="8"/>
  <c r="H13" i="8"/>
  <c r="H48" i="8"/>
  <c r="H26" i="8"/>
  <c r="H20" i="8"/>
  <c r="H43" i="8"/>
  <c r="H12" i="8"/>
  <c r="H9" i="8"/>
  <c r="H57" i="8"/>
  <c r="H56" i="8"/>
  <c r="H23" i="8"/>
  <c r="H34" i="8"/>
  <c r="H22" i="8"/>
  <c r="H29" i="8"/>
  <c r="H64" i="8"/>
  <c r="H42" i="8"/>
  <c r="H31" i="8"/>
  <c r="H21" i="8"/>
  <c r="H52" i="8"/>
  <c r="H40" i="8"/>
  <c r="H53" i="8"/>
  <c r="H18" i="8"/>
  <c r="M19" i="39"/>
  <c r="M9" i="39"/>
  <c r="N19" i="39"/>
  <c r="N9" i="39"/>
  <c r="N5" i="39"/>
  <c r="D5" i="39"/>
  <c r="L9" i="38"/>
  <c r="H22" i="38"/>
  <c r="H23" i="38"/>
  <c r="Q6" i="38" s="1"/>
  <c r="H11" i="6"/>
  <c r="F13" i="39"/>
  <c r="F12" i="39"/>
  <c r="G6" i="39"/>
  <c r="F17" i="39"/>
  <c r="F23" i="39" s="1"/>
  <c r="H7" i="6"/>
  <c r="H18" i="6" s="1"/>
  <c r="D12" i="39"/>
  <c r="H5" i="39"/>
  <c r="Q5" i="39" s="1"/>
  <c r="Q22" i="39" s="1"/>
  <c r="P5" i="39"/>
  <c r="P22" i="39" s="1"/>
  <c r="L5" i="38"/>
  <c r="B5" i="38"/>
  <c r="K5" i="38" s="1"/>
  <c r="G9" i="3"/>
  <c r="G10" i="3" s="1"/>
  <c r="B21" i="38"/>
  <c r="B16" i="38"/>
  <c r="D16" i="38"/>
  <c r="D21" i="38"/>
  <c r="F5" i="48"/>
  <c r="H8" i="6"/>
  <c r="C6" i="48"/>
  <c r="D6" i="48"/>
  <c r="A7" i="48"/>
  <c r="B6" i="48"/>
  <c r="F20" i="66"/>
  <c r="I20" i="66"/>
  <c r="B21" i="66"/>
  <c r="F21" i="66" s="1"/>
  <c r="L19" i="39"/>
  <c r="L9" i="39"/>
  <c r="O9" i="38"/>
  <c r="N52" i="17"/>
  <c r="E22" i="38"/>
  <c r="E23" i="38"/>
  <c r="N6" i="38" s="1"/>
  <c r="O18" i="38" s="1"/>
  <c r="G22" i="38"/>
  <c r="G23" i="38" s="1"/>
  <c r="P6" i="38" s="1"/>
  <c r="N48" i="17"/>
  <c r="O52" i="17"/>
  <c r="K23" i="63" l="1"/>
  <c r="L23" i="63" s="1"/>
  <c r="C33" i="2"/>
  <c r="C34" i="2"/>
  <c r="J20" i="66"/>
  <c r="P9" i="38"/>
  <c r="P18" i="38"/>
  <c r="D22" i="38"/>
  <c r="D23" i="38" s="1"/>
  <c r="M6" i="38" s="1"/>
  <c r="N18" i="38" s="1"/>
  <c r="J10" i="8"/>
  <c r="O14" i="38"/>
  <c r="F16" i="39"/>
  <c r="L14" i="39"/>
  <c r="L20" i="39"/>
  <c r="G13" i="39"/>
  <c r="G12" i="39"/>
  <c r="H6" i="39"/>
  <c r="G17" i="39"/>
  <c r="G23" i="39" s="1"/>
  <c r="Q9" i="38"/>
  <c r="Q18" i="38"/>
  <c r="F24" i="39"/>
  <c r="F25" i="39" s="1"/>
  <c r="O6" i="39" s="1"/>
  <c r="F6" i="48"/>
  <c r="M5" i="39"/>
  <c r="C5" i="39"/>
  <c r="B7" i="48"/>
  <c r="C7" i="48"/>
  <c r="D7" i="48"/>
  <c r="A8" i="48"/>
  <c r="N9" i="38"/>
  <c r="M14" i="39"/>
  <c r="M20" i="39"/>
  <c r="B22" i="38"/>
  <c r="B23" i="38"/>
  <c r="K6" i="38" s="1"/>
  <c r="L14" i="38"/>
  <c r="N14" i="39"/>
  <c r="N20" i="39"/>
  <c r="F7" i="48" l="1"/>
  <c r="C36" i="2"/>
  <c r="N14" i="38"/>
  <c r="K9" i="38"/>
  <c r="L18" i="38"/>
  <c r="B8" i="48"/>
  <c r="C8" i="48"/>
  <c r="D8" i="48"/>
  <c r="A9" i="48"/>
  <c r="O19" i="39"/>
  <c r="O9" i="39"/>
  <c r="L15" i="38"/>
  <c r="O19" i="38"/>
  <c r="L15" i="39"/>
  <c r="L16" i="39"/>
  <c r="Q19" i="38"/>
  <c r="Q14" i="38"/>
  <c r="G24" i="39"/>
  <c r="G25" i="39" s="1"/>
  <c r="P6" i="39" s="1"/>
  <c r="H17" i="39"/>
  <c r="H13" i="39"/>
  <c r="H12" i="39"/>
  <c r="M15" i="39"/>
  <c r="M16" i="39"/>
  <c r="O15" i="38"/>
  <c r="O20" i="38"/>
  <c r="O25" i="38"/>
  <c r="L5" i="39"/>
  <c r="B5" i="39"/>
  <c r="K5" i="39" s="1"/>
  <c r="M9" i="38"/>
  <c r="M18" i="38"/>
  <c r="N15" i="39"/>
  <c r="N16" i="39"/>
  <c r="P19" i="38"/>
  <c r="P14" i="38"/>
  <c r="P19" i="39" l="1"/>
  <c r="P9" i="39"/>
  <c r="H23" i="39"/>
  <c r="R24" i="39"/>
  <c r="R25" i="39" s="1"/>
  <c r="Q15" i="38"/>
  <c r="Q20" i="38"/>
  <c r="Q24" i="38"/>
  <c r="Q25" i="38" s="1"/>
  <c r="P15" i="38"/>
  <c r="P20" i="38"/>
  <c r="P24" i="38"/>
  <c r="P25" i="38" s="1"/>
  <c r="K29" i="38" s="1"/>
  <c r="M14" i="38"/>
  <c r="M19" i="38"/>
  <c r="O14" i="39"/>
  <c r="O20" i="39"/>
  <c r="B9" i="48"/>
  <c r="D9" i="48"/>
  <c r="A10" i="48"/>
  <c r="C9" i="48"/>
  <c r="F8" i="48"/>
  <c r="K14" i="38"/>
  <c r="L19" i="38"/>
  <c r="N19" i="38"/>
  <c r="N15" i="38"/>
  <c r="O16" i="39" l="1"/>
  <c r="O15" i="39"/>
  <c r="O24" i="39"/>
  <c r="O25" i="39" s="1"/>
  <c r="K15" i="38"/>
  <c r="L20" i="38"/>
  <c r="M15" i="38"/>
  <c r="M20" i="38"/>
  <c r="N20" i="38"/>
  <c r="H24" i="39"/>
  <c r="H25" i="39"/>
  <c r="Q6" i="39" s="1"/>
  <c r="A11" i="48"/>
  <c r="B10" i="48"/>
  <c r="C10" i="48"/>
  <c r="D10" i="48"/>
  <c r="P14" i="39"/>
  <c r="P20" i="39"/>
  <c r="F9" i="48"/>
  <c r="P16" i="39" l="1"/>
  <c r="P15" i="39"/>
  <c r="P24" i="39"/>
  <c r="P25" i="39" s="1"/>
  <c r="F10" i="48"/>
  <c r="B11" i="48"/>
  <c r="C11" i="48"/>
  <c r="D11" i="48"/>
  <c r="A12" i="48"/>
  <c r="Q19" i="39"/>
  <c r="Q9" i="39"/>
  <c r="Q14" i="39" l="1"/>
  <c r="Q20" i="39"/>
  <c r="B12" i="48"/>
  <c r="C12" i="48"/>
  <c r="D12" i="48"/>
  <c r="A13" i="48"/>
  <c r="F11" i="48"/>
  <c r="B13" i="48" l="1"/>
  <c r="C13" i="48"/>
  <c r="D13" i="48"/>
  <c r="A14" i="48"/>
  <c r="F12" i="48"/>
  <c r="Q16" i="39"/>
  <c r="Q15" i="39"/>
  <c r="Q24" i="39"/>
  <c r="Q25" i="39" s="1"/>
  <c r="K25" i="39" s="1"/>
  <c r="K27" i="39" s="1"/>
  <c r="K29" i="39" s="1"/>
  <c r="B14" i="48" l="1"/>
  <c r="C14" i="48"/>
  <c r="D14" i="48"/>
  <c r="A15" i="48"/>
  <c r="F13" i="48"/>
  <c r="B15" i="48" l="1"/>
  <c r="C15" i="48"/>
  <c r="D15" i="48"/>
  <c r="A16" i="48"/>
  <c r="F14" i="48"/>
  <c r="B16" i="48" l="1"/>
  <c r="C16" i="48"/>
  <c r="D16" i="48"/>
  <c r="A17" i="48"/>
  <c r="F15" i="48"/>
  <c r="B17" i="48" l="1"/>
  <c r="C17" i="48"/>
  <c r="D17" i="48"/>
  <c r="A18" i="48"/>
  <c r="F16" i="48"/>
  <c r="C18" i="48" l="1"/>
  <c r="D18" i="48"/>
  <c r="A19" i="48"/>
  <c r="B18" i="48"/>
  <c r="F17" i="48"/>
  <c r="F18" i="48" l="1"/>
  <c r="D19" i="48"/>
  <c r="A20" i="48"/>
  <c r="B19" i="48"/>
  <c r="C19" i="48"/>
  <c r="F19" i="48" l="1"/>
  <c r="B20" i="48"/>
  <c r="C20" i="48"/>
  <c r="D20" i="48"/>
  <c r="A21" i="48"/>
  <c r="B21" i="48" l="1"/>
  <c r="C21" i="48"/>
  <c r="D21" i="48"/>
  <c r="A22" i="48"/>
  <c r="F20" i="48"/>
  <c r="B22" i="48" l="1"/>
  <c r="C22" i="48"/>
  <c r="A23" i="48"/>
  <c r="D22" i="48"/>
  <c r="F21" i="48"/>
  <c r="A24" i="48" l="1"/>
  <c r="B23" i="48"/>
  <c r="C23" i="48"/>
  <c r="D23" i="48"/>
  <c r="F22" i="48"/>
  <c r="F23" i="48" l="1"/>
  <c r="B24" i="48"/>
  <c r="C24" i="48"/>
  <c r="D24" i="48"/>
  <c r="A25" i="48"/>
  <c r="B25" i="48" l="1"/>
  <c r="C25" i="48"/>
  <c r="D25" i="48"/>
  <c r="A26" i="48"/>
  <c r="F24" i="48"/>
  <c r="B26" i="48" l="1"/>
  <c r="C26" i="48"/>
  <c r="D26" i="48"/>
  <c r="A27" i="48"/>
  <c r="F25" i="48"/>
  <c r="B27" i="48" l="1"/>
  <c r="C27" i="48"/>
  <c r="D27" i="48"/>
  <c r="A28" i="48"/>
  <c r="F26" i="48"/>
  <c r="C28" i="48" l="1"/>
  <c r="D28" i="48"/>
  <c r="A29" i="48"/>
  <c r="B28" i="48"/>
  <c r="F27" i="48"/>
  <c r="B29" i="48" l="1"/>
  <c r="C29" i="48"/>
  <c r="D29" i="48"/>
  <c r="A30" i="48"/>
  <c r="F28" i="48"/>
  <c r="B30" i="48" l="1"/>
  <c r="C30" i="48"/>
  <c r="D30" i="48"/>
  <c r="A31" i="48"/>
  <c r="F29" i="48"/>
  <c r="B31" i="48" l="1"/>
  <c r="D31" i="48"/>
  <c r="A32" i="48"/>
  <c r="C31" i="48"/>
  <c r="F30" i="48"/>
  <c r="A33" i="48" l="1"/>
  <c r="B32" i="48"/>
  <c r="C32" i="48"/>
  <c r="D32" i="48"/>
  <c r="F31" i="48"/>
  <c r="F32" i="48" l="1"/>
  <c r="B33" i="48"/>
  <c r="C33" i="48"/>
  <c r="D33" i="48"/>
  <c r="A34" i="48"/>
  <c r="B34" i="48" l="1"/>
  <c r="C34" i="48"/>
  <c r="D34" i="48"/>
  <c r="A35" i="48"/>
  <c r="F33" i="48"/>
  <c r="B35" i="48" l="1"/>
  <c r="C35" i="48"/>
  <c r="D35" i="48"/>
  <c r="A36" i="48"/>
  <c r="F34" i="48"/>
  <c r="B36" i="48" l="1"/>
  <c r="C36" i="48"/>
  <c r="D36" i="48"/>
  <c r="A37" i="48"/>
  <c r="F35" i="48"/>
  <c r="B37" i="48" l="1"/>
  <c r="C37" i="48"/>
  <c r="D37" i="48"/>
  <c r="A38" i="48"/>
  <c r="F36" i="48"/>
  <c r="B38" i="48" l="1"/>
  <c r="C38" i="48"/>
  <c r="D38" i="48"/>
  <c r="A39" i="48"/>
  <c r="F37" i="48"/>
  <c r="B39" i="48" l="1"/>
  <c r="C39" i="48"/>
  <c r="D39" i="48"/>
  <c r="A40" i="48"/>
  <c r="F38" i="48"/>
  <c r="C40" i="48" l="1"/>
  <c r="D40" i="48"/>
  <c r="A41" i="48"/>
  <c r="B40" i="48"/>
  <c r="F40" i="48" s="1"/>
  <c r="F39" i="48"/>
  <c r="D41" i="48" l="1"/>
  <c r="A42" i="48"/>
  <c r="B41" i="48"/>
  <c r="C41" i="48"/>
  <c r="F41" i="48" l="1"/>
  <c r="B42" i="48"/>
  <c r="C42" i="48"/>
  <c r="D42" i="48"/>
  <c r="A43" i="48"/>
  <c r="B43" i="48" l="1"/>
  <c r="C43" i="48"/>
  <c r="D43" i="48"/>
  <c r="A44" i="48"/>
  <c r="F42" i="48"/>
  <c r="B44" i="48" l="1"/>
  <c r="C44" i="48"/>
  <c r="A45" i="48"/>
  <c r="D44" i="48"/>
  <c r="F43" i="48"/>
  <c r="A46" i="48" l="1"/>
  <c r="B45" i="48"/>
  <c r="C45" i="48"/>
  <c r="D45" i="48"/>
  <c r="F44" i="48"/>
  <c r="F45" i="48" l="1"/>
  <c r="B46" i="48"/>
  <c r="C46" i="48"/>
  <c r="D46" i="48"/>
  <c r="A47" i="48"/>
  <c r="B47" i="48" l="1"/>
  <c r="C47" i="48"/>
  <c r="D47" i="48"/>
  <c r="A48" i="48"/>
  <c r="F46" i="48"/>
  <c r="B48" i="48" l="1"/>
  <c r="C48" i="48"/>
  <c r="D48" i="48"/>
  <c r="A49" i="48"/>
  <c r="F47" i="48"/>
  <c r="B49" i="48" l="1"/>
  <c r="C49" i="48"/>
  <c r="D49" i="48"/>
  <c r="A50" i="48"/>
  <c r="F48" i="48"/>
  <c r="C50" i="48" l="1"/>
  <c r="D50" i="48"/>
  <c r="A51" i="48"/>
  <c r="B50" i="48"/>
  <c r="F49" i="48"/>
  <c r="F50" i="48" l="1"/>
  <c r="B51" i="48"/>
  <c r="C51" i="48"/>
  <c r="D51" i="48"/>
  <c r="A52" i="48"/>
  <c r="B52" i="48" l="1"/>
  <c r="C52" i="48"/>
  <c r="D52" i="48"/>
  <c r="A53" i="48"/>
  <c r="F51" i="48"/>
  <c r="B53" i="48" l="1"/>
  <c r="D53" i="48"/>
  <c r="A54" i="48"/>
  <c r="C53" i="48"/>
  <c r="F52" i="48"/>
  <c r="A55" i="48" l="1"/>
  <c r="B54" i="48"/>
  <c r="C54" i="48"/>
  <c r="D54" i="48"/>
  <c r="F53" i="48"/>
  <c r="F54" i="48" l="1"/>
  <c r="B55" i="48"/>
  <c r="C55" i="48"/>
  <c r="D55" i="48"/>
  <c r="A56" i="48"/>
  <c r="B56" i="48" l="1"/>
  <c r="C56" i="48"/>
  <c r="D56" i="48"/>
  <c r="A57" i="48"/>
  <c r="F55" i="48"/>
  <c r="B57" i="48" l="1"/>
  <c r="C57" i="48"/>
  <c r="D57" i="48"/>
  <c r="A58" i="48"/>
  <c r="F56" i="48"/>
  <c r="B58" i="48" l="1"/>
  <c r="C58" i="48"/>
  <c r="D58" i="48"/>
  <c r="A59" i="48"/>
  <c r="F57" i="48"/>
  <c r="B59" i="48" l="1"/>
  <c r="C59" i="48"/>
  <c r="D59" i="48"/>
  <c r="A60" i="48"/>
  <c r="F58" i="48"/>
  <c r="B60" i="48" l="1"/>
  <c r="C60" i="48"/>
  <c r="D60" i="48"/>
  <c r="A61" i="48"/>
  <c r="F59" i="48"/>
  <c r="B61" i="48" l="1"/>
  <c r="C61" i="48"/>
  <c r="D61" i="48"/>
  <c r="A62" i="48"/>
  <c r="F60" i="48"/>
  <c r="C62" i="48" l="1"/>
  <c r="D62" i="48"/>
  <c r="A63" i="48"/>
  <c r="B62" i="48"/>
  <c r="F62" i="48" s="1"/>
  <c r="F61" i="48"/>
  <c r="D63" i="48" l="1"/>
  <c r="A64" i="48"/>
  <c r="B63" i="48"/>
  <c r="C63" i="48"/>
  <c r="F63" i="48" l="1"/>
  <c r="B64" i="48"/>
  <c r="C64" i="48"/>
  <c r="D64" i="48"/>
  <c r="F64" i="48" l="1"/>
  <c r="U64" i="86" l="1"/>
  <c r="U67" i="86" s="1"/>
  <c r="U68" i="86" s="1"/>
  <c r="T64" i="86"/>
  <c r="AD78" i="86" l="1"/>
  <c r="AC78" i="86"/>
  <c r="AB78" i="86"/>
  <c r="AA78" i="86"/>
  <c r="T67" i="86"/>
  <c r="T68" i="86" s="1"/>
  <c r="AE78" i="86"/>
  <c r="Y64" i="86"/>
  <c r="X64" i="86"/>
  <c r="AA64" i="86"/>
  <c r="AE64" i="86"/>
  <c r="AC64" i="86"/>
  <c r="AD64" i="86"/>
  <c r="V64" i="86"/>
  <c r="V67" i="86" s="1"/>
  <c r="V68" i="86" s="1"/>
  <c r="AB64" i="86"/>
  <c r="U71" i="86" l="1"/>
  <c r="T71" i="86"/>
  <c r="T72" i="86" s="1"/>
  <c r="AB68" i="86"/>
  <c r="AB73" i="86"/>
  <c r="AB74" i="86" s="1"/>
  <c r="AE68" i="86"/>
  <c r="AE73" i="86"/>
  <c r="AE74" i="86" s="1"/>
  <c r="AD68" i="86"/>
  <c r="AD73" i="86"/>
  <c r="AD74" i="86" s="1"/>
  <c r="AC68" i="86"/>
  <c r="AC73" i="86"/>
  <c r="AC74" i="86" s="1"/>
  <c r="AA68" i="86"/>
  <c r="AG64" i="86"/>
  <c r="AA73" i="86"/>
  <c r="AG73" i="86" l="1"/>
  <c r="AG68" i="86"/>
  <c r="AA69" i="86"/>
  <c r="AC69" i="86"/>
  <c r="AD69" i="86"/>
  <c r="AE69" i="86"/>
  <c r="AB69" i="86"/>
  <c r="AA74" i="86"/>
  <c r="AG74" i="86" s="1"/>
  <c r="AG69" i="8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<sst xmlns="http://schemas.openxmlformats.org/spreadsheetml/2006/main" count="3510" uniqueCount="1362">
  <si>
    <t>A</t>
  </si>
  <si>
    <t>B</t>
  </si>
  <si>
    <t>C</t>
  </si>
  <si>
    <t>time t</t>
  </si>
  <si>
    <t>time t+1</t>
  </si>
  <si>
    <t>market cap</t>
  </si>
  <si>
    <t>weights</t>
  </si>
  <si>
    <t>Total</t>
  </si>
  <si>
    <t>shares</t>
  </si>
  <si>
    <t>actual weights</t>
  </si>
  <si>
    <t>value-weights</t>
  </si>
  <si>
    <t>Outcome</t>
  </si>
  <si>
    <t>Probability</t>
  </si>
  <si>
    <t>E[r]</t>
  </si>
  <si>
    <t>E[forecast error]</t>
  </si>
  <si>
    <t>(variance)</t>
  </si>
  <si>
    <t>Volatility</t>
  </si>
  <si>
    <t>Portfolio</t>
  </si>
  <si>
    <t>Portfolio:</t>
  </si>
  <si>
    <t>60% HOG</t>
  </si>
  <si>
    <t>80% ZION</t>
  </si>
  <si>
    <t>20% risk-free bonds</t>
  </si>
  <si>
    <t>HOG</t>
  </si>
  <si>
    <t>ZION</t>
  </si>
  <si>
    <t>Var[r]</t>
  </si>
  <si>
    <t>Std[r]</t>
  </si>
  <si>
    <t>Forecast Errors</t>
  </si>
  <si>
    <t>Product</t>
  </si>
  <si>
    <t>New</t>
  </si>
  <si>
    <t>stock A</t>
  </si>
  <si>
    <t>Mean</t>
  </si>
  <si>
    <t>Stdev</t>
  </si>
  <si>
    <t>DATE</t>
  </si>
  <si>
    <t>rA</t>
  </si>
  <si>
    <t>rp</t>
  </si>
  <si>
    <t>a</t>
  </si>
  <si>
    <t>b</t>
  </si>
  <si>
    <t>E[rp]</t>
  </si>
  <si>
    <t>(using Excel's functions)</t>
  </si>
  <si>
    <t>X</t>
  </si>
  <si>
    <t>Y</t>
  </si>
  <si>
    <t>Google</t>
  </si>
  <si>
    <t>Tech Portfolio</t>
  </si>
  <si>
    <t>b2Var(xt)</t>
  </si>
  <si>
    <t>Variance of Google</t>
  </si>
  <si>
    <t>Fraction of Google's variance unrelated to tech industry</t>
  </si>
  <si>
    <t>Fraction of Google's variance explained by variation in tech industry</t>
  </si>
  <si>
    <t>Excess Returns</t>
  </si>
  <si>
    <t>Total Returns</t>
  </si>
  <si>
    <t>risk-free</t>
  </si>
  <si>
    <t>2017-01</t>
  </si>
  <si>
    <t>alpha</t>
  </si>
  <si>
    <t>intercept</t>
  </si>
  <si>
    <t>2017-02</t>
  </si>
  <si>
    <t>beta</t>
  </si>
  <si>
    <t>slope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</si>
  <si>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</si>
  <si>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</si>
  <si>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</si>
  <si>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</si>
  <si>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</si>
  <si>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</si>
  <si>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</si>
  <si>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</si>
  <si>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</si>
  <si>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</si>
  <si>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</si>
  <si>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</si>
  <si>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</si>
  <si>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</si>
  <si>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</si>
  <si>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</si>
  <si>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</si>
  <si>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</si>
  <si>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</si>
  <si>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</si>
  <si>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</si>
  <si>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</si>
  <si>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</si>
  <si>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</si>
  <si>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</si>
  <si>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</si>
  <si>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</si>
  <si>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</si>
  <si>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</si>
  <si>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</si>
  <si>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</si>
  <si>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</si>
  <si>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</si>
  <si>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</si>
  <si>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</si>
  <si>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</si>
  <si>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</si>
  <si>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</si>
  <si>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</si>
  <si>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</si>
  <si>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</si>
  <si>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</si>
  <si>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</si>
  <si>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</si>
  <si>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</si>
  <si>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</si>
  <si>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</si>
  <si>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</si>
  <si>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</si>
  <si>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</si>
  <si>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</si>
  <si>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</si>
  <si>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</si>
  <si>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</si>
  <si>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</si>
  <si>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</si>
  <si>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</si>
  <si>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</si>
  <si>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</si>
  <si>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</si>
  <si>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</si>
  <si>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</si>
  <si>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</si>
  <si>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</si>
  <si>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</si>
  <si>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</si>
  <si>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</si>
  <si>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</si>
  <si>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</si>
  <si>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</si>
  <si>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</si>
  <si>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</si>
  <si>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</si>
  <si>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</si>
  <si>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</si>
  <si>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</si>
  <si>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</si>
  <si>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</si>
  <si>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</si>
  <si>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Covariance Matrix</t>
  </si>
  <si>
    <t>rf</t>
  </si>
  <si>
    <t>Arbitrary Portfolios</t>
  </si>
  <si>
    <t>Mean-Variance Efficient Portfolios</t>
  </si>
  <si>
    <t>Target E[r]</t>
  </si>
  <si>
    <t>Max Sharpe</t>
  </si>
  <si>
    <t>Sharpe</t>
  </si>
  <si>
    <t>Point 1:</t>
  </si>
  <si>
    <t>Point 2:</t>
  </si>
  <si>
    <t>Benchmark</t>
  </si>
  <si>
    <t>Stock 1</t>
  </si>
  <si>
    <t>Stock 2</t>
  </si>
  <si>
    <t xml:space="preserve">Stock1 </t>
  </si>
  <si>
    <t>rT1</t>
  </si>
  <si>
    <t>rT2</t>
  </si>
  <si>
    <t>Tilt</t>
  </si>
  <si>
    <t>E[r]-rf</t>
  </si>
  <si>
    <t>s</t>
  </si>
  <si>
    <t>Alpha</t>
  </si>
  <si>
    <t>Beta</t>
  </si>
  <si>
    <t>Expected Returns</t>
  </si>
  <si>
    <t>current portfolio</t>
  </si>
  <si>
    <t>Optimal portfolio</t>
  </si>
  <si>
    <t>portfolio weights</t>
  </si>
  <si>
    <t>Cov(r,rp)</t>
  </si>
  <si>
    <t>Betas</t>
  </si>
  <si>
    <t>alphas</t>
  </si>
  <si>
    <t>Var(rp)</t>
  </si>
  <si>
    <t>Date</t>
  </si>
  <si>
    <t>Return</t>
  </si>
  <si>
    <t>Returns</t>
  </si>
  <si>
    <t>Stock A</t>
  </si>
  <si>
    <t>Tangent</t>
  </si>
  <si>
    <t>Var(IBM)</t>
  </si>
  <si>
    <t>Var(T)</t>
  </si>
  <si>
    <t>Fraction Sys</t>
  </si>
  <si>
    <t>Fraction Unsys</t>
  </si>
  <si>
    <t>Growth</t>
  </si>
  <si>
    <t>Tangent Portfolio</t>
  </si>
  <si>
    <t>Vol[r]</t>
  </si>
  <si>
    <t>Active</t>
  </si>
  <si>
    <t>Annualized</t>
  </si>
  <si>
    <t>rp-rf</t>
  </si>
  <si>
    <t>Summit Strides Trail Running</t>
  </si>
  <si>
    <t>Balance Sheet</t>
  </si>
  <si>
    <t>Income Statemement</t>
  </si>
  <si>
    <t>Cash-Flow Statemement</t>
  </si>
  <si>
    <t>Assets</t>
  </si>
  <si>
    <t>$M</t>
  </si>
  <si>
    <t>Current Assets</t>
  </si>
  <si>
    <t xml:space="preserve">Revenue </t>
  </si>
  <si>
    <t>Cash from Operating Activities</t>
  </si>
  <si>
    <t xml:space="preserve">  Cash</t>
  </si>
  <si>
    <t xml:space="preserve">   Net Income</t>
  </si>
  <si>
    <t xml:space="preserve">  Marketable Securities</t>
  </si>
  <si>
    <t>Expenses</t>
  </si>
  <si>
    <t xml:space="preserve">  Inventory</t>
  </si>
  <si>
    <t>Cost of Goods Sold</t>
  </si>
  <si>
    <t xml:space="preserve">   Subtract Change in Net Operating Working Capital</t>
  </si>
  <si>
    <t xml:space="preserve">  Accounts Receivable</t>
  </si>
  <si>
    <t>Gross Profit</t>
  </si>
  <si>
    <t xml:space="preserve">    Subtract Change in Current Operating Assets</t>
  </si>
  <si>
    <t>Total Current Assets</t>
  </si>
  <si>
    <t xml:space="preserve">     - Change in Inventory</t>
  </si>
  <si>
    <t xml:space="preserve">  Property Plant and Equipment</t>
  </si>
  <si>
    <t>Operating Expenses (SG&amp;A)</t>
  </si>
  <si>
    <t xml:space="preserve">     - Change in Accounts Receivable</t>
  </si>
  <si>
    <t xml:space="preserve">  Less: Accumulated Depreciation</t>
  </si>
  <si>
    <t xml:space="preserve">  Salaries and Wages</t>
  </si>
  <si>
    <t xml:space="preserve">    Add Change in Current Operating Liabilities</t>
  </si>
  <si>
    <t xml:space="preserve">  Utilities Expense</t>
  </si>
  <si>
    <t xml:space="preserve">     + Change in Accounts Payable</t>
  </si>
  <si>
    <t xml:space="preserve">  Rent</t>
  </si>
  <si>
    <t xml:space="preserve">     + Change in Accrued Expenses</t>
  </si>
  <si>
    <t>Total Assets</t>
  </si>
  <si>
    <t xml:space="preserve">  Depreciation Expense</t>
  </si>
  <si>
    <t xml:space="preserve">     + Change in Unearned Revenue</t>
  </si>
  <si>
    <t>Liabilities and Stockholders Equity</t>
  </si>
  <si>
    <t>Total Operating Expenses</t>
  </si>
  <si>
    <t xml:space="preserve">   - Total Change in Operating NWC</t>
  </si>
  <si>
    <t>Current Liabilities</t>
  </si>
  <si>
    <t>EBIT</t>
  </si>
  <si>
    <t>Net Cash flow from Operations</t>
  </si>
  <si>
    <t xml:space="preserve">  Accounts Payable</t>
  </si>
  <si>
    <t>Cash from Investing Activities</t>
  </si>
  <si>
    <t xml:space="preserve">  Accrued Expense</t>
  </si>
  <si>
    <t>Other Income and Expenses</t>
  </si>
  <si>
    <t xml:space="preserve">   - Change in Fixed Assets</t>
  </si>
  <si>
    <t xml:space="preserve">  Unearned Revenue</t>
  </si>
  <si>
    <t xml:space="preserve">     - Purchase of Fixed Assets</t>
  </si>
  <si>
    <t>Total Current Liabilities</t>
  </si>
  <si>
    <t>Interest Expense</t>
  </si>
  <si>
    <t xml:space="preserve">     + Sale of Fixed Assets</t>
  </si>
  <si>
    <t>Total Other Income and Expenses</t>
  </si>
  <si>
    <t>Total Liabilities</t>
  </si>
  <si>
    <t xml:space="preserve">   - Change in Other Investments</t>
  </si>
  <si>
    <t>Stockholders Equity</t>
  </si>
  <si>
    <t>Income Before Taxes</t>
  </si>
  <si>
    <t xml:space="preserve">     - Purchase of Marketable Securities </t>
  </si>
  <si>
    <t>Total Liabilities and Stockholders Equity</t>
  </si>
  <si>
    <t>Income Tax Expense</t>
  </si>
  <si>
    <t xml:space="preserve">     + Sale of Marketable Securities</t>
  </si>
  <si>
    <t>Net Income</t>
  </si>
  <si>
    <t>Net Cash Flow from Investing Activities</t>
  </si>
  <si>
    <t>Cash From Financing Activities</t>
  </si>
  <si>
    <t xml:space="preserve">   + Net Issuance of Stock</t>
  </si>
  <si>
    <t xml:space="preserve">   + Net Issuance of Debt</t>
  </si>
  <si>
    <t xml:space="preserve">   - Dividends Paid</t>
  </si>
  <si>
    <t xml:space="preserve">   - Interest expense</t>
  </si>
  <si>
    <t>Net Cash flow from Financing Activities</t>
  </si>
  <si>
    <t>Total Net Change in Cash</t>
  </si>
  <si>
    <t>Period</t>
  </si>
  <si>
    <t>FCFF</t>
  </si>
  <si>
    <t>EV</t>
  </si>
  <si>
    <t>Cash</t>
  </si>
  <si>
    <t>WACC</t>
  </si>
  <si>
    <t>Model for Summit Strides</t>
  </si>
  <si>
    <t>Revenue Growth</t>
  </si>
  <si>
    <t xml:space="preserve">     Depreciation</t>
  </si>
  <si>
    <t xml:space="preserve">    Change in NOWC</t>
  </si>
  <si>
    <t>Operating Cash Flow</t>
  </si>
  <si>
    <t>Capital Expenditures</t>
  </si>
  <si>
    <t>Net Interest Expense</t>
  </si>
  <si>
    <t>Gross Profit Margin</t>
  </si>
  <si>
    <t>Effective Tax Rate</t>
  </si>
  <si>
    <t>After-Tax Interest Expense</t>
  </si>
  <si>
    <t>FCF Margin</t>
  </si>
  <si>
    <t>EBIT Margin</t>
  </si>
  <si>
    <t>Terminal Value</t>
  </si>
  <si>
    <t>EV/EBITDA</t>
  </si>
  <si>
    <t>DCF1</t>
  </si>
  <si>
    <t>Net Debt</t>
  </si>
  <si>
    <t>Mcap</t>
  </si>
  <si>
    <t>Shares (MM)</t>
  </si>
  <si>
    <t>Implied Price</t>
  </si>
  <si>
    <t>Actual Price</t>
  </si>
  <si>
    <t>Forecasted Revenue Growth</t>
  </si>
  <si>
    <t>Original Revenue Growth</t>
  </si>
  <si>
    <t>Differentiated View</t>
  </si>
  <si>
    <t>Enterprise Value</t>
  </si>
  <si>
    <t>2022-10</t>
  </si>
  <si>
    <t>2022-11</t>
  </si>
  <si>
    <t>2022-12</t>
  </si>
  <si>
    <t>2023-10</t>
  </si>
  <si>
    <t>2023-11</t>
  </si>
  <si>
    <t>2023-12</t>
  </si>
  <si>
    <t>2024-10</t>
  </si>
  <si>
    <t>2024-11</t>
  </si>
  <si>
    <t>2024-12</t>
  </si>
  <si>
    <t>D</t>
  </si>
  <si>
    <t>E</t>
  </si>
  <si>
    <t>Active Risk</t>
  </si>
  <si>
    <t>check</t>
  </si>
  <si>
    <t>IR</t>
  </si>
  <si>
    <t>Weights</t>
  </si>
  <si>
    <t>Variance</t>
  </si>
  <si>
    <t>active weights</t>
  </si>
  <si>
    <t>Asset Value</t>
  </si>
  <si>
    <t>Call(X=80)</t>
  </si>
  <si>
    <t>Call(X=100)</t>
  </si>
  <si>
    <t>Call(X=120)</t>
  </si>
  <si>
    <t>Butterfly</t>
  </si>
  <si>
    <t>T</t>
  </si>
  <si>
    <t>S</t>
  </si>
  <si>
    <t>Evergreen Growth ETF</t>
  </si>
  <si>
    <t>geometric mean</t>
  </si>
  <si>
    <t>Gross Returns</t>
  </si>
  <si>
    <t>residual, z</t>
  </si>
  <si>
    <t>Cov(x,z)</t>
  </si>
  <si>
    <t>rA-rf</t>
  </si>
  <si>
    <t>Fund</t>
  </si>
  <si>
    <t>Covariance</t>
  </si>
  <si>
    <t>DRLL</t>
  </si>
  <si>
    <t>BYTE</t>
  </si>
  <si>
    <t>SNAX</t>
  </si>
  <si>
    <t>Vol</t>
  </si>
  <si>
    <t>Active weights</t>
  </si>
  <si>
    <t>Stock</t>
  </si>
  <si>
    <t>date</t>
  </si>
  <si>
    <t>Low Beta</t>
  </si>
  <si>
    <t>SMB</t>
  </si>
  <si>
    <t>HML</t>
  </si>
  <si>
    <t>RMW</t>
  </si>
  <si>
    <t>CMA</t>
  </si>
  <si>
    <t>MKT</t>
  </si>
  <si>
    <t>Monthly</t>
  </si>
  <si>
    <t>RF</t>
  </si>
  <si>
    <t>Cash flows (millions)</t>
  </si>
  <si>
    <t>Market Index</t>
  </si>
  <si>
    <t>C/R</t>
  </si>
  <si>
    <t>D/R</t>
  </si>
  <si>
    <t>PME</t>
  </si>
  <si>
    <t>IRR</t>
  </si>
  <si>
    <t>NAV</t>
  </si>
  <si>
    <t>call</t>
  </si>
  <si>
    <t>dist</t>
  </si>
  <si>
    <t>type</t>
  </si>
  <si>
    <t>TVPI</t>
  </si>
  <si>
    <t>PV(IRR)</t>
  </si>
  <si>
    <t>Scaler</t>
  </si>
  <si>
    <t>Scaled Active</t>
  </si>
  <si>
    <t>Asset</t>
  </si>
  <si>
    <t>Small/Value</t>
  </si>
  <si>
    <t>Small/Growth</t>
  </si>
  <si>
    <t>Large/Growth</t>
  </si>
  <si>
    <t>Active 1</t>
  </si>
  <si>
    <t>Active 2</t>
  </si>
  <si>
    <t>Total Active</t>
  </si>
  <si>
    <t>Large/Value</t>
  </si>
  <si>
    <t>Style</t>
  </si>
  <si>
    <t>Tilted Portfolio</t>
  </si>
  <si>
    <t>beta_AP</t>
  </si>
  <si>
    <t>beta_AP-1</t>
  </si>
  <si>
    <t>%change</t>
  </si>
  <si>
    <t>Asset A</t>
  </si>
  <si>
    <t>%Chg Num</t>
  </si>
  <si>
    <t>%Chg Denom</t>
  </si>
  <si>
    <t>Tilted towards</t>
  </si>
  <si>
    <t>Tilting Towards Both</t>
  </si>
  <si>
    <t>Tilted Towards</t>
  </si>
  <si>
    <t>rT</t>
  </si>
  <si>
    <t>Both</t>
  </si>
  <si>
    <t>Excess Return</t>
  </si>
  <si>
    <t>Stock 3</t>
  </si>
  <si>
    <t>PPG</t>
  </si>
  <si>
    <t>Win Percentage</t>
  </si>
  <si>
    <t>Season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</si>
  <si>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</si>
  <si>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</si>
  <si>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</si>
  <si>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</si>
  <si>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</si>
  <si>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</si>
  <si>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</si>
  <si>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</si>
  <si>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</si>
  <si>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</si>
  <si>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</si>
  <si>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</si>
  <si>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</si>
  <si>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</si>
  <si>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</si>
  <si>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</si>
  <si>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</si>
  <si>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</si>
  <si>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</si>
  <si>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</si>
  <si>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</si>
  <si>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</si>
  <si>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</si>
  <si>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</si>
  <si>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</si>
  <si>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</si>
  <si>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</si>
  <si>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</si>
  <si>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</si>
  <si>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</si>
  <si>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</si>
  <si>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</si>
  <si>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</si>
  <si>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</si>
  <si>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</si>
  <si>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</si>
  <si>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</si>
  <si>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</si>
  <si>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</si>
  <si>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</si>
  <si>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</si>
  <si>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</si>
  <si>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</si>
  <si>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</si>
  <si>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</si>
  <si>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</si>
  <si>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</si>
  <si>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</si>
  <si>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</si>
  <si>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</si>
  <si>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</si>
  <si>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Leading Scorer </t>
  </si>
  <si>
    <t xml:space="preserve">Kareem Abdul-Jabbar </t>
  </si>
  <si>
    <t xml:space="preserve">Magic Johnson </t>
  </si>
  <si>
    <t xml:space="preserve">James Worthy </t>
  </si>
  <si>
    <t xml:space="preserve">Sedale Threatt </t>
  </si>
  <si>
    <t xml:space="preserve">Vlade Divac </t>
  </si>
  <si>
    <t xml:space="preserve">Cedric Ceballos </t>
  </si>
  <si>
    <t xml:space="preserve">Shaquille O'Neal </t>
  </si>
  <si>
    <t xml:space="preserve">Kobe Bryant </t>
  </si>
  <si>
    <t xml:space="preserve">Pau Gasol </t>
  </si>
  <si>
    <t xml:space="preserve">Jordan Hill </t>
  </si>
  <si>
    <t xml:space="preserve">D'Angelo Russell </t>
  </si>
  <si>
    <t xml:space="preserve">Brandon Ingram </t>
  </si>
  <si>
    <t xml:space="preserve">LeBron James </t>
  </si>
  <si>
    <t xml:space="preserve">Anthony Davis </t>
  </si>
  <si>
    <t>Los Angeles Lakers</t>
  </si>
  <si>
    <t>Regular Season</t>
  </si>
  <si>
    <t>Excel Functions</t>
  </si>
  <si>
    <t>Base Equations</t>
  </si>
  <si>
    <t xml:space="preserve">Average residual: </t>
  </si>
  <si>
    <t>residual (z)</t>
  </si>
  <si>
    <t>y</t>
  </si>
  <si>
    <t>x</t>
  </si>
  <si>
    <t>Covar(z,x)</t>
  </si>
  <si>
    <t>(using base equations)</t>
  </si>
  <si>
    <t>Pace</t>
  </si>
  <si>
    <t>x1</t>
  </si>
  <si>
    <t>x2</t>
  </si>
  <si>
    <t>EAY</t>
  </si>
  <si>
    <t>YTM</t>
  </si>
  <si>
    <t>Price</t>
  </si>
  <si>
    <t>Time</t>
  </si>
  <si>
    <t>PV</t>
  </si>
  <si>
    <t>Mcauley Duration</t>
  </si>
  <si>
    <t>Modified Duration</t>
  </si>
  <si>
    <t>Duration Weights</t>
  </si>
  <si>
    <t>Convexity</t>
  </si>
  <si>
    <t>CF</t>
  </si>
  <si>
    <t>Spot Rates</t>
  </si>
  <si>
    <t>Years</t>
  </si>
  <si>
    <t>YTM (6mo)</t>
  </si>
  <si>
    <t>Periods</t>
  </si>
  <si>
    <t>Tracking Error</t>
  </si>
  <si>
    <t>Information Ratio</t>
  </si>
  <si>
    <t>Cov(i,b)</t>
  </si>
  <si>
    <t>E[rb]</t>
  </si>
  <si>
    <t>Var[b]</t>
  </si>
  <si>
    <t>total</t>
  </si>
  <si>
    <t>active</t>
  </si>
  <si>
    <t>alpha_i,b</t>
  </si>
  <si>
    <t>TE</t>
  </si>
  <si>
    <t>alpha (to benchmark)</t>
  </si>
  <si>
    <t>Total Scaled Fund</t>
  </si>
  <si>
    <t>G</t>
  </si>
  <si>
    <t>H</t>
  </si>
  <si>
    <t>I</t>
  </si>
  <si>
    <t>J</t>
  </si>
  <si>
    <t>beta (bench)</t>
  </si>
  <si>
    <t>Var (bench)</t>
  </si>
  <si>
    <t>E[r] (bench)</t>
  </si>
  <si>
    <t>cov (bench)</t>
  </si>
  <si>
    <t>Optimal Active Portfolio</t>
  </si>
  <si>
    <t>beta_i,b</t>
  </si>
  <si>
    <t>Russell 3000</t>
  </si>
  <si>
    <t>Security Weights</t>
  </si>
  <si>
    <t>Check</t>
  </si>
  <si>
    <t>Allocation Effects</t>
  </si>
  <si>
    <t>Performance Spread</t>
  </si>
  <si>
    <t>Security Selection Effects</t>
  </si>
  <si>
    <t>Interaction Effects</t>
  </si>
  <si>
    <t>Aggregate Total</t>
  </si>
  <si>
    <t>Contribution of Every Security to Performance Spread</t>
  </si>
  <si>
    <t>Security Segment Weights</t>
  </si>
  <si>
    <t>Segment Returns</t>
  </si>
  <si>
    <t>Segment Weights</t>
  </si>
  <si>
    <t>Benchmark Weights</t>
  </si>
  <si>
    <t>Segment</t>
  </si>
  <si>
    <t>Portfolio Weights</t>
  </si>
  <si>
    <t>Annual</t>
  </si>
  <si>
    <t>Contribution to Spread</t>
  </si>
  <si>
    <t>Contribution to Alpha</t>
  </si>
  <si>
    <t>Averages</t>
  </si>
  <si>
    <t>Portfolio Alpha</t>
  </si>
  <si>
    <t>Stock Returns</t>
  </si>
  <si>
    <t>Annualized Seg Ret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</si>
  <si>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</si>
  <si>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</si>
  <si>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</si>
  <si>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</si>
  <si>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</si>
  <si>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</si>
  <si>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</si>
  <si>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</si>
  <si>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</si>
  <si>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</si>
  <si>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</si>
  <si>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</si>
  <si>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</si>
  <si>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</si>
  <si>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</si>
  <si>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</si>
  <si>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</si>
  <si>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</si>
  <si>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</si>
  <si>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</si>
  <si>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</si>
  <si>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</si>
  <si>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</si>
  <si>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</si>
  <si>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</si>
  <si>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</si>
  <si>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</si>
  <si>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</si>
  <si>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</si>
  <si>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</si>
  <si>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</si>
  <si>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</si>
  <si>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</si>
  <si>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</si>
  <si>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</si>
  <si>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</si>
  <si>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</si>
  <si>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</si>
  <si>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</si>
  <si>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</si>
  <si>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</si>
  <si>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</si>
  <si>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</si>
  <si>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</si>
  <si>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</si>
  <si>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</si>
  <si>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</si>
  <si>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</si>
  <si>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</si>
  <si>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</si>
  <si>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</si>
  <si>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</si>
  <si>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P</t>
  </si>
  <si>
    <t>Q</t>
  </si>
  <si>
    <t>(mm)</t>
  </si>
  <si>
    <t>Example 5.1.2 Value-Weighted Indices Require No Rebalancing</t>
  </si>
  <si>
    <t>Position values</t>
  </si>
  <si>
    <t>Position Values</t>
  </si>
  <si>
    <r>
      <rPr>
        <b/>
        <sz val="11"/>
        <color theme="1"/>
        <rFont val="Calibri"/>
        <family val="2"/>
        <scheme val="minor"/>
      </rPr>
      <t>Time</t>
    </r>
    <r>
      <rPr>
        <b/>
        <i/>
        <sz val="11"/>
        <color theme="1"/>
        <rFont val="Calibri"/>
        <family val="2"/>
        <scheme val="minor"/>
      </rPr>
      <t xml:space="preserve"> t</t>
    </r>
  </si>
  <si>
    <r>
      <rPr>
        <b/>
        <sz val="11"/>
        <color theme="1"/>
        <rFont val="Calibri"/>
        <family val="2"/>
        <scheme val="minor"/>
      </rPr>
      <t>Time</t>
    </r>
    <r>
      <rPr>
        <b/>
        <i/>
        <sz val="11"/>
        <color theme="1"/>
        <rFont val="Calibri"/>
        <family val="2"/>
        <scheme val="minor"/>
      </rPr>
      <t xml:space="preserve"> t+1</t>
    </r>
  </si>
  <si>
    <t xml:space="preserve">One Step </t>
  </si>
  <si>
    <t>Two-Step</t>
  </si>
  <si>
    <t>Example 5.4.1 Multiple Active Portfolios</t>
  </si>
  <si>
    <t>beta(Fund,bench)</t>
  </si>
  <si>
    <t>forecast error</t>
  </si>
  <si>
    <r>
      <t>(forecast error)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</si>
  <si>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E[(forecast error)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</si>
  <si>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Example 7.1.3 Using Excel Functions to Estimate Variance and Standard Deviation</t>
  </si>
  <si>
    <t>Population</t>
  </si>
  <si>
    <t>Varance</t>
  </si>
  <si>
    <t>Sample</t>
  </si>
  <si>
    <t>Example 7.1.1 Calculating True Variance and Volatility</t>
  </si>
  <si>
    <t>Example 7.1.1 Estimating Variance and Volatility from a Sample</t>
  </si>
  <si>
    <t>Stdevp</t>
  </si>
  <si>
    <t>Varp</t>
  </si>
  <si>
    <t>Example 7.2.1 The Variance and Volatility of a Portfolio with a Single Risky Position</t>
  </si>
  <si>
    <t>40% ZION</t>
  </si>
  <si>
    <t>part (1)</t>
  </si>
  <si>
    <t>part (2)</t>
  </si>
  <si>
    <t>part (3)</t>
  </si>
  <si>
    <t>part (5)</t>
  </si>
  <si>
    <t>part (6)</t>
  </si>
  <si>
    <t>airthmetic mean</t>
  </si>
  <si>
    <t>Example 7.4.1 The Geometric Mean and Approximate Relation to the Arithmetic Mean</t>
  </si>
  <si>
    <t>ETF_A</t>
  </si>
  <si>
    <t>ETF_B</t>
  </si>
  <si>
    <t>Portfolio 1</t>
  </si>
  <si>
    <t>Portfolio 2</t>
  </si>
  <si>
    <t>Scalar</t>
  </si>
  <si>
    <t>weight A</t>
  </si>
  <si>
    <t>weight B</t>
  </si>
  <si>
    <t>Example 9.1.1  Estimating Covariance</t>
  </si>
  <si>
    <t>Example 9.2.3  Regression Example</t>
  </si>
  <si>
    <t>Example 9.3.1  Estimating Alpha and Beta</t>
  </si>
  <si>
    <t>Example 9.1.1  Estimating Correlation</t>
  </si>
  <si>
    <t>Cov[A,B]</t>
  </si>
  <si>
    <t>Correlation</t>
  </si>
  <si>
    <t>Without using Excel's "correl()" function</t>
  </si>
  <si>
    <t>Using Excel's "correl()" function</t>
  </si>
  <si>
    <t>Without using Excel's "covar()" function</t>
  </si>
  <si>
    <t>Using Excel's "covar()" function</t>
  </si>
  <si>
    <t>Example 8.2.3  Scaling Weights and Impact on Sharpe Ratio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</si>
  <si>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</si>
  <si>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</si>
  <si>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</si>
  <si>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</si>
  <si>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</si>
  <si>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</si>
  <si>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</si>
  <si>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</si>
  <si>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</si>
  <si>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</si>
  <si>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</si>
  <si>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</si>
  <si>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Example 10.2.1  Estimating Volatility Using Historical Data</t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</si>
  <si>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F</t>
    </r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</si>
  <si>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A</t>
    </r>
  </si>
  <si>
    <t>"Energy"</t>
  </si>
  <si>
    <t>"Agreement"</t>
  </si>
  <si>
    <r>
      <rPr>
        <b/>
        <sz val="14"/>
        <color theme="1"/>
        <rFont val="Symbol"/>
        <family val="1"/>
        <charset val="2"/>
      </rPr>
      <t>b</t>
    </r>
    <r>
      <rPr>
        <b/>
        <vertAlign val="subscript"/>
        <sz val="14"/>
        <color theme="1"/>
        <rFont val="Calibri"/>
        <family val="2"/>
        <scheme val="minor"/>
      </rPr>
      <t>A,F</t>
    </r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</si>
  <si>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1"/>
        <charset val="2"/>
        <scheme val="minor"/>
      </rPr>
      <t>/</t>
    </r>
    <r>
      <rPr>
        <b/>
        <sz val="14"/>
        <color theme="1"/>
        <rFont val="Symbol"/>
        <family val="1"/>
        <charset val="2"/>
      </rPr>
      <t>s</t>
    </r>
    <r>
      <rPr>
        <b/>
        <vertAlign val="subscript"/>
        <sz val="14"/>
        <color theme="1"/>
        <rFont val="Calibri"/>
        <family val="2"/>
        <scheme val="minor"/>
      </rPr>
      <t>F</t>
    </r>
  </si>
  <si>
    <r>
      <rPr>
        <b/>
        <sz val="14"/>
        <color theme="1"/>
        <rFont val="Symbol"/>
        <family val="1"/>
        <charset val="2"/>
      </rPr>
      <t>r</t>
    </r>
    <r>
      <rPr>
        <b/>
        <vertAlign val="subscript"/>
        <sz val="14"/>
        <color theme="1"/>
        <rFont val="Calibri"/>
        <family val="2"/>
        <scheme val="minor"/>
      </rPr>
      <t>A,F</t>
    </r>
  </si>
  <si>
    <t xml:space="preserve"> </t>
  </si>
  <si>
    <t xml:space="preserve">Variance </t>
  </si>
  <si>
    <t>vol[r]</t>
  </si>
  <si>
    <t>Example: Volatility and Correlation</t>
  </si>
  <si>
    <t>Example: Beta and Variance</t>
  </si>
  <si>
    <t>Eample 10.4.1 Decomposing Variance</t>
  </si>
  <si>
    <t>Example 11.1.1 Estimating Volatility Using Historical Data</t>
  </si>
  <si>
    <t>Example 11.1.1 Estimating Volatility Using the Covariance Matrix</t>
  </si>
  <si>
    <t>Example 11 Efficient Frontier</t>
  </si>
  <si>
    <t>Example 12 Alpha</t>
  </si>
  <si>
    <t>Example 12 Alpha (generalized)</t>
  </si>
  <si>
    <t>Prob</t>
  </si>
  <si>
    <t>Startup</t>
  </si>
  <si>
    <t>Investment</t>
  </si>
  <si>
    <t>Weight in A</t>
  </si>
  <si>
    <t>Weight in B</t>
  </si>
  <si>
    <t>Weight in C</t>
  </si>
  <si>
    <t>% Change</t>
  </si>
  <si>
    <t>In Wealth</t>
  </si>
  <si>
    <t>E[Values]</t>
  </si>
  <si>
    <t>Wealth</t>
  </si>
  <si>
    <t>Example 13 Startup</t>
  </si>
  <si>
    <t>Asset B</t>
  </si>
  <si>
    <t>Asset C</t>
  </si>
  <si>
    <t>No Investment</t>
  </si>
  <si>
    <t>Example 14.1.1 Separating Sytematic and Idiosyncratic Risk</t>
  </si>
  <si>
    <t>Example 15.3.1 In-Sample versus Out-of-Sample</t>
  </si>
  <si>
    <t>2019-2021</t>
  </si>
  <si>
    <t>Means</t>
  </si>
  <si>
    <t>2022-2025</t>
  </si>
  <si>
    <t>X Variable 2</t>
  </si>
  <si>
    <t>X Variable 3</t>
  </si>
  <si>
    <t>X Variable 4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</si>
  <si>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</si>
  <si>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</si>
  <si>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</si>
  <si>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</si>
  <si>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</si>
  <si>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</si>
  <si>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</si>
  <si>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</si>
  <si>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</si>
  <si>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</si>
  <si>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</si>
  <si>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</si>
  <si>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</si>
  <si>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</si>
  <si>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</si>
  <si>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</si>
  <si>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</si>
  <si>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</si>
  <si>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</si>
  <si>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</si>
  <si>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</si>
  <si>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</si>
  <si>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</si>
  <si>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</si>
  <si>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</si>
  <si>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</si>
  <si>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</si>
  <si>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</si>
  <si>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</si>
  <si>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</si>
  <si>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</si>
  <si>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</si>
  <si>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</si>
  <si>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</si>
  <si>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</si>
  <si>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</si>
  <si>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</si>
  <si>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</si>
  <si>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</si>
  <si>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</si>
  <si>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</si>
  <si>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</si>
  <si>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</si>
  <si>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</si>
  <si>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</si>
  <si>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</si>
  <si>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</si>
  <si>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</si>
  <si>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</si>
  <si>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</si>
  <si>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</si>
  <si>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</si>
  <si>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</si>
  <si>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</si>
  <si>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</si>
  <si>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</si>
  <si>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</si>
  <si>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</si>
  <si>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</si>
  <si>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</si>
  <si>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</si>
  <si>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</si>
  <si>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</si>
  <si>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</si>
  <si>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</si>
  <si>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</si>
  <si>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</si>
  <si>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</si>
  <si>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</si>
  <si>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</si>
  <si>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</si>
  <si>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</si>
  <si>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</si>
  <si>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</si>
  <si>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</si>
  <si>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</si>
  <si>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</si>
  <si>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</si>
  <si>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</si>
  <si>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</si>
  <si>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</si>
  <si>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</si>
  <si>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</si>
  <si>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</si>
  <si>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</si>
  <si>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</si>
  <si>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</si>
  <si>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</si>
  <si>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</si>
  <si>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</si>
  <si>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</si>
  <si>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</si>
  <si>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</si>
  <si>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</si>
  <si>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</si>
  <si>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</si>
  <si>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</si>
  <si>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</si>
  <si>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</si>
  <si>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</si>
  <si>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</si>
  <si>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</si>
  <si>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</si>
  <si>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</si>
  <si>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</si>
  <si>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</si>
  <si>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</si>
  <si>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</si>
  <si>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</si>
  <si>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</si>
  <si>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</si>
  <si>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</si>
  <si>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</si>
  <si>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</si>
  <si>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</si>
  <si>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</si>
  <si>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</si>
  <si>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</si>
  <si>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</si>
  <si>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</si>
  <si>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</si>
  <si>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</si>
  <si>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</si>
  <si>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</si>
  <si>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</si>
  <si>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</si>
  <si>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</si>
  <si>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</si>
  <si>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</si>
  <si>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</si>
  <si>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</si>
  <si>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</si>
  <si>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</si>
  <si>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</si>
  <si>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</si>
  <si>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</si>
  <si>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</si>
  <si>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</si>
  <si>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</si>
  <si>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</si>
  <si>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</si>
  <si>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</si>
  <si>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</si>
  <si>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</si>
  <si>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</si>
  <si>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</si>
  <si>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</si>
  <si>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</si>
  <si>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</si>
  <si>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</si>
  <si>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</si>
  <si>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</si>
  <si>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</si>
  <si>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</si>
  <si>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</si>
  <si>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</si>
  <si>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</si>
  <si>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</si>
  <si>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</si>
  <si>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</si>
  <si>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</si>
  <si>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</si>
  <si>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</si>
  <si>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</si>
  <si>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</si>
  <si>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</si>
  <si>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</si>
  <si>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</si>
  <si>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</si>
  <si>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</si>
  <si>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</si>
  <si>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</si>
  <si>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</si>
  <si>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</si>
  <si>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</si>
  <si>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</si>
  <si>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</si>
  <si>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</si>
  <si>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</si>
  <si>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</si>
  <si>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</si>
  <si>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</si>
  <si>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</si>
  <si>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</si>
  <si>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</si>
  <si>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</si>
  <si>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</si>
  <si>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</si>
  <si>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</si>
  <si>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</si>
  <si>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</si>
  <si>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</si>
  <si>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</si>
  <si>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</si>
  <si>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</si>
  <si>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</si>
  <si>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</si>
  <si>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</si>
  <si>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</si>
  <si>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</si>
  <si>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</si>
  <si>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</si>
  <si>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</si>
  <si>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</si>
  <si>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</si>
  <si>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</si>
  <si>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</si>
  <si>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</si>
  <si>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</si>
  <si>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</si>
  <si>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</si>
  <si>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</si>
  <si>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</si>
  <si>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</si>
  <si>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</si>
  <si>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</si>
  <si>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</si>
  <si>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</si>
  <si>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</si>
  <si>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</si>
  <si>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</si>
  <si>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</si>
  <si>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</si>
  <si>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</si>
  <si>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</si>
  <si>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</si>
  <si>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</si>
  <si>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</si>
  <si>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</si>
  <si>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</si>
  <si>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</si>
  <si>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</si>
  <si>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</si>
  <si>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</si>
  <si>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</si>
  <si>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</si>
  <si>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</si>
  <si>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</si>
  <si>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</si>
  <si>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</si>
  <si>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</si>
  <si>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</si>
  <si>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</si>
  <si>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</si>
  <si>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</si>
  <si>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</si>
  <si>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</si>
  <si>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</si>
  <si>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</si>
  <si>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</si>
  <si>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</si>
  <si>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</si>
  <si>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</si>
  <si>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</si>
  <si>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</si>
  <si>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</si>
  <si>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</si>
  <si>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</si>
  <si>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</si>
  <si>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</si>
  <si>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</si>
  <si>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</si>
  <si>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</si>
  <si>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</si>
  <si>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</si>
  <si>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</si>
  <si>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</si>
  <si>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</si>
  <si>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</si>
  <si>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</si>
  <si>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</si>
  <si>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</si>
  <si>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</si>
  <si>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</si>
  <si>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</si>
  <si>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</si>
  <si>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</si>
  <si>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</si>
  <si>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</si>
  <si>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</si>
  <si>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</si>
  <si>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</si>
  <si>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</si>
  <si>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</si>
  <si>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</si>
  <si>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</si>
  <si>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</si>
  <si>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</si>
  <si>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</si>
  <si>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</si>
  <si>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</si>
  <si>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</si>
  <si>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</si>
  <si>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</si>
  <si>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</si>
  <si>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</si>
  <si>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</si>
  <si>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</si>
  <si>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</si>
  <si>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</si>
  <si>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</si>
  <si>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</si>
  <si>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</si>
  <si>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</si>
  <si>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</si>
  <si>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</si>
  <si>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</si>
  <si>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</si>
  <si>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</si>
  <si>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</si>
  <si>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</si>
  <si>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</si>
  <si>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</si>
  <si>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</si>
  <si>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</si>
  <si>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</si>
  <si>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</si>
  <si>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</si>
  <si>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</si>
  <si>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</si>
  <si>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</si>
  <si>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</si>
  <si>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</si>
  <si>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</si>
  <si>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</si>
  <si>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</si>
  <si>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</si>
  <si>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</si>
  <si>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</si>
  <si>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</si>
  <si>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</si>
  <si>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</si>
  <si>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</si>
  <si>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</si>
  <si>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</si>
  <si>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</si>
  <si>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</si>
  <si>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</si>
  <si>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</si>
  <si>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</si>
  <si>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</si>
  <si>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</si>
  <si>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</si>
  <si>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</si>
  <si>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</si>
  <si>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</si>
  <si>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</si>
  <si>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</si>
  <si>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</si>
  <si>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</si>
  <si>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</si>
  <si>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</si>
  <si>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</si>
  <si>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</si>
  <si>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</si>
  <si>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</si>
  <si>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</si>
  <si>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</si>
  <si>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</si>
  <si>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</si>
  <si>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</si>
  <si>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</si>
  <si>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</si>
  <si>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</si>
  <si>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</si>
  <si>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</si>
  <si>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</si>
  <si>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</si>
  <si>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</si>
  <si>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</si>
  <si>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</si>
  <si>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</si>
  <si>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</si>
  <si>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</si>
  <si>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</si>
  <si>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</si>
  <si>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</si>
  <si>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</si>
  <si>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</si>
  <si>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</si>
  <si>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</si>
  <si>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</si>
  <si>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</si>
  <si>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</si>
  <si>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</si>
  <si>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</si>
  <si>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</si>
  <si>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</si>
  <si>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</si>
  <si>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</si>
  <si>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</si>
  <si>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</si>
  <si>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</si>
  <si>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</si>
  <si>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</si>
  <si>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</si>
  <si>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</si>
  <si>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</si>
  <si>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</si>
  <si>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</si>
  <si>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</si>
  <si>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</si>
  <si>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</si>
  <si>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</si>
  <si>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</si>
  <si>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</si>
  <si>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</si>
  <si>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</si>
  <si>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</si>
  <si>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</si>
  <si>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</si>
  <si>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</si>
  <si>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</si>
  <si>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</si>
  <si>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</si>
  <si>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</si>
  <si>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</si>
  <si>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</si>
  <si>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</si>
  <si>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</si>
  <si>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</si>
  <si>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</si>
  <si>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</si>
  <si>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</si>
  <si>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</si>
  <si>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</si>
  <si>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</si>
  <si>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</si>
  <si>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</si>
  <si>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</si>
  <si>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</si>
  <si>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</si>
  <si>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</si>
  <si>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</si>
  <si>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</si>
  <si>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</si>
  <si>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</si>
  <si>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</si>
  <si>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</si>
  <si>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</si>
  <si>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</si>
  <si>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</si>
  <si>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</si>
  <si>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</si>
  <si>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</si>
  <si>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</si>
  <si>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</si>
  <si>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</si>
  <si>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</si>
  <si>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</si>
  <si>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</si>
  <si>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</si>
  <si>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</si>
  <si>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</si>
  <si>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</si>
  <si>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</si>
  <si>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</si>
  <si>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</si>
  <si>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</si>
  <si>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</si>
  <si>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</si>
  <si>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</si>
  <si>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</si>
  <si>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</si>
  <si>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</si>
  <si>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</si>
  <si>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</si>
  <si>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</si>
  <si>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</si>
  <si>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</si>
  <si>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</si>
  <si>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</si>
  <si>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</si>
  <si>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</si>
  <si>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</si>
  <si>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</si>
  <si>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</si>
  <si>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</si>
  <si>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</si>
  <si>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</si>
  <si>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</si>
  <si>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</si>
  <si>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</si>
  <si>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</si>
  <si>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</si>
  <si>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</si>
  <si>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</si>
  <si>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</si>
  <si>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</si>
  <si>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</si>
  <si>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</si>
  <si>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</si>
  <si>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</si>
  <si>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</si>
  <si>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</si>
  <si>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</si>
  <si>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</si>
  <si>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</si>
  <si>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</si>
  <si>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</si>
  <si>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</si>
  <si>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</si>
  <si>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</si>
  <si>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</si>
  <si>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</si>
  <si>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</si>
  <si>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</si>
  <si>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</si>
  <si>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</si>
  <si>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</si>
  <si>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</si>
  <si>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</si>
  <si>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</si>
  <si>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</si>
  <si>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</si>
  <si>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</si>
  <si>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</si>
  <si>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</si>
  <si>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</si>
  <si>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</si>
  <si>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</si>
  <si>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</si>
  <si>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</si>
  <si>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</si>
  <si>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</si>
  <si>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</si>
  <si>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</si>
  <si>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</si>
  <si>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</si>
  <si>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</si>
  <si>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</si>
  <si>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</si>
  <si>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</si>
  <si>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</si>
  <si>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</si>
  <si>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</si>
  <si>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</si>
  <si>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</si>
  <si>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</si>
  <si>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</si>
  <si>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</si>
  <si>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</si>
  <si>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</si>
  <si>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</si>
  <si>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</si>
  <si>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</si>
  <si>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</si>
  <si>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</si>
  <si>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</si>
  <si>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</si>
  <si>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</si>
  <si>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</si>
  <si>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</si>
  <si>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</si>
  <si>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</si>
  <si>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</si>
  <si>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</si>
  <si>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</si>
  <si>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</si>
  <si>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</si>
  <si>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</si>
  <si>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</si>
  <si>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</si>
  <si>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</si>
  <si>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</si>
  <si>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</si>
  <si>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</si>
  <si>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</si>
  <si>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</si>
  <si>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</si>
  <si>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</si>
  <si>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</si>
  <si>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</si>
  <si>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</si>
  <si>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</si>
  <si>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</si>
  <si>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</si>
  <si>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</si>
  <si>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</si>
  <si>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</si>
  <si>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</si>
  <si>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</si>
  <si>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</si>
  <si>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</si>
  <si>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</si>
  <si>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</si>
  <si>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</si>
  <si>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</si>
  <si>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</si>
  <si>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</si>
  <si>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</si>
  <si>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</si>
  <si>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</si>
  <si>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</si>
  <si>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</si>
  <si>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</si>
  <si>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</si>
  <si>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</si>
  <si>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</si>
  <si>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</si>
  <si>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</si>
  <si>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</si>
  <si>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</si>
  <si>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</si>
  <si>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</si>
  <si>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</si>
  <si>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FF-5 Parameters 1963-2019</t>
  </si>
  <si>
    <t>Market Parameters 1963-2019</t>
  </si>
  <si>
    <t>FF-5 Tangent Portfolio Weights 1963-2019</t>
  </si>
  <si>
    <t>FF-5 Parameters 2020-2024</t>
  </si>
  <si>
    <t>Average Returns 1963-2019</t>
  </si>
  <si>
    <t>Covariance Matrix 1963-2019</t>
  </si>
  <si>
    <t>Average Returns 2020-2024</t>
  </si>
  <si>
    <t>Covariance Matrix 2020-2024</t>
  </si>
  <si>
    <t>Example 15.3.2 Building the Tangent Portfolio from the Fama-French-Five-Factor Model</t>
  </si>
  <si>
    <t>portfolio p*</t>
  </si>
  <si>
    <t>MKT-Rf</t>
  </si>
  <si>
    <t>X Variable 5</t>
  </si>
  <si>
    <t>High MOM</t>
  </si>
  <si>
    <t>Example 19.2.1 Estimating the Information Ratio Using Historical Data</t>
  </si>
  <si>
    <t>Example 19.2.2 Alpha and Beta of the Active Portfolio</t>
  </si>
  <si>
    <t>Example 19.2.3 Measuring the Information Ratio Using Active Weights</t>
  </si>
  <si>
    <t>Example 19.3.1  Optimal Fund Weights</t>
  </si>
  <si>
    <t>beta(active)</t>
  </si>
  <si>
    <t>beta(total)</t>
  </si>
  <si>
    <t>Example 19.2.6  Optimal Fund Weights, Simplified Approach</t>
  </si>
  <si>
    <t>E[active return]</t>
  </si>
  <si>
    <t>R-squared</t>
  </si>
  <si>
    <r>
      <rPr>
        <b/>
        <sz val="11"/>
        <color theme="1"/>
        <rFont val="Symbol"/>
        <family val="1"/>
        <charset val="2"/>
      </rP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</si>
  <si>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Example 20.2.2  The Brinson-Fachler Framework</t>
  </si>
  <si>
    <t>Example 20.3.1  Individual Security Contribution to Alpha</t>
  </si>
  <si>
    <t>Average Contribution to Active Return</t>
  </si>
  <si>
    <t>B_b</t>
  </si>
  <si>
    <t>A_b</t>
  </si>
  <si>
    <t>C_b</t>
  </si>
  <si>
    <t>D_b</t>
  </si>
  <si>
    <t>E_b</t>
  </si>
  <si>
    <t>A_p</t>
  </si>
  <si>
    <t>B_p</t>
  </si>
  <si>
    <t>C_p</t>
  </si>
  <si>
    <t>D_p</t>
  </si>
  <si>
    <t>E_p</t>
  </si>
  <si>
    <t>Example 20.3.5  Cross Sectional Regression</t>
  </si>
  <si>
    <t>beta(MKT)</t>
  </si>
  <si>
    <t>beta(SMB)</t>
  </si>
  <si>
    <t>beta(HML)</t>
  </si>
  <si>
    <t>active return</t>
  </si>
  <si>
    <t>Active Portfolio Betas</t>
  </si>
  <si>
    <t>Firm-Specific</t>
  </si>
  <si>
    <t>Predicted</t>
  </si>
  <si>
    <r>
      <t>r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i/>
        <sz val="11"/>
        <color theme="1"/>
        <rFont val="Calibri"/>
        <family val="2"/>
        <scheme val="minor"/>
      </rPr>
      <t>-r</t>
    </r>
    <r>
      <rPr>
        <b/>
        <i/>
        <vertAlign val="subscript"/>
        <sz val="11"/>
        <color theme="1"/>
        <rFont val="Calibri"/>
        <family val="2"/>
        <scheme val="minor"/>
      </rPr>
      <t>f</t>
    </r>
  </si>
  <si>
    <t>Contributions</t>
  </si>
  <si>
    <t>percent of total</t>
  </si>
  <si>
    <t>PE Performance Metrics</t>
  </si>
  <si>
    <t>EX21.5.1 Pricing Coupon Bonds</t>
  </si>
  <si>
    <t>Price (Excel)</t>
  </si>
  <si>
    <t>Cash Flows (Excel)</t>
  </si>
  <si>
    <t>Time-Terms</t>
  </si>
  <si>
    <t>Duration</t>
  </si>
  <si>
    <t>Bond1</t>
  </si>
  <si>
    <t>Bond2</t>
  </si>
  <si>
    <t>six-mo-YTM</t>
  </si>
  <si>
    <t>% change</t>
  </si>
  <si>
    <t>Coupon Bond</t>
  </si>
  <si>
    <t>Zero Bond</t>
  </si>
  <si>
    <t>portfolio</t>
  </si>
  <si>
    <t>weight</t>
  </si>
  <si>
    <t>Use Solver to Find Weights</t>
  </si>
  <si>
    <t>Bond3</t>
  </si>
  <si>
    <t>Target</t>
  </si>
  <si>
    <t>Diff</t>
  </si>
  <si>
    <t>N=</t>
  </si>
  <si>
    <t>Yield1</t>
  </si>
  <si>
    <t>Yield2</t>
  </si>
  <si>
    <t>EX23.1.1 Calculating Duration</t>
  </si>
  <si>
    <t>EX23.2.1 Speculating on Changes</t>
  </si>
  <si>
    <t>EX23.3.1 Calculating Convexity</t>
  </si>
  <si>
    <t>EX23.3.2 Targeting Duration and Convexity</t>
  </si>
  <si>
    <t>EX26.2.1 Butterfly Spread</t>
  </si>
  <si>
    <t>K</t>
  </si>
  <si>
    <t>r</t>
  </si>
  <si>
    <t>d1</t>
  </si>
  <si>
    <t>d2</t>
  </si>
  <si>
    <t>Call</t>
  </si>
  <si>
    <t>Put</t>
  </si>
  <si>
    <t>EX26.6.3 Implied Volatility</t>
  </si>
  <si>
    <t>EX26.6.1 The Black Scholes option Pricing Model</t>
  </si>
  <si>
    <t>Difference</t>
  </si>
  <si>
    <t>Market Price</t>
  </si>
  <si>
    <t xml:space="preserve">  Net Property, Plant, and Equipment</t>
  </si>
  <si>
    <t>Long-Term Assets</t>
  </si>
  <si>
    <t xml:space="preserve">  Goodwill</t>
  </si>
  <si>
    <t>Long Term Liabilities</t>
  </si>
  <si>
    <t xml:space="preserve">  Long Term Debt</t>
  </si>
  <si>
    <t>Total Long Term Assets</t>
  </si>
  <si>
    <t>Total Long-Term Liabilitiies</t>
  </si>
  <si>
    <t xml:space="preserve">  Interest Income</t>
  </si>
  <si>
    <t xml:space="preserve">  Interest Expense</t>
  </si>
  <si>
    <t xml:space="preserve">   + Depreciation</t>
  </si>
  <si>
    <t>EX28 - Accounting Statements</t>
  </si>
  <si>
    <t>EX28 - Consensus Model</t>
  </si>
  <si>
    <t>Components of Net Income</t>
  </si>
  <si>
    <t>Components of Free Cash Flow</t>
  </si>
  <si>
    <t xml:space="preserve">    Change in NWC</t>
  </si>
  <si>
    <t>EX28 - Thesis Model</t>
  </si>
  <si>
    <t>Equity (Market Cap)</t>
  </si>
  <si>
    <t>Implied E[r]</t>
  </si>
  <si>
    <t>DCF</t>
  </si>
  <si>
    <t>Example 9.5.2  Multivariate Regression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</si>
</sst>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"/>
    <numFmt numFmtId="168" formatCode="0.00000"/>
    <numFmt numFmtId="169" formatCode="0.0%"/>
    <numFmt numFmtId="170" formatCode="0.0"/>
    <numFmt numFmtId="171" formatCode="0.0_);\(0.0\)"/>
    <numFmt numFmtId="172" formatCode="\(0.0\)"/>
    <numFmt numFmtId="173" formatCode="mmmm\ yyyy"/>
    <numFmt numFmtId="174" formatCode="\(0\)"/>
    <numFmt numFmtId="175" formatCode="yyyymm"/>
    <numFmt numFmtId="176" formatCode="yyyy\-mm"/>
    <numFmt numFmtId="177" formatCode="yyyy\-mm\-dd"/>
    <numFmt numFmtId="178" formatCode="0.000%"/>
    <numFmt numFmtId="179" formatCode="mmm\-yyyy"/>
    <numFmt numFmtId="180" formatCode="0.0000%"/>
    <numFmt numFmtId="181" formatCode="#,##0.0"/>
    <numFmt numFmtId="182" formatCode="_(* #,##0.0_);_(* \(#,##0.0\);_(* &quot;-&quot;?_);_(@_)"/>
    <numFmt numFmtId="183" formatCode="_(* #,##0.00_);_(* \(#,##0.00\);_(* &quot;-&quot;_);_(@_)"/>
  </numFmts>
  <fonts count="40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Calibri"/>
      <family val="2"/>
      <scheme val="minor"/>
    </font>
    <font>
      <sz val="10"/>
      <color rgb="FF000000"/>
      <name val="Arial Unicode MS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1"/>
      <charset val="2"/>
      <scheme val="minor"/>
    </font>
    <font>
      <b/>
      <sz val="14"/>
      <color theme="1"/>
      <name val="Symbol"/>
      <family val="1"/>
      <charset val="2"/>
    </font>
    <font>
      <b/>
      <vertAlign val="subscript"/>
      <sz val="14"/>
      <color theme="1"/>
      <name val="Calibri"/>
      <family val="2"/>
      <scheme val="minor"/>
    </font>
    <font>
      <b/>
      <i/>
      <vertAlign val="subscript"/>
      <sz val="14"/>
      <color theme="1"/>
      <name val="Calibri"/>
      <family val="2"/>
      <scheme val="minor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i/>
      <vertAlign val="subscript"/>
      <sz val="11"/>
      <color theme="1"/>
      <name val="Calibri"/>
      <family val="2"/>
      <scheme val="minor"/>
    </font>
    <font>
      <sz val="11"/>
      <color rgb="FFFF0000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3" fillId="0" borderId="0"/>
    <xf numFmtId="0" fontId="7" fillId="0" borderId="0"/>
    <xf numFmtId="43" fontId="3" fillId="0" borderId="0"/>
    <xf numFmtId="44" fontId="3" fillId="0" borderId="0" applyFont="0" applyFill="0" applyBorder="0" applyAlignment="0" applyProtection="0"/>
  </cellStyleXfs>
  <cellXfs count="323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1" applyFont="1"/>
    <xf numFmtId="169" fontId="0" fillId="0" borderId="0" xfId="1" applyNumberFormat="1" applyFont="1"/>
    <xf numFmtId="166" fontId="0" fillId="0" borderId="0" xfId="0" applyNumberFormat="1"/>
    <xf numFmtId="10" fontId="0" fillId="0" borderId="0" xfId="1" applyNumberFormat="1" applyFont="1" applyAlignment="1">
      <alignment horizontal="center"/>
    </xf>
    <xf numFmtId="168" fontId="0" fillId="0" borderId="0" xfId="0" applyNumberFormat="1"/>
    <xf numFmtId="0" fontId="7" fillId="0" borderId="0" xfId="2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5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8" fontId="2" fillId="0" borderId="0" xfId="0" applyNumberFormat="1" applyFont="1"/>
    <xf numFmtId="0" fontId="8" fillId="0" borderId="0" xfId="2" applyFont="1"/>
    <xf numFmtId="14" fontId="7" fillId="0" borderId="0" xfId="2" applyNumberFormat="1"/>
    <xf numFmtId="0" fontId="4" fillId="0" borderId="0" xfId="2" applyFont="1" applyAlignment="1">
      <alignment horizontal="center"/>
    </xf>
    <xf numFmtId="168" fontId="7" fillId="0" borderId="0" xfId="2" applyNumberFormat="1" applyAlignment="1">
      <alignment horizontal="center"/>
    </xf>
    <xf numFmtId="0" fontId="11" fillId="0" borderId="0" xfId="2" applyFont="1"/>
    <xf numFmtId="0" fontId="12" fillId="0" borderId="0" xfId="2" applyFont="1"/>
    <xf numFmtId="0" fontId="13" fillId="0" borderId="0" xfId="2" applyFont="1"/>
    <xf numFmtId="165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4" fontId="0" fillId="0" borderId="0" xfId="0" applyNumberFormat="1"/>
    <xf numFmtId="0" fontId="0" fillId="0" borderId="7" xfId="0" applyBorder="1"/>
    <xf numFmtId="0" fontId="0" fillId="0" borderId="7" xfId="0" applyBorder="1" applyAlignment="1">
      <alignment horizontal="center"/>
    </xf>
    <xf numFmtId="8" fontId="0" fillId="0" borderId="0" xfId="0" applyNumberFormat="1"/>
    <xf numFmtId="0" fontId="1" fillId="0" borderId="0" xfId="0" applyFont="1"/>
    <xf numFmtId="168" fontId="9" fillId="0" borderId="0" xfId="0" applyNumberFormat="1" applyFont="1" applyAlignment="1">
      <alignment horizontal="center"/>
    </xf>
    <xf numFmtId="165" fontId="7" fillId="0" borderId="0" xfId="2" applyNumberFormat="1" applyAlignment="1">
      <alignment horizontal="center"/>
    </xf>
    <xf numFmtId="2" fontId="7" fillId="0" borderId="0" xfId="2" applyNumberFormat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2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43" fontId="0" fillId="0" borderId="0" xfId="3" applyFont="1"/>
    <xf numFmtId="43" fontId="0" fillId="0" borderId="0" xfId="0" applyNumberFormat="1"/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170" fontId="15" fillId="0" borderId="0" xfId="0" applyNumberFormat="1" applyFont="1"/>
    <xf numFmtId="170" fontId="15" fillId="0" borderId="0" xfId="0" applyNumberFormat="1" applyFont="1" applyAlignment="1">
      <alignment horizontal="right"/>
    </xf>
    <xf numFmtId="0" fontId="17" fillId="0" borderId="0" xfId="0" applyFont="1"/>
    <xf numFmtId="9" fontId="17" fillId="0" borderId="0" xfId="1" applyFont="1"/>
    <xf numFmtId="0" fontId="18" fillId="0" borderId="0" xfId="0" applyFont="1"/>
    <xf numFmtId="2" fontId="15" fillId="0" borderId="0" xfId="0" applyNumberFormat="1" applyFont="1"/>
    <xf numFmtId="171" fontId="15" fillId="0" borderId="0" xfId="0" applyNumberFormat="1" applyFont="1"/>
    <xf numFmtId="1" fontId="15" fillId="0" borderId="0" xfId="0" applyNumberFormat="1" applyFont="1"/>
    <xf numFmtId="9" fontId="15" fillId="0" borderId="0" xfId="1" applyFont="1"/>
    <xf numFmtId="0" fontId="16" fillId="0" borderId="8" xfId="0" applyFont="1" applyBorder="1"/>
    <xf numFmtId="0" fontId="15" fillId="0" borderId="9" xfId="0" applyFont="1" applyBorder="1" applyAlignment="1">
      <alignment horizontal="right"/>
    </xf>
    <xf numFmtId="0" fontId="15" fillId="0" borderId="8" xfId="0" applyFont="1" applyBorder="1"/>
    <xf numFmtId="0" fontId="15" fillId="0" borderId="9" xfId="0" applyFont="1" applyBorder="1"/>
    <xf numFmtId="0" fontId="15" fillId="0" borderId="13" xfId="0" applyFont="1" applyBorder="1"/>
    <xf numFmtId="0" fontId="15" fillId="0" borderId="6" xfId="0" applyFont="1" applyBorder="1"/>
    <xf numFmtId="0" fontId="16" fillId="0" borderId="9" xfId="0" applyFont="1" applyBorder="1"/>
    <xf numFmtId="0" fontId="15" fillId="0" borderId="6" xfId="0" applyFont="1" applyBorder="1" applyAlignment="1">
      <alignment horizontal="right"/>
    </xf>
    <xf numFmtId="0" fontId="15" fillId="0" borderId="5" xfId="0" applyFont="1" applyBorder="1"/>
    <xf numFmtId="0" fontId="15" fillId="0" borderId="7" xfId="0" applyFont="1" applyBorder="1"/>
    <xf numFmtId="0" fontId="15" fillId="0" borderId="11" xfId="0" applyFont="1" applyBorder="1"/>
    <xf numFmtId="0" fontId="15" fillId="0" borderId="4" xfId="0" applyFont="1" applyBorder="1"/>
    <xf numFmtId="170" fontId="15" fillId="0" borderId="9" xfId="0" applyNumberFormat="1" applyFont="1" applyBorder="1"/>
    <xf numFmtId="171" fontId="15" fillId="0" borderId="9" xfId="0" applyNumberFormat="1" applyFont="1" applyBorder="1"/>
    <xf numFmtId="1" fontId="15" fillId="0" borderId="4" xfId="0" applyNumberFormat="1" applyFont="1" applyBorder="1"/>
    <xf numFmtId="0" fontId="15" fillId="0" borderId="12" xfId="0" applyFont="1" applyBorder="1"/>
    <xf numFmtId="0" fontId="15" fillId="0" borderId="10" xfId="0" applyFont="1" applyBorder="1"/>
    <xf numFmtId="173" fontId="16" fillId="0" borderId="0" xfId="0" applyNumberFormat="1" applyFont="1" applyAlignment="1">
      <alignment horizontal="center"/>
    </xf>
    <xf numFmtId="169" fontId="15" fillId="0" borderId="0" xfId="1" applyNumberFormat="1" applyFont="1"/>
    <xf numFmtId="1" fontId="16" fillId="0" borderId="0" xfId="0" applyNumberFormat="1" applyFont="1"/>
    <xf numFmtId="164" fontId="15" fillId="0" borderId="0" xfId="0" applyNumberFormat="1" applyFont="1"/>
    <xf numFmtId="170" fontId="16" fillId="0" borderId="0" xfId="0" applyNumberFormat="1" applyFont="1"/>
    <xf numFmtId="0" fontId="16" fillId="0" borderId="7" xfId="0" applyFont="1" applyBorder="1"/>
    <xf numFmtId="175" fontId="0" fillId="0" borderId="0" xfId="0" applyNumberFormat="1"/>
    <xf numFmtId="165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70" fontId="0" fillId="0" borderId="0" xfId="0" applyNumberFormat="1"/>
    <xf numFmtId="10" fontId="0" fillId="0" borderId="0" xfId="1" applyNumberFormat="1" applyFont="1"/>
    <xf numFmtId="0" fontId="20" fillId="0" borderId="0" xfId="0" applyFont="1" applyAlignment="1">
      <alignment vertical="center"/>
    </xf>
    <xf numFmtId="167" fontId="0" fillId="0" borderId="0" xfId="0" applyNumberFormat="1"/>
    <xf numFmtId="0" fontId="2" fillId="0" borderId="0" xfId="0" applyFont="1" applyAlignment="1">
      <alignment horizontal="right"/>
    </xf>
    <xf numFmtId="0" fontId="8" fillId="0" borderId="0" xfId="2" applyFont="1" applyAlignment="1">
      <alignment horizontal="center"/>
    </xf>
    <xf numFmtId="164" fontId="7" fillId="0" borderId="0" xfId="2" applyNumberFormat="1" applyAlignment="1">
      <alignment horizontal="center"/>
    </xf>
    <xf numFmtId="43" fontId="3" fillId="0" borderId="0" xfId="3"/>
    <xf numFmtId="179" fontId="0" fillId="0" borderId="0" xfId="0" applyNumberFormat="1" applyAlignment="1">
      <alignment horizontal="left"/>
    </xf>
    <xf numFmtId="1" fontId="0" fillId="0" borderId="0" xfId="0" applyNumberFormat="1"/>
    <xf numFmtId="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0" xfId="0" applyNumberFormat="1" applyFont="1"/>
    <xf numFmtId="0" fontId="15" fillId="0" borderId="0" xfId="0" applyFont="1" applyAlignment="1">
      <alignment horizontal="center" wrapText="1"/>
    </xf>
    <xf numFmtId="9" fontId="0" fillId="0" borderId="0" xfId="0" applyNumberFormat="1"/>
    <xf numFmtId="9" fontId="3" fillId="0" borderId="0" xfId="1"/>
    <xf numFmtId="0" fontId="9" fillId="0" borderId="0" xfId="0" applyFont="1"/>
    <xf numFmtId="165" fontId="9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0" fontId="0" fillId="0" borderId="0" xfId="0" applyNumberFormat="1"/>
    <xf numFmtId="10" fontId="3" fillId="0" borderId="0" xfId="1" applyNumberFormat="1"/>
    <xf numFmtId="180" fontId="0" fillId="0" borderId="0" xfId="0" applyNumberFormat="1"/>
    <xf numFmtId="166" fontId="2" fillId="0" borderId="0" xfId="0" applyNumberFormat="1" applyFont="1"/>
    <xf numFmtId="0" fontId="14" fillId="2" borderId="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168" fontId="0" fillId="0" borderId="7" xfId="0" applyNumberFormat="1" applyBorder="1"/>
    <xf numFmtId="178" fontId="0" fillId="0" borderId="7" xfId="0" applyNumberFormat="1" applyBorder="1"/>
    <xf numFmtId="0" fontId="6" fillId="0" borderId="7" xfId="0" applyFont="1" applyBorder="1"/>
    <xf numFmtId="166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2"/>
    </xf>
    <xf numFmtId="170" fontId="0" fillId="0" borderId="0" xfId="0" applyNumberFormat="1" applyAlignment="1">
      <alignment horizontal="left" indent="2"/>
    </xf>
    <xf numFmtId="170" fontId="2" fillId="0" borderId="0" xfId="0" applyNumberFormat="1" applyFont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70" fontId="2" fillId="0" borderId="0" xfId="0" applyNumberFormat="1" applyFont="1" applyAlignment="1">
      <alignment horizontal="center"/>
    </xf>
    <xf numFmtId="178" fontId="0" fillId="0" borderId="0" xfId="0" applyNumberFormat="1"/>
    <xf numFmtId="169" fontId="3" fillId="0" borderId="0" xfId="1" applyNumberFormat="1"/>
    <xf numFmtId="3" fontId="0" fillId="0" borderId="0" xfId="0" applyNumberFormat="1"/>
    <xf numFmtId="178" fontId="3" fillId="0" borderId="0" xfId="1" applyNumberFormat="1"/>
    <xf numFmtId="178" fontId="9" fillId="0" borderId="0" xfId="1" applyNumberFormat="1" applyFont="1"/>
    <xf numFmtId="178" fontId="19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164" fontId="2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75" fontId="2" fillId="0" borderId="0" xfId="0" applyNumberFormat="1" applyFont="1"/>
    <xf numFmtId="175" fontId="0" fillId="5" borderId="0" xfId="0" applyNumberForma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175" fontId="2" fillId="5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center" vertical="top"/>
    </xf>
    <xf numFmtId="2" fontId="0" fillId="5" borderId="0" xfId="0" applyNumberFormat="1" applyFill="1"/>
    <xf numFmtId="10" fontId="9" fillId="0" borderId="0" xfId="0" applyNumberFormat="1" applyFont="1"/>
    <xf numFmtId="10" fontId="9" fillId="0" borderId="0" xfId="1" applyNumberFormat="1" applyFont="1"/>
    <xf numFmtId="10" fontId="3" fillId="5" borderId="0" xfId="1" applyNumberFormat="1" applyFill="1"/>
    <xf numFmtId="0" fontId="2" fillId="0" borderId="0" xfId="0" applyFont="1" applyAlignment="1">
      <alignment horizontal="center" vertical="top"/>
    </xf>
    <xf numFmtId="164" fontId="23" fillId="0" borderId="0" xfId="0" applyNumberFormat="1" applyFont="1"/>
    <xf numFmtId="164" fontId="2" fillId="0" borderId="0" xfId="0" applyNumberFormat="1" applyFont="1"/>
    <xf numFmtId="10" fontId="24" fillId="0" borderId="0" xfId="1" applyNumberFormat="1" applyFont="1"/>
    <xf numFmtId="175" fontId="2" fillId="5" borderId="0" xfId="0" applyNumberFormat="1" applyFont="1" applyFill="1" applyAlignment="1">
      <alignment horizontal="center" vertical="top"/>
    </xf>
    <xf numFmtId="164" fontId="0" fillId="5" borderId="0" xfId="0" applyNumberFormat="1" applyFill="1"/>
    <xf numFmtId="164" fontId="2" fillId="5" borderId="0" xfId="0" applyNumberFormat="1" applyFont="1" applyFill="1"/>
    <xf numFmtId="44" fontId="0" fillId="0" borderId="0" xfId="4" applyFont="1"/>
    <xf numFmtId="174" fontId="26" fillId="0" borderId="0" xfId="0" applyNumberFormat="1" applyFont="1"/>
    <xf numFmtId="0" fontId="27" fillId="0" borderId="0" xfId="0" applyFont="1" applyAlignment="1">
      <alignment horizontal="center"/>
    </xf>
    <xf numFmtId="0" fontId="0" fillId="5" borderId="7" xfId="0" applyFill="1" applyBorder="1"/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7" xfId="0" applyFill="1" applyBorder="1" applyAlignment="1">
      <alignment horizontal="center"/>
    </xf>
    <xf numFmtId="9" fontId="0" fillId="5" borderId="0" xfId="0" applyNumberFormat="1" applyFill="1"/>
    <xf numFmtId="9" fontId="3" fillId="5" borderId="0" xfId="1" applyFill="1"/>
    <xf numFmtId="0" fontId="19" fillId="5" borderId="0" xfId="0" applyFont="1" applyFill="1"/>
    <xf numFmtId="0" fontId="14" fillId="5" borderId="0" xfId="0" applyFont="1" applyFill="1"/>
    <xf numFmtId="0" fontId="26" fillId="0" borderId="0" xfId="0" applyFont="1"/>
    <xf numFmtId="177" fontId="29" fillId="5" borderId="0" xfId="0" applyNumberFormat="1" applyFont="1" applyFill="1" applyAlignment="1">
      <alignment horizontal="center" vertical="top"/>
    </xf>
    <xf numFmtId="0" fontId="29" fillId="5" borderId="0" xfId="0" applyFont="1" applyFill="1" applyAlignment="1">
      <alignment horizontal="center" vertical="top"/>
    </xf>
    <xf numFmtId="0" fontId="27" fillId="0" borderId="0" xfId="0" applyFont="1"/>
    <xf numFmtId="176" fontId="2" fillId="5" borderId="0" xfId="0" applyNumberFormat="1" applyFont="1" applyFill="1" applyAlignment="1">
      <alignment horizontal="center" vertical="top"/>
    </xf>
    <xf numFmtId="176" fontId="0" fillId="5" borderId="0" xfId="0" applyNumberFormat="1" applyFill="1"/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right"/>
    </xf>
    <xf numFmtId="170" fontId="2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left" indent="2"/>
    </xf>
    <xf numFmtId="170" fontId="2" fillId="5" borderId="0" xfId="0" applyNumberFormat="1" applyFont="1" applyFill="1"/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indent="2"/>
    </xf>
    <xf numFmtId="170" fontId="2" fillId="5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70" fontId="0" fillId="5" borderId="0" xfId="0" applyNumberFormat="1" applyFill="1" applyAlignment="1">
      <alignment horizontal="left" indent="2"/>
    </xf>
    <xf numFmtId="170" fontId="0" fillId="5" borderId="0" xfId="0" applyNumberFormat="1" applyFill="1" applyAlignment="1">
      <alignment vertical="center" wrapText="1"/>
    </xf>
    <xf numFmtId="175" fontId="26" fillId="0" borderId="0" xfId="0" applyNumberFormat="1" applyFont="1"/>
    <xf numFmtId="14" fontId="0" fillId="5" borderId="0" xfId="0" applyNumberFormat="1" applyFill="1"/>
    <xf numFmtId="175" fontId="31" fillId="4" borderId="0" xfId="0" applyNumberFormat="1" applyFont="1" applyFill="1"/>
    <xf numFmtId="0" fontId="30" fillId="4" borderId="0" xfId="0" applyFont="1" applyFill="1"/>
    <xf numFmtId="0" fontId="31" fillId="4" borderId="0" xfId="0" applyFont="1" applyFill="1"/>
    <xf numFmtId="0" fontId="30" fillId="0" borderId="0" xfId="0" applyFont="1"/>
    <xf numFmtId="0" fontId="32" fillId="0" borderId="0" xfId="0" applyFont="1" applyAlignment="1">
      <alignment horizontal="center"/>
    </xf>
    <xf numFmtId="175" fontId="31" fillId="0" borderId="0" xfId="0" applyNumberFormat="1" applyFont="1"/>
    <xf numFmtId="0" fontId="2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2" fillId="6" borderId="0" xfId="0" applyFont="1" applyFill="1" applyAlignment="1">
      <alignment horizontal="center"/>
    </xf>
    <xf numFmtId="165" fontId="0" fillId="6" borderId="0" xfId="0" applyNumberFormat="1" applyFill="1"/>
    <xf numFmtId="0" fontId="8" fillId="6" borderId="0" xfId="2" applyFont="1" applyFill="1"/>
    <xf numFmtId="165" fontId="7" fillId="6" borderId="0" xfId="2" applyNumberFormat="1" applyFill="1"/>
    <xf numFmtId="0" fontId="7" fillId="6" borderId="0" xfId="2" applyFill="1"/>
    <xf numFmtId="0" fontId="8" fillId="6" borderId="0" xfId="2" applyFont="1" applyFill="1" applyAlignment="1">
      <alignment horizontal="center"/>
    </xf>
    <xf numFmtId="0" fontId="21" fillId="6" borderId="0" xfId="2" applyFont="1" applyFill="1"/>
    <xf numFmtId="2" fontId="7" fillId="6" borderId="0" xfId="2" applyNumberFormat="1" applyFill="1" applyAlignment="1">
      <alignment horizontal="center"/>
    </xf>
    <xf numFmtId="164" fontId="7" fillId="6" borderId="0" xfId="2" applyNumberFormat="1" applyFill="1" applyAlignment="1">
      <alignment horizontal="center"/>
    </xf>
    <xf numFmtId="164" fontId="7" fillId="0" borderId="0" xfId="2" applyNumberFormat="1"/>
    <xf numFmtId="2" fontId="0" fillId="0" borderId="7" xfId="0" applyNumberFormat="1" applyBorder="1"/>
    <xf numFmtId="2" fontId="2" fillId="0" borderId="7" xfId="0" applyNumberFormat="1" applyFont="1" applyBorder="1"/>
    <xf numFmtId="2" fontId="19" fillId="0" borderId="0" xfId="0" applyNumberFormat="1" applyFont="1" applyAlignment="1">
      <alignment horizontal="center"/>
    </xf>
    <xf numFmtId="10" fontId="3" fillId="0" borderId="0" xfId="1" applyNumberFormat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0" fillId="4" borderId="0" xfId="0" applyFill="1"/>
    <xf numFmtId="169" fontId="0" fillId="0" borderId="0" xfId="0" applyNumberFormat="1"/>
    <xf numFmtId="1" fontId="3" fillId="0" borderId="0" xfId="1" applyNumberFormat="1"/>
    <xf numFmtId="9" fontId="3" fillId="0" borderId="7" xfId="1" applyBorder="1"/>
    <xf numFmtId="1" fontId="3" fillId="0" borderId="7" xfId="1" applyNumberFormat="1" applyBorder="1"/>
    <xf numFmtId="181" fontId="0" fillId="0" borderId="0" xfId="0" applyNumberFormat="1"/>
    <xf numFmtId="4" fontId="0" fillId="0" borderId="0" xfId="0" applyNumberFormat="1"/>
    <xf numFmtId="0" fontId="0" fillId="0" borderId="0" xfId="0" quotePrefix="1"/>
    <xf numFmtId="165" fontId="0" fillId="5" borderId="0" xfId="0" applyNumberFormat="1" applyFill="1"/>
    <xf numFmtId="0" fontId="8" fillId="5" borderId="0" xfId="0" applyFont="1" applyFill="1"/>
    <xf numFmtId="44" fontId="31" fillId="0" borderId="0" xfId="4" applyFont="1" applyFill="1" applyAlignment="1">
      <alignment horizontal="left"/>
    </xf>
    <xf numFmtId="0" fontId="5" fillId="0" borderId="0" xfId="0" applyFont="1" applyAlignment="1">
      <alignment horizontal="centerContinuous"/>
    </xf>
    <xf numFmtId="0" fontId="0" fillId="5" borderId="0" xfId="0" applyFill="1" applyAlignment="1">
      <alignment horizontal="right"/>
    </xf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right"/>
    </xf>
    <xf numFmtId="164" fontId="0" fillId="5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2" fontId="0" fillId="5" borderId="0" xfId="0" applyNumberFormat="1" applyFill="1" applyAlignment="1">
      <alignment horizontal="center" vertical="center" wrapText="1"/>
    </xf>
    <xf numFmtId="2" fontId="0" fillId="5" borderId="0" xfId="0" applyNumberFormat="1" applyFill="1" applyAlignment="1">
      <alignment horizontal="center"/>
    </xf>
    <xf numFmtId="44" fontId="31" fillId="4" borderId="0" xfId="4" applyFont="1" applyFill="1" applyAlignment="1"/>
    <xf numFmtId="44" fontId="31" fillId="0" borderId="0" xfId="4" applyFont="1" applyFill="1" applyAlignment="1"/>
    <xf numFmtId="0" fontId="8" fillId="5" borderId="0" xfId="2" applyFont="1" applyFill="1"/>
    <xf numFmtId="165" fontId="7" fillId="5" borderId="0" xfId="2" applyNumberFormat="1" applyFill="1"/>
    <xf numFmtId="0" fontId="7" fillId="5" borderId="0" xfId="2" applyFill="1"/>
    <xf numFmtId="0" fontId="8" fillId="5" borderId="0" xfId="2" applyFont="1" applyFill="1" applyAlignment="1">
      <alignment horizontal="center"/>
    </xf>
    <xf numFmtId="164" fontId="7" fillId="5" borderId="0" xfId="2" applyNumberFormat="1" applyFill="1" applyAlignment="1">
      <alignment horizontal="center"/>
    </xf>
    <xf numFmtId="165" fontId="7" fillId="5" borderId="0" xfId="2" applyNumberFormat="1" applyFill="1" applyAlignment="1">
      <alignment horizontal="center"/>
    </xf>
    <xf numFmtId="0" fontId="4" fillId="5" borderId="0" xfId="2" applyFont="1" applyFill="1" applyAlignment="1">
      <alignment horizontal="center"/>
    </xf>
    <xf numFmtId="168" fontId="7" fillId="5" borderId="0" xfId="2" applyNumberFormat="1" applyFill="1" applyAlignment="1">
      <alignment horizontal="center"/>
    </xf>
    <xf numFmtId="0" fontId="21" fillId="5" borderId="0" xfId="2" applyFont="1" applyFill="1"/>
    <xf numFmtId="164" fontId="0" fillId="0" borderId="0" xfId="0" applyNumberFormat="1" applyAlignment="1">
      <alignment horizontal="right"/>
    </xf>
    <xf numFmtId="168" fontId="0" fillId="5" borderId="0" xfId="0" applyNumberFormat="1" applyFill="1"/>
    <xf numFmtId="0" fontId="36" fillId="0" borderId="0" xfId="0" applyFont="1" applyAlignment="1">
      <alignment horizontal="center"/>
    </xf>
    <xf numFmtId="10" fontId="19" fillId="0" borderId="0" xfId="0" applyNumberFormat="1" applyFont="1"/>
    <xf numFmtId="10" fontId="19" fillId="0" borderId="0" xfId="1" applyNumberFormat="1" applyFont="1"/>
    <xf numFmtId="2" fontId="0" fillId="0" borderId="1" xfId="0" applyNumberFormat="1" applyBorder="1" applyAlignment="1">
      <alignment horizontal="center"/>
    </xf>
    <xf numFmtId="0" fontId="27" fillId="5" borderId="0" xfId="0" applyFont="1" applyFill="1" applyAlignment="1">
      <alignment horizontal="center"/>
    </xf>
    <xf numFmtId="0" fontId="2" fillId="5" borderId="1" xfId="0" applyFont="1" applyFill="1" applyBorder="1"/>
    <xf numFmtId="179" fontId="0" fillId="5" borderId="0" xfId="0" applyNumberFormat="1" applyFill="1" applyAlignment="1">
      <alignment horizontal="left"/>
    </xf>
    <xf numFmtId="179" fontId="0" fillId="5" borderId="0" xfId="0" applyNumberFormat="1" applyFill="1" applyAlignment="1">
      <alignment horizontal="center"/>
    </xf>
    <xf numFmtId="1" fontId="0" fillId="5" borderId="0" xfId="0" applyNumberFormat="1" applyFill="1"/>
    <xf numFmtId="1" fontId="0" fillId="5" borderId="0" xfId="0" applyNumberFormat="1" applyFill="1" applyAlignment="1">
      <alignment horizontal="right"/>
    </xf>
    <xf numFmtId="179" fontId="9" fillId="5" borderId="0" xfId="0" applyNumberFormat="1" applyFont="1" applyFill="1" applyAlignment="1">
      <alignment horizontal="left"/>
    </xf>
    <xf numFmtId="179" fontId="9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right"/>
    </xf>
    <xf numFmtId="179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right"/>
    </xf>
    <xf numFmtId="164" fontId="0" fillId="5" borderId="1" xfId="0" applyNumberFormat="1" applyFill="1" applyBorder="1"/>
    <xf numFmtId="170" fontId="0" fillId="5" borderId="0" xfId="0" applyNumberFormat="1" applyFill="1"/>
    <xf numFmtId="10" fontId="2" fillId="0" borderId="0" xfId="0" applyNumberFormat="1" applyFont="1"/>
    <xf numFmtId="0" fontId="39" fillId="0" borderId="0" xfId="0" applyFont="1"/>
    <xf numFmtId="0" fontId="17" fillId="0" borderId="8" xfId="0" applyFont="1" applyBorder="1"/>
    <xf numFmtId="0" fontId="16" fillId="0" borderId="6" xfId="0" applyFont="1" applyBorder="1"/>
    <xf numFmtId="0" fontId="16" fillId="0" borderId="5" xfId="0" applyFont="1" applyBorder="1"/>
    <xf numFmtId="182" fontId="16" fillId="0" borderId="9" xfId="0" applyNumberFormat="1" applyFont="1" applyBorder="1"/>
    <xf numFmtId="0" fontId="16" fillId="0" borderId="12" xfId="0" applyFont="1" applyBorder="1"/>
    <xf numFmtId="0" fontId="15" fillId="0" borderId="13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182" fontId="15" fillId="0" borderId="9" xfId="0" applyNumberFormat="1" applyFont="1" applyBorder="1"/>
    <xf numFmtId="172" fontId="15" fillId="0" borderId="9" xfId="0" applyNumberFormat="1" applyFont="1" applyBorder="1"/>
    <xf numFmtId="170" fontId="16" fillId="0" borderId="9" xfId="0" applyNumberFormat="1" applyFont="1" applyBorder="1"/>
    <xf numFmtId="171" fontId="16" fillId="0" borderId="6" xfId="0" applyNumberFormat="1" applyFont="1" applyBorder="1"/>
    <xf numFmtId="0" fontId="18" fillId="0" borderId="7" xfId="0" applyFont="1" applyBorder="1"/>
    <xf numFmtId="41" fontId="15" fillId="0" borderId="9" xfId="0" applyNumberFormat="1" applyFont="1" applyBorder="1"/>
    <xf numFmtId="41" fontId="16" fillId="0" borderId="6" xfId="0" applyNumberFormat="1" applyFont="1" applyBorder="1"/>
    <xf numFmtId="183" fontId="16" fillId="0" borderId="6" xfId="0" applyNumberFormat="1" applyFont="1" applyBorder="1"/>
    <xf numFmtId="0" fontId="17" fillId="0" borderId="3" xfId="0" applyFont="1" applyBorder="1"/>
    <xf numFmtId="169" fontId="5" fillId="0" borderId="0" xfId="1" applyNumberFormat="1" applyFont="1"/>
    <xf numFmtId="164" fontId="0" fillId="0" borderId="1" xfId="0" applyNumberFormat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27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6" borderId="0" xfId="0" applyFont="1" applyFill="1" applyAlignment="1">
      <alignment horizontal="center"/>
    </xf>
    <xf numFmtId="0" fontId="13" fillId="0" borderId="0" xfId="2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/>
    <xf numFmtId="0" fontId="14" fillId="2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75" fontId="31" fillId="4" borderId="0" xfId="0" applyNumberFormat="1" applyFont="1" applyFill="1" applyAlignment="1">
      <alignment horizontal="left"/>
    </xf>
    <xf numFmtId="44" fontId="31" fillId="4" borderId="0" xfId="4" applyFont="1" applyFill="1" applyAlignment="1">
      <alignment horizontal="left"/>
    </xf>
    <xf numFmtId="44" fontId="31" fillId="4" borderId="0" xfId="4" applyFont="1" applyFill="1" applyAlignment="1">
      <alignment horizontal="center"/>
    </xf>
    <xf numFmtId="44" fontId="31" fillId="4" borderId="0" xfId="4" applyFont="1" applyFill="1" applyAlignment="1"/>
    <xf numFmtId="0" fontId="25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6" fillId="3" borderId="15" xfId="0" applyFont="1" applyFill="1" applyBorder="1" applyAlignment="1">
      <alignment horizontal="center"/>
    </xf>
    <xf numFmtId="0" fontId="0" fillId="0" borderId="11" xfId="0" applyBorder="1"/>
    <xf numFmtId="0" fontId="0" fillId="0" borderId="4" xfId="0" applyBorder="1"/>
    <xf numFmtId="0" fontId="16" fillId="3" borderId="16" xfId="0" applyFont="1" applyFill="1" applyBorder="1" applyAlignment="1">
      <alignment horizontal="center"/>
    </xf>
    <xf numFmtId="0" fontId="15" fillId="0" borderId="0" xfId="0" applyFont="1"/>
    <xf numFmtId="0" fontId="0" fillId="0" borderId="9" xfId="0" applyBorder="1"/>
    <xf numFmtId="173" fontId="16" fillId="3" borderId="14" xfId="0" applyNumberFormat="1" applyFont="1" applyFill="1" applyBorder="1" applyAlignment="1">
      <alignment horizontal="center"/>
    </xf>
    <xf numFmtId="0" fontId="0" fillId="0" borderId="6" xfId="0" applyBorder="1"/>
    <xf numFmtId="173" fontId="16" fillId="0" borderId="0" xfId="0" applyNumberFormat="1" applyFont="1" applyAlignment="1">
      <alignment horizontal="left"/>
    </xf>
    <xf numFmtId="17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5">
    <cellStyle name="Comma" xfId="3" builtinId="3"/>
    <cellStyle name="Currency" xfId="4" builtinId="4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'EX9.2.3'!$C$6:$C$56</c:f>
              <c:numCache>
                <c:formatCode>General</c:formatCode>
                <c:ptCount val="51"/>
                <c:pt idx="0" formatCode="0.0">
                  <c:v>30</c:v>
                </c:pt>
                <c:pt idx="1">
                  <c:v>27.7</c:v>
                </c:pt>
                <c:pt idx="2">
                  <c:v>26.2</c:v>
                </c:pt>
                <c:pt idx="3">
                  <c:v>25.8</c:v>
                </c:pt>
                <c:pt idx="4">
                  <c:v>23.8</c:v>
                </c:pt>
                <c:pt idx="5">
                  <c:v>24.8</c:v>
                </c:pt>
                <c:pt idx="6">
                  <c:v>26.2</c:v>
                </c:pt>
                <c:pt idx="7">
                  <c:v>23.9</c:v>
                </c:pt>
                <c:pt idx="8">
                  <c:v>21.8</c:v>
                </c:pt>
                <c:pt idx="9">
                  <c:v>21.5</c:v>
                </c:pt>
                <c:pt idx="10" formatCode="0.0">
                  <c:v>22</c:v>
                </c:pt>
                <c:pt idx="11">
                  <c:v>23.4</c:v>
                </c:pt>
                <c:pt idx="12">
                  <c:v>23.9</c:v>
                </c:pt>
                <c:pt idx="13">
                  <c:v>19.600000000000001</c:v>
                </c:pt>
                <c:pt idx="14">
                  <c:v>22.5</c:v>
                </c:pt>
                <c:pt idx="15">
                  <c:v>22.3</c:v>
                </c:pt>
                <c:pt idx="16">
                  <c:v>19.399999999999999</c:v>
                </c:pt>
                <c:pt idx="17">
                  <c:v>19.899999999999999</c:v>
                </c:pt>
                <c:pt idx="18">
                  <c:v>15.1</c:v>
                </c:pt>
                <c:pt idx="19">
                  <c:v>14.2</c:v>
                </c:pt>
                <c:pt idx="20">
                  <c:v>21.7</c:v>
                </c:pt>
                <c:pt idx="21">
                  <c:v>21.2</c:v>
                </c:pt>
                <c:pt idx="22">
                  <c:v>26.2</c:v>
                </c:pt>
                <c:pt idx="23">
                  <c:v>28.3</c:v>
                </c:pt>
                <c:pt idx="24">
                  <c:v>26.3</c:v>
                </c:pt>
                <c:pt idx="25">
                  <c:v>29.7</c:v>
                </c:pt>
                <c:pt idx="26">
                  <c:v>28.7</c:v>
                </c:pt>
                <c:pt idx="27">
                  <c:v>27.2</c:v>
                </c:pt>
                <c:pt idx="28" formatCode="0.0">
                  <c:v>30</c:v>
                </c:pt>
                <c:pt idx="29" formatCode="0.0">
                  <c:v>24</c:v>
                </c:pt>
                <c:pt idx="30">
                  <c:v>27.6</c:v>
                </c:pt>
                <c:pt idx="31">
                  <c:v>35.4</c:v>
                </c:pt>
                <c:pt idx="32">
                  <c:v>31.6</c:v>
                </c:pt>
                <c:pt idx="33">
                  <c:v>28.3</c:v>
                </c:pt>
                <c:pt idx="34">
                  <c:v>26.8</c:v>
                </c:pt>
                <c:pt idx="35" formatCode="0.0">
                  <c:v>27</c:v>
                </c:pt>
                <c:pt idx="36">
                  <c:v>25.3</c:v>
                </c:pt>
                <c:pt idx="37">
                  <c:v>27.9</c:v>
                </c:pt>
                <c:pt idx="38">
                  <c:v>27.3</c:v>
                </c:pt>
                <c:pt idx="39">
                  <c:v>17.399999999999999</c:v>
                </c:pt>
                <c:pt idx="40" formatCode="0.0">
                  <c:v>12</c:v>
                </c:pt>
                <c:pt idx="41">
                  <c:v>17.600000000000001</c:v>
                </c:pt>
                <c:pt idx="42">
                  <c:v>15.6</c:v>
                </c:pt>
                <c:pt idx="43">
                  <c:v>16.100000000000001</c:v>
                </c:pt>
                <c:pt idx="44">
                  <c:v>27.4</c:v>
                </c:pt>
                <c:pt idx="45">
                  <c:v>26.1</c:v>
                </c:pt>
                <c:pt idx="46" formatCode="0.0">
                  <c:v>25</c:v>
                </c:pt>
                <c:pt idx="47">
                  <c:v>30.3</c:v>
                </c:pt>
                <c:pt idx="48">
                  <c:v>28.9</c:v>
                </c:pt>
                <c:pt idx="49">
                  <c:v>25.7</c:v>
                </c:pt>
                <c:pt idx="50">
                  <c:v>24.4</c:v>
                </c:pt>
              </c:numCache>
            </c:numRef>
          </c:xVal>
          <c:yVal>
            <c:numRef>
              <c:f>'EX9.2.3'!$D$6:$D$56</c:f>
              <c:numCache>
                <c:formatCode>0.0</c:formatCode>
                <c:ptCount val="51"/>
                <c:pt idx="0">
                  <c:v>36.6</c:v>
                </c:pt>
                <c:pt idx="1">
                  <c:v>48.8</c:v>
                </c:pt>
                <c:pt idx="2">
                  <c:v>64.600000000000009</c:v>
                </c:pt>
                <c:pt idx="3">
                  <c:v>54.900000000000006</c:v>
                </c:pt>
                <c:pt idx="4">
                  <c:v>57.3</c:v>
                </c:pt>
                <c:pt idx="5">
                  <c:v>73.2</c:v>
                </c:pt>
                <c:pt idx="6">
                  <c:v>65.900000000000006</c:v>
                </c:pt>
                <c:pt idx="7">
                  <c:v>69.5</c:v>
                </c:pt>
                <c:pt idx="8">
                  <c:v>70.7</c:v>
                </c:pt>
                <c:pt idx="9">
                  <c:v>65.900000000000006</c:v>
                </c:pt>
                <c:pt idx="10">
                  <c:v>75.599999999999994</c:v>
                </c:pt>
                <c:pt idx="11">
                  <c:v>75.599999999999994</c:v>
                </c:pt>
                <c:pt idx="12">
                  <c:v>79.3</c:v>
                </c:pt>
                <c:pt idx="13">
                  <c:v>75.599999999999994</c:v>
                </c:pt>
                <c:pt idx="14">
                  <c:v>69.5</c:v>
                </c:pt>
                <c:pt idx="15">
                  <c:v>76.8</c:v>
                </c:pt>
                <c:pt idx="16">
                  <c:v>70.7</c:v>
                </c:pt>
                <c:pt idx="17">
                  <c:v>52.400000000000006</c:v>
                </c:pt>
                <c:pt idx="18">
                  <c:v>47.599999999999994</c:v>
                </c:pt>
                <c:pt idx="19">
                  <c:v>40.200000000000003</c:v>
                </c:pt>
                <c:pt idx="20">
                  <c:v>58.5</c:v>
                </c:pt>
                <c:pt idx="21">
                  <c:v>64.600000000000009</c:v>
                </c:pt>
                <c:pt idx="22">
                  <c:v>68.300000000000011</c:v>
                </c:pt>
                <c:pt idx="23">
                  <c:v>74.400000000000006</c:v>
                </c:pt>
                <c:pt idx="24">
                  <c:v>62</c:v>
                </c:pt>
                <c:pt idx="25">
                  <c:v>81.699999999999989</c:v>
                </c:pt>
                <c:pt idx="26">
                  <c:v>68.300000000000011</c:v>
                </c:pt>
                <c:pt idx="27">
                  <c:v>70.7</c:v>
                </c:pt>
                <c:pt idx="28">
                  <c:v>61</c:v>
                </c:pt>
                <c:pt idx="29">
                  <c:v>68.300000000000011</c:v>
                </c:pt>
                <c:pt idx="30">
                  <c:v>41.5</c:v>
                </c:pt>
                <c:pt idx="31">
                  <c:v>54.900000000000006</c:v>
                </c:pt>
                <c:pt idx="32">
                  <c:v>51.2</c:v>
                </c:pt>
                <c:pt idx="33">
                  <c:v>69.5</c:v>
                </c:pt>
                <c:pt idx="34">
                  <c:v>79.3</c:v>
                </c:pt>
                <c:pt idx="35">
                  <c:v>69.5</c:v>
                </c:pt>
                <c:pt idx="36">
                  <c:v>69.5</c:v>
                </c:pt>
                <c:pt idx="37">
                  <c:v>62.1</c:v>
                </c:pt>
                <c:pt idx="38">
                  <c:v>54.900000000000006</c:v>
                </c:pt>
                <c:pt idx="39">
                  <c:v>32.9</c:v>
                </c:pt>
                <c:pt idx="40">
                  <c:v>25.6</c:v>
                </c:pt>
                <c:pt idx="41">
                  <c:v>20.7</c:v>
                </c:pt>
                <c:pt idx="42">
                  <c:v>31.7</c:v>
                </c:pt>
                <c:pt idx="43">
                  <c:v>42.699999999999996</c:v>
                </c:pt>
                <c:pt idx="44">
                  <c:v>45.1</c:v>
                </c:pt>
                <c:pt idx="45">
                  <c:v>73.2</c:v>
                </c:pt>
                <c:pt idx="46">
                  <c:v>58.3</c:v>
                </c:pt>
                <c:pt idx="47">
                  <c:v>40.200000000000003</c:v>
                </c:pt>
                <c:pt idx="48">
                  <c:v>52.400000000000006</c:v>
                </c:pt>
                <c:pt idx="49">
                  <c:v>57.3</c:v>
                </c:pt>
                <c:pt idx="50">
                  <c:v>61.5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A-459B-9CB4-23649118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05104"/>
        <c:axId val="2033936304"/>
      </c:scatterChart>
      <c:valAx>
        <c:axId val="2033905104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36304"/>
        <c:crosses val="autoZero"/>
        <c:crossBetween val="midCat"/>
      </c:valAx>
      <c:valAx>
        <c:axId val="20339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0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'EX10.2.1'!$B$5:$B$64</c:f>
              <c:numCache>
                <c:formatCode>0.000</c:formatCode>
                <c:ptCount val="60"/>
                <c:pt idx="0">
                  <c:v>0.117586485</c:v>
                </c:pt>
                <c:pt idx="1">
                  <c:v>6.8241819999999998E-3</c:v>
                </c:pt>
                <c:pt idx="2">
                  <c:v>-0.14639169799999999</c:v>
                </c:pt>
                <c:pt idx="3">
                  <c:v>0.29974835700000002</c:v>
                </c:pt>
                <c:pt idx="4">
                  <c:v>0.31348680099999998</c:v>
                </c:pt>
                <c:pt idx="5">
                  <c:v>0.27756297099999999</c:v>
                </c:pt>
                <c:pt idx="6">
                  <c:v>-2.0673421000000001E-2</c:v>
                </c:pt>
                <c:pt idx="7">
                  <c:v>0.319342232</c:v>
                </c:pt>
                <c:pt idx="8">
                  <c:v>0.11660581</c:v>
                </c:pt>
                <c:pt idx="9">
                  <c:v>-2.2183410000000001E-2</c:v>
                </c:pt>
                <c:pt idx="10">
                  <c:v>-0.29067029900000002</c:v>
                </c:pt>
                <c:pt idx="11">
                  <c:v>0.15697865499999999</c:v>
                </c:pt>
                <c:pt idx="12">
                  <c:v>0.39658987299999998</c:v>
                </c:pt>
                <c:pt idx="13">
                  <c:v>0.43457290199999998</c:v>
                </c:pt>
                <c:pt idx="14">
                  <c:v>-0.25434117099999998</c:v>
                </c:pt>
                <c:pt idx="15">
                  <c:v>-0.16169873200000001</c:v>
                </c:pt>
                <c:pt idx="16">
                  <c:v>0.36522408299999998</c:v>
                </c:pt>
                <c:pt idx="17">
                  <c:v>-0.22451317000000001</c:v>
                </c:pt>
                <c:pt idx="18">
                  <c:v>0.192953454</c:v>
                </c:pt>
                <c:pt idx="19">
                  <c:v>0.13466734599999999</c:v>
                </c:pt>
                <c:pt idx="20">
                  <c:v>0.10101940099999999</c:v>
                </c:pt>
                <c:pt idx="21">
                  <c:v>-8.4352969E-2</c:v>
                </c:pt>
                <c:pt idx="22">
                  <c:v>-0.202686475</c:v>
                </c:pt>
                <c:pt idx="23">
                  <c:v>0.36757846599999999</c:v>
                </c:pt>
                <c:pt idx="24">
                  <c:v>-0.29671025400000001</c:v>
                </c:pt>
                <c:pt idx="25">
                  <c:v>0.59021893700000005</c:v>
                </c:pt>
                <c:pt idx="26">
                  <c:v>-0.13263935399999999</c:v>
                </c:pt>
                <c:pt idx="27">
                  <c:v>-1.3244495E-2</c:v>
                </c:pt>
                <c:pt idx="28">
                  <c:v>-6.0763892999999999E-2</c:v>
                </c:pt>
                <c:pt idx="29">
                  <c:v>0.20468884600000001</c:v>
                </c:pt>
                <c:pt idx="30">
                  <c:v>0.19045624899999999</c:v>
                </c:pt>
                <c:pt idx="31">
                  <c:v>-0.31248391199999997</c:v>
                </c:pt>
                <c:pt idx="32">
                  <c:v>-5.3498503000000003E-2</c:v>
                </c:pt>
                <c:pt idx="33">
                  <c:v>9.1400445999999996E-2</c:v>
                </c:pt>
                <c:pt idx="34">
                  <c:v>-0.30026227</c:v>
                </c:pt>
                <c:pt idx="35">
                  <c:v>0.268354221</c:v>
                </c:pt>
                <c:pt idx="36">
                  <c:v>0.356623144</c:v>
                </c:pt>
                <c:pt idx="37">
                  <c:v>0.18043472099999999</c:v>
                </c:pt>
                <c:pt idx="38">
                  <c:v>7.3504081999999998E-2</c:v>
                </c:pt>
                <c:pt idx="39">
                  <c:v>-5.5073361000000001E-2</c:v>
                </c:pt>
                <c:pt idx="40">
                  <c:v>0.49659418799999999</c:v>
                </c:pt>
                <c:pt idx="41">
                  <c:v>0.11878820700000001</c:v>
                </c:pt>
                <c:pt idx="42">
                  <c:v>8.3840690999999995E-2</c:v>
                </c:pt>
                <c:pt idx="43">
                  <c:v>0.19940633899999999</c:v>
                </c:pt>
                <c:pt idx="44">
                  <c:v>0.324580857</c:v>
                </c:pt>
                <c:pt idx="45">
                  <c:v>-0.46380985299999999</c:v>
                </c:pt>
                <c:pt idx="46">
                  <c:v>-1.5139067000000001E-2</c:v>
                </c:pt>
                <c:pt idx="47">
                  <c:v>-6.4932987999999997E-2</c:v>
                </c:pt>
                <c:pt idx="48">
                  <c:v>2.692611E-2</c:v>
                </c:pt>
                <c:pt idx="49">
                  <c:v>0.39013889600000001</c:v>
                </c:pt>
                <c:pt idx="50">
                  <c:v>0.18171194299999999</c:v>
                </c:pt>
                <c:pt idx="51">
                  <c:v>-5.8170200999999998E-2</c:v>
                </c:pt>
                <c:pt idx="52">
                  <c:v>-0.192837751</c:v>
                </c:pt>
                <c:pt idx="53">
                  <c:v>0.44183393100000001</c:v>
                </c:pt>
                <c:pt idx="54">
                  <c:v>0.617778139</c:v>
                </c:pt>
                <c:pt idx="55">
                  <c:v>0.51247905100000002</c:v>
                </c:pt>
                <c:pt idx="56">
                  <c:v>0.18111939499999999</c:v>
                </c:pt>
                <c:pt idx="57">
                  <c:v>-1.8631393E-2</c:v>
                </c:pt>
                <c:pt idx="58">
                  <c:v>0.47176059799999998</c:v>
                </c:pt>
                <c:pt idx="59">
                  <c:v>-0.15767136800000001</c:v>
                </c:pt>
              </c:numCache>
            </c:numRef>
          </c:xVal>
          <c:yVal>
            <c:numRef>
              <c:f>'EX10.2.1'!$C$5:$C$64</c:f>
              <c:numCache>
                <c:formatCode>0.000</c:formatCode>
                <c:ptCount val="60"/>
                <c:pt idx="0">
                  <c:v>0.10369608600000001</c:v>
                </c:pt>
                <c:pt idx="1">
                  <c:v>0.40329940199999997</c:v>
                </c:pt>
                <c:pt idx="2">
                  <c:v>0.62387681800000006</c:v>
                </c:pt>
                <c:pt idx="3">
                  <c:v>3.0552741000000001E-2</c:v>
                </c:pt>
                <c:pt idx="4">
                  <c:v>0.221439529</c:v>
                </c:pt>
                <c:pt idx="5">
                  <c:v>-0.13290755000000001</c:v>
                </c:pt>
                <c:pt idx="6">
                  <c:v>-0.210354233</c:v>
                </c:pt>
                <c:pt idx="7">
                  <c:v>9.3193076999999999E-2</c:v>
                </c:pt>
                <c:pt idx="8">
                  <c:v>9.1658452000000001E-2</c:v>
                </c:pt>
                <c:pt idx="9">
                  <c:v>0.46275893200000001</c:v>
                </c:pt>
                <c:pt idx="10">
                  <c:v>0.61356153700000005</c:v>
                </c:pt>
                <c:pt idx="11">
                  <c:v>-3.9048933000000001E-2</c:v>
                </c:pt>
                <c:pt idx="12">
                  <c:v>-0.21863875099999999</c:v>
                </c:pt>
                <c:pt idx="13">
                  <c:v>-0.41991041699999998</c:v>
                </c:pt>
                <c:pt idx="14">
                  <c:v>0.76978298999999994</c:v>
                </c:pt>
                <c:pt idx="15">
                  <c:v>0.63322589600000001</c:v>
                </c:pt>
                <c:pt idx="16">
                  <c:v>-0.18041431099999999</c:v>
                </c:pt>
                <c:pt idx="17">
                  <c:v>0.47018422399999998</c:v>
                </c:pt>
                <c:pt idx="18">
                  <c:v>-6.8234647999999995E-2</c:v>
                </c:pt>
                <c:pt idx="19">
                  <c:v>1.8155261999999998E-2</c:v>
                </c:pt>
                <c:pt idx="20">
                  <c:v>-5.3513907999999999E-2</c:v>
                </c:pt>
                <c:pt idx="21">
                  <c:v>0.33278632400000002</c:v>
                </c:pt>
                <c:pt idx="22">
                  <c:v>0.43628544699999999</c:v>
                </c:pt>
                <c:pt idx="23">
                  <c:v>-0.40374377099999997</c:v>
                </c:pt>
                <c:pt idx="24">
                  <c:v>0.52933676299999999</c:v>
                </c:pt>
                <c:pt idx="25">
                  <c:v>9.3243874000000004E-2</c:v>
                </c:pt>
                <c:pt idx="26">
                  <c:v>0.17079849699999999</c:v>
                </c:pt>
                <c:pt idx="27">
                  <c:v>0.57829021999999997</c:v>
                </c:pt>
                <c:pt idx="28">
                  <c:v>0.25525890299999998</c:v>
                </c:pt>
                <c:pt idx="29">
                  <c:v>1.5718797E-2</c:v>
                </c:pt>
                <c:pt idx="30">
                  <c:v>-0.14595819500000001</c:v>
                </c:pt>
                <c:pt idx="31">
                  <c:v>0.50294087099999996</c:v>
                </c:pt>
                <c:pt idx="32">
                  <c:v>0.619292077</c:v>
                </c:pt>
                <c:pt idx="33">
                  <c:v>-5.4211720000000001E-3</c:v>
                </c:pt>
                <c:pt idx="34">
                  <c:v>0.175109616</c:v>
                </c:pt>
                <c:pt idx="35">
                  <c:v>-0.14470369499999999</c:v>
                </c:pt>
                <c:pt idx="36">
                  <c:v>-0.204985536</c:v>
                </c:pt>
                <c:pt idx="37">
                  <c:v>0.233082175</c:v>
                </c:pt>
                <c:pt idx="38">
                  <c:v>3.4168245E-2</c:v>
                </c:pt>
                <c:pt idx="39">
                  <c:v>0.23506360800000001</c:v>
                </c:pt>
                <c:pt idx="40">
                  <c:v>0.148712029</c:v>
                </c:pt>
                <c:pt idx="41">
                  <c:v>0.18020557700000001</c:v>
                </c:pt>
                <c:pt idx="42">
                  <c:v>0.34484469499999998</c:v>
                </c:pt>
                <c:pt idx="43">
                  <c:v>1.3524311000000001E-2</c:v>
                </c:pt>
                <c:pt idx="44">
                  <c:v>-2.2814109999999999E-2</c:v>
                </c:pt>
                <c:pt idx="45">
                  <c:v>0.79171014399999995</c:v>
                </c:pt>
                <c:pt idx="46">
                  <c:v>0.16857073</c:v>
                </c:pt>
                <c:pt idx="47">
                  <c:v>0.453739962</c:v>
                </c:pt>
                <c:pt idx="48">
                  <c:v>0.214082458</c:v>
                </c:pt>
                <c:pt idx="49">
                  <c:v>-0.138253283</c:v>
                </c:pt>
                <c:pt idx="50">
                  <c:v>0.31058307000000002</c:v>
                </c:pt>
                <c:pt idx="51">
                  <c:v>8.1931592999999997E-2</c:v>
                </c:pt>
                <c:pt idx="52">
                  <c:v>0.52882361499999997</c:v>
                </c:pt>
                <c:pt idx="53">
                  <c:v>-0.21393094800000001</c:v>
                </c:pt>
                <c:pt idx="54">
                  <c:v>-0.33543939</c:v>
                </c:pt>
                <c:pt idx="55">
                  <c:v>-0.25898987000000001</c:v>
                </c:pt>
                <c:pt idx="56">
                  <c:v>-4.9110372999999999E-2</c:v>
                </c:pt>
                <c:pt idx="57">
                  <c:v>0.30488451300000002</c:v>
                </c:pt>
                <c:pt idx="58">
                  <c:v>-0.28394094199999997</c:v>
                </c:pt>
                <c:pt idx="59">
                  <c:v>0.241940979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5-4901-BC36-C949C003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323343"/>
        <c:axId val="2124325007"/>
      </c:scatterChart>
      <c:valAx>
        <c:axId val="212432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Fund</a:t>
                </a:r>
              </a:p>
            </c:rich>
          </c:tx>
          <c:layout>
            <c:manualLayout>
              <c:xMode val="edge"/>
              <c:yMode val="edge"/>
              <c:x val="0.28598972003499562"/>
              <c:y val="0.87974518810148727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5007"/>
        <c:crosses val="autoZero"/>
        <c:crossBetween val="midCat"/>
      </c:valAx>
      <c:valAx>
        <c:axId val="2124325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Stock A</a:t>
                </a:r>
              </a:p>
            </c:rich>
          </c:tx>
          <c:layout>
            <c:manualLayout>
              <c:xMode val="edge"/>
              <c:yMode val="edge"/>
              <c:x val="1.9444444444444441E-2"/>
              <c:y val="0.3591433362496355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334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'EX10-Vol&amp;Corr'!$B$10:$B$23</c:f>
              <c:numCache>
                <c:formatCode>General</c:formatCode>
                <c:ptCount val="14"/>
                <c:pt idx="0">
                  <c:v>-0.30000000000000004</c:v>
                </c:pt>
                <c:pt idx="1">
                  <c:v>-0.19999999999999996</c:v>
                </c:pt>
                <c:pt idx="2">
                  <c:v>-9.9999999999999867E-2</c:v>
                </c:pt>
                <c:pt idx="3">
                  <c:v>0</c:v>
                </c:pt>
                <c:pt idx="4">
                  <c:v>0.10000000000000009</c:v>
                </c:pt>
                <c:pt idx="5">
                  <c:v>0.20000000000000007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</c:numCache>
            </c:numRef>
          </c:xVal>
          <c:yVal>
            <c:numRef>
              <c:f>'EX10-Vol&amp;Corr'!$D$10:$D$23</c:f>
              <c:numCache>
                <c:formatCode>0.000</c:formatCode>
                <c:ptCount val="14"/>
                <c:pt idx="0">
                  <c:v>0.26649577857819812</c:v>
                </c:pt>
                <c:pt idx="1">
                  <c:v>0.24149534156997729</c:v>
                </c:pt>
                <c:pt idx="2">
                  <c:v>0.21904337470008078</c:v>
                </c:pt>
                <c:pt idx="3">
                  <c:v>0.19999999999999998</c:v>
                </c:pt>
                <c:pt idx="4">
                  <c:v>0.18541844568434931</c:v>
                </c:pt>
                <c:pt idx="5">
                  <c:v>0.17640861656959958</c:v>
                </c:pt>
                <c:pt idx="6">
                  <c:v>0.17383900597967072</c:v>
                </c:pt>
                <c:pt idx="7">
                  <c:v>0.1779887636902959</c:v>
                </c:pt>
                <c:pt idx="8">
                  <c:v>0.18841443681416772</c:v>
                </c:pt>
                <c:pt idx="9">
                  <c:v>0.20415680248279752</c:v>
                </c:pt>
                <c:pt idx="10">
                  <c:v>0.22409819276379717</c:v>
                </c:pt>
                <c:pt idx="11">
                  <c:v>0.2472245942457991</c:v>
                </c:pt>
                <c:pt idx="12">
                  <c:v>0.27272696969680132</c:v>
                </c:pt>
                <c:pt idx="13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F-42B0-975B-BE81A0D88ADE}"/>
            </c:ext>
          </c:extLst>
        </c:ser>
        <c:ser>
          <c:idx val="1"/>
          <c:order val="1"/>
          <c:tx>
            <c:v>100% in Fund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388888888888894E-2"/>
                  <c:y val="5.17038777908343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7E-4E13-8BB0-B8E5B88F8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'EX10-Vol&amp;Corr'!$B$13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'EX10-Vol&amp;Corr'!$D$13</c:f>
              <c:numCache>
                <c:formatCode>0.000</c:formatCode>
                <c:ptCount val="1"/>
                <c:pt idx="0">
                  <c:v>0.19999999999999998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F-42B0-975B-BE81A0D88ADE}"/>
            </c:ext>
          </c:extLst>
        </c:ser>
        <c:ser>
          <c:idx val="2"/>
          <c:order val="2"/>
          <c:tx>
            <c:v>100% in 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'EX10-Vol&amp;Corr'!$B$23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'EX10-Vol&amp;Corr'!$D$23</c:f>
              <c:numCache>
                <c:formatCode>0.000</c:formatCode>
                <c:ptCount val="1"/>
                <c:pt idx="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BF-42B0-975B-BE81A0D88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3232143"/>
        <c:axId val="163234063"/>
      </c:scatterChart>
      <c:valAx>
        <c:axId val="1632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in Stock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4063"/>
        <c:crosses val="autoZero"/>
        <c:crossBetween val="midCat"/>
      </c:valAx>
      <c:valAx>
        <c:axId val="163234063"/>
        <c:scaling>
          <c:orientation val="minMax"/>
          <c:max val="0.6500000000000001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'EX11-Efficient Frontier'!$F$16:$F$26</c:f>
              <c:numCache>
                <c:formatCode>0.00</c:formatCode>
                <c:ptCount val="11"/>
                <c:pt idx="0">
                  <c:v>0.739141568073721</c:v>
                </c:pt>
                <c:pt idx="1">
                  <c:v>0.44345236497283447</c:v>
                </c:pt>
                <c:pt idx="2">
                  <c:v>0.66264448765538042</c:v>
                </c:pt>
                <c:pt idx="3">
                  <c:v>1.5427364145472933</c:v>
                </c:pt>
                <c:pt idx="4">
                  <c:v>0.67596268200772736</c:v>
                </c:pt>
                <c:pt idx="5">
                  <c:v>0.66406865229031209</c:v>
                </c:pt>
                <c:pt idx="6">
                  <c:v>0.41644357848256097</c:v>
                </c:pt>
                <c:pt idx="7">
                  <c:v>0.56718731129149758</c:v>
                </c:pt>
                <c:pt idx="8">
                  <c:v>0.59981194687589567</c:v>
                </c:pt>
                <c:pt idx="9">
                  <c:v>0.90607486863193609</c:v>
                </c:pt>
              </c:numCache>
            </c:numRef>
          </c:xVal>
          <c:yVal>
            <c:numRef>
              <c:f>'EX11-Efficient Frontier'!$E$16:$E$26</c:f>
              <c:numCache>
                <c:formatCode>0.00</c:formatCode>
                <c:ptCount val="11"/>
                <c:pt idx="0">
                  <c:v>0.19134198199999997</c:v>
                </c:pt>
                <c:pt idx="1">
                  <c:v>0.10100000000000001</c:v>
                </c:pt>
                <c:pt idx="2">
                  <c:v>8.9413270163349809E-2</c:v>
                </c:pt>
                <c:pt idx="3">
                  <c:v>2.3947725113248053E-3</c:v>
                </c:pt>
                <c:pt idx="4">
                  <c:v>0.10454626155667938</c:v>
                </c:pt>
                <c:pt idx="5">
                  <c:v>0.11861405275529251</c:v>
                </c:pt>
                <c:pt idx="6">
                  <c:v>9.193141088151606E-2</c:v>
                </c:pt>
                <c:pt idx="7">
                  <c:v>0.17049344953382387</c:v>
                </c:pt>
                <c:pt idx="8">
                  <c:v>6.6906732374336558E-2</c:v>
                </c:pt>
                <c:pt idx="9">
                  <c:v>3.6673718770616703E-2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B-4B59-9EC5-792863B3A80F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'EX11-Efficient Frontier'!$F$30:$F$40</c:f>
              <c:numCache>
                <c:formatCode>0.00</c:formatCode>
                <c:ptCount val="11"/>
                <c:pt idx="0">
                  <c:v>0.45518826778249344</c:v>
                </c:pt>
                <c:pt idx="1">
                  <c:v>0.3290085375425929</c:v>
                </c:pt>
                <c:pt idx="2">
                  <c:v>0.21344696286312323</c:v>
                </c:pt>
                <c:pt idx="3">
                  <c:v>0.13833218187719806</c:v>
                </c:pt>
                <c:pt idx="4">
                  <c:v>0.13489209144555622</c:v>
                </c:pt>
                <c:pt idx="5">
                  <c:v>0.15203728178199077</c:v>
                </c:pt>
                <c:pt idx="6">
                  <c:v>0.30375654930211271</c:v>
                </c:pt>
                <c:pt idx="7">
                  <c:v>0.42860057583758548</c:v>
                </c:pt>
                <c:pt idx="8">
                  <c:v>0.55802486771327764</c:v>
                </c:pt>
                <c:pt idx="9">
                  <c:v>1.155320223828924</c:v>
                </c:pt>
              </c:numCache>
            </c:numRef>
          </c:xVal>
          <c:yVal>
            <c:numRef>
              <c:f>'EX11-Efficient Frontier'!$E$30:$E$40</c:f>
              <c:numCache>
                <c:formatCode>0.00</c:formatCode>
                <c:ptCount val="11"/>
                <c:pt idx="0">
                  <c:v>3.5000000070248047E-2</c:v>
                </c:pt>
                <c:pt idx="1">
                  <c:v>5.4999999874493603E-2</c:v>
                </c:pt>
                <c:pt idx="2">
                  <c:v>7.5000069865044136E-2</c:v>
                </c:pt>
                <c:pt idx="3">
                  <c:v>9.4999999980863614E-2</c:v>
                </c:pt>
                <c:pt idx="4">
                  <c:v>0.10000000000001921</c:v>
                </c:pt>
                <c:pt idx="5">
                  <c:v>0.10999999999999759</c:v>
                </c:pt>
                <c:pt idx="6">
                  <c:v>0.13999999999999527</c:v>
                </c:pt>
                <c:pt idx="7">
                  <c:v>0.16000000000001013</c:v>
                </c:pt>
                <c:pt idx="8">
                  <c:v>0.17999999999998698</c:v>
                </c:pt>
                <c:pt idx="9">
                  <c:v>0.27000000000001223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B-4B59-9EC5-792863B3A80F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'EX11-Efficient Frontier'!$E$48:$E$49</c:f>
              <c:numCache>
                <c:formatCode>General</c:formatCode>
                <c:ptCount val="2"/>
                <c:pt idx="0">
                  <c:v>0</c:v>
                </c:pt>
                <c:pt idx="1">
                  <c:v>0.65</c:v>
                </c:pt>
              </c:numCache>
            </c:numRef>
          </c:xVal>
          <c:yVal>
            <c:numRef>
              <c:f>'EX11-Efficient Frontier'!$F$48:$F$49</c:f>
              <c:numCache>
                <c:formatCode>0.000</c:formatCode>
                <c:ptCount val="2"/>
                <c:pt idx="0">
                  <c:v>0.05</c:v>
                </c:pt>
                <c:pt idx="1">
                  <c:v>0.30770060799382892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5B-4B59-9EC5-792863B3A80F}"/>
            </c:ext>
          </c:extLst>
        </c:ser>
        <c:ser>
          <c:idx val="3"/>
          <c:order val="3"/>
          <c:spPr>
            <a:ln w="28575">
              <a:noFill/>
              <a:prstDash val="solid"/>
            </a:ln>
          </c:spPr>
          <c:marker>
            <c:symbol val="circle"/>
            <c:size val="8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xVal>
            <c:numRef>
              <c:f>'EX11-Efficient Frontier'!$F$45</c:f>
              <c:numCache>
                <c:formatCode>0.000</c:formatCode>
                <c:ptCount val="1"/>
                <c:pt idx="0">
                  <c:v>0.14545482006573032</c:v>
                </c:pt>
              </c:numCache>
            </c:numRef>
          </c:xVal>
          <c:yVal>
            <c:numRef>
              <c:f>'EX11-Efficient Frontier'!$E$45</c:f>
              <c:numCache>
                <c:formatCode>0.000</c:formatCode>
                <c:ptCount val="1"/>
                <c:pt idx="0">
                  <c:v>0.10766737779472568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5B-4B59-9EC5-792863B3A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64160"/>
        <c:axId val="632304384"/>
      </c:scatterChart>
      <c:valAx>
        <c:axId val="48426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32304384"/>
        <c:crosses val="autoZero"/>
        <c:crossBetween val="midCat"/>
      </c:valAx>
      <c:valAx>
        <c:axId val="6323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84264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Random Portfolios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'EX11-Efficient Frontier'!$F$16:$F$26</c:f>
              <c:numCache>
                <c:formatCode>0.00</c:formatCode>
                <c:ptCount val="11"/>
                <c:pt idx="0">
                  <c:v>0.739141568073721</c:v>
                </c:pt>
                <c:pt idx="1">
                  <c:v>0.44345236497283447</c:v>
                </c:pt>
                <c:pt idx="2">
                  <c:v>0.66264448765538042</c:v>
                </c:pt>
                <c:pt idx="3">
                  <c:v>1.5427364145472933</c:v>
                </c:pt>
                <c:pt idx="4">
                  <c:v>0.67596268200772736</c:v>
                </c:pt>
                <c:pt idx="5">
                  <c:v>0.66406865229031209</c:v>
                </c:pt>
                <c:pt idx="6">
                  <c:v>0.41644357848256097</c:v>
                </c:pt>
                <c:pt idx="7">
                  <c:v>0.56718731129149758</c:v>
                </c:pt>
                <c:pt idx="8">
                  <c:v>0.59981194687589567</c:v>
                </c:pt>
                <c:pt idx="9">
                  <c:v>0.90607486863193609</c:v>
                </c:pt>
              </c:numCache>
            </c:numRef>
          </c:xVal>
          <c:yVal>
            <c:numRef>
              <c:f>'EX11-Efficient Frontier'!$E$16:$E$26</c:f>
              <c:numCache>
                <c:formatCode>0.00</c:formatCode>
                <c:ptCount val="11"/>
                <c:pt idx="0">
                  <c:v>0.19134198199999997</c:v>
                </c:pt>
                <c:pt idx="1">
                  <c:v>0.10100000000000001</c:v>
                </c:pt>
                <c:pt idx="2">
                  <c:v>8.9413270163349809E-2</c:v>
                </c:pt>
                <c:pt idx="3">
                  <c:v>2.3947725113248053E-3</c:v>
                </c:pt>
                <c:pt idx="4">
                  <c:v>0.10454626155667938</c:v>
                </c:pt>
                <c:pt idx="5">
                  <c:v>0.11861405275529251</c:v>
                </c:pt>
                <c:pt idx="6">
                  <c:v>9.193141088151606E-2</c:v>
                </c:pt>
                <c:pt idx="7">
                  <c:v>0.17049344953382387</c:v>
                </c:pt>
                <c:pt idx="8">
                  <c:v>6.6906732374336558E-2</c:v>
                </c:pt>
                <c:pt idx="9">
                  <c:v>3.6673718770616703E-2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5-4598-888E-8A75C952B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64160"/>
        <c:axId val="632304384"/>
      </c:scatterChart>
      <c:valAx>
        <c:axId val="48426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32304384"/>
        <c:crosses val="autoZero"/>
        <c:crossBetween val="midCat"/>
      </c:valAx>
      <c:valAx>
        <c:axId val="6323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84264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'EX26.2.1'!$A$4:$A$64</c:f>
              <c:numCache>
                <c:formatCode>General</c:formatCode>
                <c:ptCount val="6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</c:numCache>
            </c:numRef>
          </c:xVal>
          <c:yVal>
            <c:numRef>
              <c:f>'EX26.2.1'!$F$4:$F$64</c:f>
              <c:numCache>
                <c:formatCode>General</c:formatCode>
                <c:ptCount val="61"/>
                <c:pt idx="0">
                  <c:v>-7.9649999999999999</c:v>
                </c:pt>
                <c:pt idx="1">
                  <c:v>-7.9649999999999999</c:v>
                </c:pt>
                <c:pt idx="2">
                  <c:v>-7.9649999999999999</c:v>
                </c:pt>
                <c:pt idx="3">
                  <c:v>-7.9649999999999999</c:v>
                </c:pt>
                <c:pt idx="4">
                  <c:v>-7.9649999999999999</c:v>
                </c:pt>
                <c:pt idx="5">
                  <c:v>-7.9649999999999999</c:v>
                </c:pt>
                <c:pt idx="6">
                  <c:v>-7.9649999999999999</c:v>
                </c:pt>
                <c:pt idx="7">
                  <c:v>-7.9649999999999999</c:v>
                </c:pt>
                <c:pt idx="8">
                  <c:v>-7.9649999999999999</c:v>
                </c:pt>
                <c:pt idx="9">
                  <c:v>-7.9649999999999999</c:v>
                </c:pt>
                <c:pt idx="10">
                  <c:v>-7.9649999999999999</c:v>
                </c:pt>
                <c:pt idx="11">
                  <c:v>-6.9649999999999999</c:v>
                </c:pt>
                <c:pt idx="12">
                  <c:v>-5.9649999999999999</c:v>
                </c:pt>
                <c:pt idx="13">
                  <c:v>-4.9649999999999999</c:v>
                </c:pt>
                <c:pt idx="14">
                  <c:v>-3.9649999999999999</c:v>
                </c:pt>
                <c:pt idx="15">
                  <c:v>-2.9649999999999999</c:v>
                </c:pt>
                <c:pt idx="16">
                  <c:v>-1.9649999999999999</c:v>
                </c:pt>
                <c:pt idx="17">
                  <c:v>-0.96499999999999986</c:v>
                </c:pt>
                <c:pt idx="18">
                  <c:v>3.5000000000000142E-2</c:v>
                </c:pt>
                <c:pt idx="19">
                  <c:v>1.0350000000000001</c:v>
                </c:pt>
                <c:pt idx="20">
                  <c:v>2.0350000000000001</c:v>
                </c:pt>
                <c:pt idx="21">
                  <c:v>3.0350000000000001</c:v>
                </c:pt>
                <c:pt idx="22">
                  <c:v>4.0350000000000001</c:v>
                </c:pt>
                <c:pt idx="23">
                  <c:v>5.0350000000000001</c:v>
                </c:pt>
                <c:pt idx="24">
                  <c:v>6.0350000000000001</c:v>
                </c:pt>
                <c:pt idx="25">
                  <c:v>7.0350000000000001</c:v>
                </c:pt>
                <c:pt idx="26">
                  <c:v>8.0350000000000001</c:v>
                </c:pt>
                <c:pt idx="27">
                  <c:v>9.0350000000000001</c:v>
                </c:pt>
                <c:pt idx="28">
                  <c:v>10.035</c:v>
                </c:pt>
                <c:pt idx="29">
                  <c:v>11.035</c:v>
                </c:pt>
                <c:pt idx="30">
                  <c:v>12.035</c:v>
                </c:pt>
                <c:pt idx="31">
                  <c:v>11.035</c:v>
                </c:pt>
                <c:pt idx="32">
                  <c:v>10.035</c:v>
                </c:pt>
                <c:pt idx="33">
                  <c:v>9.0350000000000001</c:v>
                </c:pt>
                <c:pt idx="34">
                  <c:v>8.0350000000000001</c:v>
                </c:pt>
                <c:pt idx="35">
                  <c:v>7.0350000000000001</c:v>
                </c:pt>
                <c:pt idx="36">
                  <c:v>6.0350000000000001</c:v>
                </c:pt>
                <c:pt idx="37">
                  <c:v>5.0350000000000001</c:v>
                </c:pt>
                <c:pt idx="38">
                  <c:v>4.0349999999999984</c:v>
                </c:pt>
                <c:pt idx="39">
                  <c:v>3.0349999999999984</c:v>
                </c:pt>
                <c:pt idx="40">
                  <c:v>2.0349999999999966</c:v>
                </c:pt>
                <c:pt idx="41">
                  <c:v>1.0349999999999966</c:v>
                </c:pt>
                <c:pt idx="42">
                  <c:v>3.4999999999996589E-2</c:v>
                </c:pt>
                <c:pt idx="43">
                  <c:v>-0.96500000000000341</c:v>
                </c:pt>
                <c:pt idx="44">
                  <c:v>-1.9650000000000034</c:v>
                </c:pt>
                <c:pt idx="45">
                  <c:v>-2.9650000000000034</c:v>
                </c:pt>
                <c:pt idx="46">
                  <c:v>-3.9650000000000034</c:v>
                </c:pt>
                <c:pt idx="47">
                  <c:v>-4.9650000000000034</c:v>
                </c:pt>
                <c:pt idx="48">
                  <c:v>-5.9650000000000034</c:v>
                </c:pt>
                <c:pt idx="49">
                  <c:v>-6.9650000000000034</c:v>
                </c:pt>
                <c:pt idx="50">
                  <c:v>-7.9650000000000034</c:v>
                </c:pt>
                <c:pt idx="51">
                  <c:v>-7.9650000000000034</c:v>
                </c:pt>
                <c:pt idx="52">
                  <c:v>-7.9650000000000034</c:v>
                </c:pt>
                <c:pt idx="53">
                  <c:v>-7.9650000000000034</c:v>
                </c:pt>
                <c:pt idx="54">
                  <c:v>-7.9650000000000034</c:v>
                </c:pt>
                <c:pt idx="55">
                  <c:v>-7.9650000000000034</c:v>
                </c:pt>
                <c:pt idx="56">
                  <c:v>-7.9650000000000034</c:v>
                </c:pt>
                <c:pt idx="57">
                  <c:v>-7.9650000000000034</c:v>
                </c:pt>
                <c:pt idx="58">
                  <c:v>-7.9650000000000034</c:v>
                </c:pt>
                <c:pt idx="59">
                  <c:v>-7.9650000000000034</c:v>
                </c:pt>
                <c:pt idx="60">
                  <c:v>-7.9650000000000034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7-4D36-863B-91D15356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533976"/>
        <c:axId val="397401720"/>
      </c:scatterChart>
      <c:valAx>
        <c:axId val="540533976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01720"/>
        <c:crosses val="autoZero"/>
        <c:crossBetween val="midCat"/>
      </c:valAx>
      <c:valAx>
        <c:axId val="39740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339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8</xdr:row>
      <xdr:rowOff>157162</xdr:rowOff>
    </xdr:from>
    <xdr:to>
      <xdr:col>16</xdr:col>
      <xdr:colOff>142875</xdr:colOff>
      <xdr:row>23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C8CC6-CE49-0321-3A66-F3AA0A0C4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11</xdr:row>
      <xdr:rowOff>123825</xdr:rowOff>
    </xdr:from>
    <xdr:to>
      <xdr:col>13</xdr:col>
      <xdr:colOff>495300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301625</xdr:colOff>
      <xdr:row>6</xdr:row>
      <xdr:rowOff>19050</xdr:rowOff>
    </xdr:from>
    <xdr:to>
      <xdr:col>13</xdr:col>
      <xdr:colOff>606425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C0813-1B71-47BC-82A8-310D6EE23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438150</xdr:colOff>
      <xdr:row>18</xdr:row>
      <xdr:rowOff>90487</xdr:rowOff>
    </xdr:from>
    <xdr:to>
      <xdr:col>23</xdr:col>
      <xdr:colOff>238125</xdr:colOff>
      <xdr:row>33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18</xdr:row>
      <xdr:rowOff>76200</xdr:rowOff>
    </xdr:from>
    <xdr:to>
      <xdr:col>15</xdr:col>
      <xdr:colOff>152400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4</xdr:row>
      <xdr:rowOff>9525</xdr:rowOff>
    </xdr:from>
    <xdr:to>
      <xdr:col>15</xdr:col>
      <xdr:colOff>57150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AEE055-112B-4FCD-BB7F-C4229802FF64}">
  <we:reference id="wa200006518" version="1.0.3.0" store="en-US" storeType="OMEX"/>
  <we:alternateReferences>
    <we:reference id="wa200006518" version="1.0.3.0" store="WA200006518" storeType="OMEX"/>
  </we:alternateReferences>
  <we:properties>
    <we:property name="pyscriptSettings" value="&quot;{\&quot;defaultMode\&quot;:2}&quot;"/>
    <we:property name="pyworkerConfig" value="&quot;{\&quot;pyodideVersion\&quot;:\&quot;0.27.2\&quot;,\&quot;pyodidePackages\&quot;:[\&quot;numpy\&quot;,\&quot;pandas\&quot;,\&quot;matplotlib\&quot;,\&quot;statsmodels\&quot;,\&quot;pyodide-http\&quot;],\&quot;pyscriptApps\&quot;:[],\&quot;micropipPackages\&quot;:[\&quot;seaborn==0.13.2\&quot;],\&quot;initCode\&quot;:\&quot;# Add imports\\nimport math\\nimport numpy as np\\nimport pandas as pd\\n\\n# Define classes and functions\\n\\n\\n# Pre-built utility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is_listlike(data[0]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is_listlike(data): # data is scalar\\n        return [data]\\n    if len(data) == 0 or not is_listlike(data[0]): # already a 1-d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def is_listlike(x) -&gt; bool:\\n    return hasattr(x, '__len__') and type(x) not in {str, bytes}\\n\\n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ebextensions/webextension2.xml><?xml version="1.0" encoding="utf-8"?>
<we:webextension xmlns:we="http://schemas.microsoft.com/office/webextensions/webextension/2010/11" id="{84A541B5-A6D7-49ED-AC4C-46BED2F64254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6"/>
  <sheetViews>
    <sheetView tabSelected="1" topLeftCell="A17" workbookViewId="0">
      <selection activeCell="F25" sqref="F25"/>
    </sheetView>
  </sheetViews>
  <sheetFormatPr defaultRowHeight="15"/>
  <cols>
    <col min="3" max="3" width="14.85546875" bestFit="1" customWidth="1"/>
    <col min="4" max="4" width="8" bestFit="1" customWidth="1"/>
    <col min="5" max="5" width="11.5703125" bestFit="1" customWidth="1"/>
    <col min="6" max="6" width="13.5703125" bestFit="1" customWidth="1"/>
    <col min="12" max="12" width="11.5703125" bestFit="1" customWidth="1"/>
  </cols>
  <sheetData>
    <row r="1" spans="1:8" ht="21">
      <c r="A1" s="196" t="s">
        <v>553</v>
      </c>
      <c r="B1" s="195"/>
      <c r="C1" s="195"/>
      <c r="D1" s="195"/>
      <c r="E1" s="195"/>
      <c r="F1" s="195"/>
      <c r="G1" s="195"/>
      <c r="H1" s="195"/>
    </row>
    <row r="2" spans="1:8">
      <c r="B2" s="40"/>
      <c r="C2" s="40"/>
      <c r="D2" s="40"/>
      <c r="E2" s="40"/>
      <c r="F2" s="40"/>
    </row>
    <row r="3" spans="1:8">
      <c r="A3" s="147"/>
      <c r="B3" s="147"/>
      <c r="C3" s="291" t="s">
        <v>3</v>
      </c>
      <c r="D3" s="292"/>
      <c r="E3" s="291" t="s">
        <v>4</v>
      </c>
      <c r="F3" s="292"/>
      <c r="G3" s="147"/>
      <c r="H3" s="147"/>
    </row>
    <row r="4" spans="1:8">
      <c r="A4" s="147"/>
      <c r="B4" s="147"/>
      <c r="C4" s="168" t="s">
        <v>550</v>
      </c>
      <c r="D4" s="168" t="s">
        <v>551</v>
      </c>
      <c r="E4" s="168" t="s">
        <v>550</v>
      </c>
      <c r="F4" s="168" t="s">
        <v>551</v>
      </c>
      <c r="G4" s="147"/>
      <c r="H4" s="147"/>
    </row>
    <row r="5" spans="1:8">
      <c r="A5" s="147"/>
      <c r="B5" s="166"/>
      <c r="C5" s="169"/>
      <c r="D5" s="169" t="s">
        <v>552</v>
      </c>
      <c r="E5" s="169"/>
      <c r="F5" s="169" t="s">
        <v>552</v>
      </c>
      <c r="G5" s="147"/>
      <c r="H5" s="147"/>
    </row>
    <row r="6" spans="1:8">
      <c r="A6" s="147"/>
      <c r="B6" s="167" t="s">
        <v>0</v>
      </c>
      <c r="C6" s="167">
        <v>50</v>
      </c>
      <c r="D6" s="167">
        <v>600</v>
      </c>
      <c r="E6" s="167">
        <v>51</v>
      </c>
      <c r="F6" s="167">
        <v>600</v>
      </c>
      <c r="G6" s="147"/>
      <c r="H6" s="147"/>
    </row>
    <row r="7" spans="1:8">
      <c r="A7" s="147"/>
      <c r="B7" s="167" t="s">
        <v>1</v>
      </c>
      <c r="C7" s="167">
        <v>13</v>
      </c>
      <c r="D7" s="167">
        <v>800</v>
      </c>
      <c r="E7" s="167">
        <v>11</v>
      </c>
      <c r="F7" s="167">
        <v>800</v>
      </c>
      <c r="G7" s="147"/>
      <c r="H7" s="147"/>
    </row>
    <row r="8" spans="1:8">
      <c r="A8" s="147"/>
      <c r="B8" s="169" t="s">
        <v>2</v>
      </c>
      <c r="C8" s="169">
        <v>33</v>
      </c>
      <c r="D8" s="169">
        <v>200</v>
      </c>
      <c r="E8" s="169">
        <v>35</v>
      </c>
      <c r="F8" s="169">
        <v>200</v>
      </c>
      <c r="G8" s="147"/>
      <c r="H8" s="147"/>
    </row>
    <row r="10" spans="1:8" ht="21">
      <c r="A10" s="164">
        <v>1</v>
      </c>
      <c r="C10" s="293" t="s">
        <v>556</v>
      </c>
      <c r="D10" s="293"/>
    </row>
    <row r="11" spans="1:8">
      <c r="C11" s="1" t="s">
        <v>5</v>
      </c>
      <c r="D11" s="1" t="s">
        <v>6</v>
      </c>
    </row>
    <row r="12" spans="1:8">
      <c r="B12" s="1" t="s">
        <v>0</v>
      </c>
      <c r="C12" s="163">
        <f>C6*D6</f>
        <v>30000</v>
      </c>
      <c r="D12" s="2">
        <f>C12/$C$16</f>
        <v>0.63829787234042556</v>
      </c>
    </row>
    <row r="13" spans="1:8">
      <c r="B13" s="1" t="s">
        <v>1</v>
      </c>
      <c r="C13" s="163">
        <f>C7*D7</f>
        <v>10400</v>
      </c>
      <c r="D13" s="2">
        <f>C13/$C$16</f>
        <v>0.22127659574468084</v>
      </c>
    </row>
    <row r="14" spans="1:8">
      <c r="B14" s="1" t="s">
        <v>2</v>
      </c>
      <c r="C14" s="163">
        <f>C8*D8</f>
        <v>6600</v>
      </c>
      <c r="D14" s="2">
        <f>C14/$C$16</f>
        <v>0.14042553191489363</v>
      </c>
    </row>
    <row r="15" spans="1:8">
      <c r="B15" s="1"/>
    </row>
    <row r="16" spans="1:8">
      <c r="B16" s="1" t="s">
        <v>7</v>
      </c>
      <c r="C16" s="163">
        <f>SUM(C12:C14)</f>
        <v>47000</v>
      </c>
    </row>
    <row r="18" spans="1:12" ht="21">
      <c r="A18" s="164">
        <v>2</v>
      </c>
      <c r="C18" s="293" t="s">
        <v>556</v>
      </c>
      <c r="D18" s="293"/>
    </row>
    <row r="19" spans="1:12">
      <c r="C19" s="1" t="s">
        <v>555</v>
      </c>
      <c r="D19" s="1" t="s">
        <v>8</v>
      </c>
    </row>
    <row r="20" spans="1:12">
      <c r="B20" s="1" t="s">
        <v>0</v>
      </c>
      <c r="C20" s="163">
        <f>100000*D12</f>
        <v>63829.787234042553</v>
      </c>
      <c r="D20" s="2">
        <f>C20/C6</f>
        <v>1276.5957446808511</v>
      </c>
    </row>
    <row r="21" spans="1:12">
      <c r="B21" s="1" t="s">
        <v>1</v>
      </c>
      <c r="C21" s="163">
        <f>100000*D13</f>
        <v>22127.659574468085</v>
      </c>
      <c r="D21" s="2">
        <f>C21/C7</f>
        <v>1702.127659574468</v>
      </c>
    </row>
    <row r="22" spans="1:12">
      <c r="B22" s="1" t="s">
        <v>2</v>
      </c>
      <c r="C22" s="163">
        <f>100000*D14</f>
        <v>14042.553191489362</v>
      </c>
      <c r="D22" s="2">
        <f>C22/C8</f>
        <v>425.531914893617</v>
      </c>
    </row>
    <row r="23" spans="1:12">
      <c r="B23" s="1"/>
      <c r="L23" s="42"/>
    </row>
    <row r="24" spans="1:12" ht="21">
      <c r="A24" s="164">
        <v>3</v>
      </c>
      <c r="C24" s="165" t="s">
        <v>557</v>
      </c>
    </row>
    <row r="25" spans="1:12">
      <c r="C25" s="1" t="s">
        <v>554</v>
      </c>
    </row>
    <row r="26" spans="1:12">
      <c r="B26" s="1" t="s">
        <v>0</v>
      </c>
      <c r="C26" s="163">
        <f>D20*E6</f>
        <v>65106.382978723406</v>
      </c>
    </row>
    <row r="27" spans="1:12">
      <c r="B27" s="1" t="s">
        <v>1</v>
      </c>
      <c r="C27" s="163">
        <f>D21*E7</f>
        <v>18723.404255319147</v>
      </c>
    </row>
    <row r="28" spans="1:12">
      <c r="B28" s="1" t="s">
        <v>2</v>
      </c>
      <c r="C28" s="163">
        <f>D22*E8</f>
        <v>14893.617021276596</v>
      </c>
    </row>
    <row r="30" spans="1:12">
      <c r="C30" s="165" t="s">
        <v>557</v>
      </c>
      <c r="E30" s="293" t="s">
        <v>557</v>
      </c>
      <c r="F30" s="293"/>
    </row>
    <row r="31" spans="1:12">
      <c r="C31" s="1" t="s">
        <v>9</v>
      </c>
      <c r="E31" s="1" t="s">
        <v>5</v>
      </c>
      <c r="F31" s="1" t="s">
        <v>10</v>
      </c>
    </row>
    <row r="32" spans="1:12">
      <c r="B32" s="1" t="s">
        <v>0</v>
      </c>
      <c r="C32" s="2">
        <f>C26/SUM($C$26:$C$28)</f>
        <v>0.65948275862068961</v>
      </c>
      <c r="E32" s="163">
        <f>F6*E6</f>
        <v>30600</v>
      </c>
      <c r="F32" s="2">
        <f>E32/SUM($E$32:$E$34)</f>
        <v>0.65948275862068961</v>
      </c>
    </row>
    <row r="33" spans="2:6">
      <c r="B33" s="1" t="s">
        <v>1</v>
      </c>
      <c r="C33" s="2">
        <f>C27/SUM($C$26:$C$28)</f>
        <v>0.18965517241379307</v>
      </c>
      <c r="E33" s="163">
        <f>F7*E7</f>
        <v>8800</v>
      </c>
      <c r="F33" s="2">
        <f>E33/SUM($E$32:$E$34)</f>
        <v>0.18965517241379309</v>
      </c>
    </row>
    <row r="34" spans="2:6">
      <c r="B34" s="1" t="s">
        <v>2</v>
      </c>
      <c r="C34" s="2">
        <f>C28/SUM($C$26:$C$28)</f>
        <v>0.15086206896551724</v>
      </c>
      <c r="E34" s="163">
        <f>F8*E8</f>
        <v>7000</v>
      </c>
      <c r="F34" s="2">
        <f>E34/SUM($E$32:$E$34)</f>
        <v>0.15086206896551724</v>
      </c>
    </row>
    <row r="35" spans="2:6">
      <c r="B35" s="1"/>
    </row>
    <row r="36" spans="2:6">
      <c r="B36" s="1" t="s">
        <v>7</v>
      </c>
      <c r="C36">
        <f>SUM(C32:C34)</f>
        <v>0.99999999999999989</v>
      </c>
      <c r="E36">
        <f>SUM(E32:E34)</f>
        <v>46400</v>
      </c>
      <c r="F36">
        <f>SUM(F32:F34)</f>
        <v>0.99999999999999989</v>
      </c>
    </row>
  </sheetData>
  <mergeCells count="5">
    <mergeCell ref="E3:F3"/>
    <mergeCell ref="C3:D3"/>
    <mergeCell ref="E30:F30"/>
    <mergeCell ref="C18:D18"/>
    <mergeCell ref="C10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A9DF-8168-4C26-911D-33ED76EBCF8A}">
  <dimension ref="A1:K13"/>
  <sheetViews>
    <sheetView workbookViewId="0">
      <selection activeCell="D15" sqref="D15"/>
    </sheetView>
  </sheetViews>
  <sheetFormatPr defaultRowHeight="15"/>
  <cols>
    <col min="1" max="1" width="7.85546875" bestFit="1" customWidth="1"/>
    <col min="2" max="2" width="13.42578125" customWidth="1"/>
    <col min="3" max="3" width="10.85546875" bestFit="1" customWidth="1"/>
    <col min="4" max="4" width="8" bestFit="1" customWidth="1"/>
    <col min="5" max="5" width="8.7109375" customWidth="1"/>
    <col min="6" max="6" width="2.85546875" customWidth="1"/>
    <col min="7" max="7" width="11.42578125" bestFit="1" customWidth="1"/>
    <col min="8" max="8" width="2.5703125" customWidth="1"/>
    <col min="9" max="9" width="10.85546875" bestFit="1" customWidth="1"/>
    <col min="10" max="10" width="6.85546875" bestFit="1" customWidth="1"/>
    <col min="11" max="11" width="9.140625" bestFit="1" customWidth="1"/>
  </cols>
  <sheetData>
    <row r="1" spans="1:11" ht="21">
      <c r="A1" s="196" t="s">
        <v>560</v>
      </c>
      <c r="B1" s="195"/>
      <c r="C1" s="195"/>
      <c r="D1" s="195"/>
      <c r="E1" s="195"/>
    </row>
    <row r="2" spans="1:11" ht="14.1" customHeight="1">
      <c r="A2" s="174"/>
    </row>
    <row r="3" spans="1:11">
      <c r="A3" s="147"/>
      <c r="B3" s="147"/>
      <c r="C3" s="294" t="s">
        <v>289</v>
      </c>
      <c r="D3" s="294"/>
      <c r="E3" s="294"/>
      <c r="F3" s="150"/>
      <c r="I3" s="295" t="s">
        <v>289</v>
      </c>
      <c r="J3" s="295"/>
    </row>
    <row r="4" spans="1:11">
      <c r="A4" s="150" t="s">
        <v>336</v>
      </c>
      <c r="B4" s="150" t="s">
        <v>344</v>
      </c>
      <c r="C4" s="150" t="s">
        <v>144</v>
      </c>
      <c r="D4" s="150" t="s">
        <v>340</v>
      </c>
      <c r="E4" s="150" t="s">
        <v>341</v>
      </c>
      <c r="F4" s="150"/>
      <c r="G4" s="150" t="s">
        <v>165</v>
      </c>
      <c r="I4" s="1" t="s">
        <v>342</v>
      </c>
      <c r="J4" s="1" t="s">
        <v>305</v>
      </c>
    </row>
    <row r="5" spans="1:11">
      <c r="A5" s="167">
        <v>1</v>
      </c>
      <c r="B5" s="147" t="s">
        <v>337</v>
      </c>
      <c r="C5" s="170">
        <v>0.15</v>
      </c>
      <c r="D5" s="170">
        <v>0.1</v>
      </c>
      <c r="E5" s="171">
        <v>0.11</v>
      </c>
      <c r="F5" s="170"/>
      <c r="G5" s="147">
        <v>0.25</v>
      </c>
      <c r="I5" s="111">
        <f>0.1*D5+0.25*E5</f>
        <v>3.7500000000000006E-2</v>
      </c>
      <c r="J5" s="111">
        <f>C5+I5</f>
        <v>0.1875</v>
      </c>
    </row>
    <row r="6" spans="1:11">
      <c r="A6" s="167">
        <v>2</v>
      </c>
      <c r="B6" s="147" t="s">
        <v>338</v>
      </c>
      <c r="C6" s="170">
        <v>0.1</v>
      </c>
      <c r="D6" s="170">
        <v>7.0000000000000007E-2</v>
      </c>
      <c r="E6" s="170">
        <v>-0.06</v>
      </c>
      <c r="F6" s="170"/>
      <c r="G6" s="147">
        <v>0.05</v>
      </c>
      <c r="I6" s="111">
        <f>0.1*D6+0.25*E6</f>
        <v>-7.9999999999999984E-3</v>
      </c>
      <c r="J6" s="111">
        <f>C6+I6</f>
        <v>9.2000000000000012E-2</v>
      </c>
    </row>
    <row r="7" spans="1:11">
      <c r="A7" s="167">
        <v>3</v>
      </c>
      <c r="B7" s="147" t="s">
        <v>343</v>
      </c>
      <c r="C7" s="170">
        <v>0.45</v>
      </c>
      <c r="D7" s="170">
        <v>-0.11</v>
      </c>
      <c r="E7" s="171">
        <v>0.04</v>
      </c>
      <c r="F7" s="170"/>
      <c r="G7" s="147">
        <v>0.3</v>
      </c>
      <c r="I7" s="111">
        <f>0.1*D7+0.25*E7</f>
        <v>-1.0000000000000009E-3</v>
      </c>
      <c r="J7" s="111">
        <f>C7+I7</f>
        <v>0.44900000000000001</v>
      </c>
    </row>
    <row r="8" spans="1:11">
      <c r="A8" s="167">
        <v>4</v>
      </c>
      <c r="B8" s="147" t="s">
        <v>339</v>
      </c>
      <c r="C8" s="170">
        <v>0.3</v>
      </c>
      <c r="D8" s="170">
        <v>-0.06</v>
      </c>
      <c r="E8" s="170">
        <v>-0.09</v>
      </c>
      <c r="F8" s="170"/>
      <c r="G8" s="147">
        <v>-0.02</v>
      </c>
      <c r="I8" s="111">
        <f>0.1*D8+0.25*E8</f>
        <v>-2.8499999999999998E-2</v>
      </c>
      <c r="J8" s="111">
        <f>C8+I8</f>
        <v>0.27149999999999996</v>
      </c>
    </row>
    <row r="9" spans="1:11">
      <c r="C9" s="111"/>
      <c r="D9" s="111"/>
      <c r="F9" s="111"/>
    </row>
    <row r="10" spans="1:11">
      <c r="A10" t="s">
        <v>7</v>
      </c>
      <c r="C10" s="111">
        <f>SUM(C5:C8)</f>
        <v>1</v>
      </c>
      <c r="D10" s="111">
        <f>SUM(D5:D8)</f>
        <v>0</v>
      </c>
      <c r="E10" s="111">
        <f>SUM(E5:E8)</f>
        <v>0</v>
      </c>
      <c r="I10" s="111">
        <f>SUM(I5:I8)</f>
        <v>0</v>
      </c>
      <c r="J10" s="111">
        <f>SUM(J5:J8)</f>
        <v>1</v>
      </c>
    </row>
    <row r="12" spans="1:11">
      <c r="A12" s="1" t="s">
        <v>165</v>
      </c>
      <c r="B12" s="1"/>
      <c r="C12" s="118">
        <f>SUMPRODUCT(C5:C8,G5:G8)</f>
        <v>0.17149999999999999</v>
      </c>
      <c r="D12" s="118">
        <f>SUMPRODUCT(D5:D8,G5:G8)</f>
        <v>-3.3000000000000008E-3</v>
      </c>
      <c r="E12" s="118">
        <f>SUMPRODUCT(E5:E8,G5:G8)</f>
        <v>3.8300000000000008E-2</v>
      </c>
      <c r="I12" s="118">
        <f>SUMPRODUCT(I5:I8,G5:G8)</f>
        <v>9.2450000000000015E-3</v>
      </c>
      <c r="J12" s="118">
        <f>SUMPRODUCT(J5:J8,G5:G8)</f>
        <v>0.18074499999999999</v>
      </c>
      <c r="K12" t="s">
        <v>558</v>
      </c>
    </row>
    <row r="13" spans="1:11">
      <c r="J13" s="118">
        <f>C12+0.1*D12+0.25*E12</f>
        <v>0.18074499999999999</v>
      </c>
      <c r="K13" t="s">
        <v>559</v>
      </c>
    </row>
  </sheetData>
  <mergeCells count="2">
    <mergeCell ref="C3:E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D22" sqref="D22"/>
    </sheetView>
  </sheetViews>
  <sheetFormatPr defaultRowHeight="15"/>
  <cols>
    <col min="1" max="1" width="10.85546875" customWidth="1"/>
    <col min="2" max="2" width="15.140625" customWidth="1"/>
    <col min="3" max="3" width="14.5703125" bestFit="1" customWidth="1"/>
    <col min="4" max="4" width="6.140625" customWidth="1"/>
    <col min="5" max="5" width="8.85546875" customWidth="1"/>
    <col min="6" max="6" width="11.140625" customWidth="1"/>
    <col min="7" max="7" width="12.5703125" bestFit="1" customWidth="1"/>
  </cols>
  <sheetData>
    <row r="1" spans="1:8" ht="21">
      <c r="A1" s="196" t="s">
        <v>569</v>
      </c>
      <c r="B1" s="195"/>
      <c r="C1" s="195"/>
      <c r="D1" s="195"/>
      <c r="E1" s="195"/>
      <c r="F1" s="195"/>
    </row>
    <row r="2" spans="1:8" ht="13.5" customHeight="1">
      <c r="A2" s="174"/>
    </row>
    <row r="3" spans="1:8" ht="17.25">
      <c r="A3" s="1" t="s">
        <v>566</v>
      </c>
      <c r="B3" s="1" t="s">
        <v>562</v>
      </c>
      <c r="C3" s="1" t="s">
        <v>563</v>
      </c>
      <c r="E3" s="173" t="s">
        <v>11</v>
      </c>
      <c r="F3" s="173" t="s">
        <v>12</v>
      </c>
      <c r="G3" s="1" t="s">
        <v>562</v>
      </c>
      <c r="H3" s="1" t="s">
        <v>563</v>
      </c>
    </row>
    <row r="4" spans="1:8">
      <c r="A4">
        <v>0.14000000000000001</v>
      </c>
      <c r="B4">
        <f>A4-$A$11</f>
        <v>4.4000000000000011E-2</v>
      </c>
      <c r="C4">
        <f>B4^2</f>
        <v>1.9360000000000011E-3</v>
      </c>
      <c r="E4" s="172">
        <v>0.14000000000000001</v>
      </c>
      <c r="F4" s="172">
        <v>0.8</v>
      </c>
      <c r="G4">
        <f>E4-$G$7</f>
        <v>4.3999999999999997E-2</v>
      </c>
      <c r="H4">
        <f>G4^2</f>
        <v>1.9359999999999998E-3</v>
      </c>
    </row>
    <row r="5" spans="1:8">
      <c r="A5">
        <v>0.14000000000000001</v>
      </c>
      <c r="B5">
        <f>A5-$A$11</f>
        <v>4.4000000000000011E-2</v>
      </c>
      <c r="C5">
        <f t="shared" ref="C5:C8" si="0">B5^2</f>
        <v>1.9360000000000011E-3</v>
      </c>
      <c r="E5" s="172">
        <v>-0.08</v>
      </c>
      <c r="F5" s="172">
        <v>0.2</v>
      </c>
      <c r="G5">
        <f>E5-$G$7</f>
        <v>-0.17600000000000002</v>
      </c>
      <c r="H5">
        <f>G5^2</f>
        <v>3.0976000000000007E-2</v>
      </c>
    </row>
    <row r="6" spans="1:8">
      <c r="A6">
        <v>0.14000000000000001</v>
      </c>
      <c r="B6">
        <f>A6-$A$11</f>
        <v>4.4000000000000011E-2</v>
      </c>
      <c r="C6">
        <f t="shared" si="0"/>
        <v>1.9360000000000011E-3</v>
      </c>
    </row>
    <row r="7" spans="1:8">
      <c r="A7">
        <v>-0.08</v>
      </c>
      <c r="B7">
        <f>A7-$A$11</f>
        <v>-0.17599999999999999</v>
      </c>
      <c r="C7">
        <f t="shared" si="0"/>
        <v>3.0975999999999997E-2</v>
      </c>
      <c r="E7" s="1" t="s">
        <v>13</v>
      </c>
      <c r="G7">
        <f>SUMPRODUCT(E4:E5,F4:F5)</f>
        <v>9.6000000000000016E-2</v>
      </c>
    </row>
    <row r="8" spans="1:8">
      <c r="A8">
        <v>0.14000000000000001</v>
      </c>
      <c r="B8">
        <f>A8-$A$11</f>
        <v>4.4000000000000011E-2</v>
      </c>
      <c r="C8">
        <f t="shared" si="0"/>
        <v>1.9360000000000011E-3</v>
      </c>
      <c r="E8" s="141" t="s">
        <v>14</v>
      </c>
      <c r="G8">
        <f>SUMPRODUCT(F4:F5,G4:G5)</f>
        <v>0</v>
      </c>
    </row>
    <row r="9" spans="1:8" ht="17.25">
      <c r="E9" s="1" t="s">
        <v>564</v>
      </c>
      <c r="G9">
        <f>SUMPRODUCT(F4:F5,H4:H5)</f>
        <v>7.7440000000000009E-3</v>
      </c>
      <c r="H9" t="s">
        <v>15</v>
      </c>
    </row>
    <row r="10" spans="1:8">
      <c r="A10" s="1" t="s">
        <v>13</v>
      </c>
      <c r="B10" s="1" t="s">
        <v>14</v>
      </c>
      <c r="C10" s="1" t="s">
        <v>567</v>
      </c>
      <c r="E10" s="1" t="s">
        <v>16</v>
      </c>
      <c r="G10">
        <f>SQRT(G9)</f>
        <v>8.8000000000000009E-2</v>
      </c>
    </row>
    <row r="11" spans="1:8">
      <c r="A11">
        <f>AVERAGE(A4:A8)</f>
        <v>9.6000000000000002E-2</v>
      </c>
      <c r="B11" s="2">
        <f>AVERAGE(B4:B8)</f>
        <v>1.1102230246251566E-17</v>
      </c>
      <c r="C11">
        <f>AVERAGE(C4:C8)</f>
        <v>7.7439999999999991E-3</v>
      </c>
    </row>
    <row r="12" spans="1:8" ht="17.25" customHeight="1">
      <c r="C12" s="1" t="s">
        <v>16</v>
      </c>
    </row>
    <row r="13" spans="1:8">
      <c r="C13">
        <f>SQRT(C11)</f>
        <v>8.7999999999999995E-2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359F-80A6-4101-BE84-4876907C7950}">
  <dimension ref="A1:H18"/>
  <sheetViews>
    <sheetView workbookViewId="0">
      <selection activeCell="F12" sqref="F12"/>
    </sheetView>
  </sheetViews>
  <sheetFormatPr defaultRowHeight="15"/>
  <cols>
    <col min="3" max="3" width="12.5703125" bestFit="1" customWidth="1"/>
    <col min="4" max="4" width="14.5703125" bestFit="1" customWidth="1"/>
  </cols>
  <sheetData>
    <row r="1" spans="1:8" ht="21">
      <c r="A1" s="196" t="s">
        <v>570</v>
      </c>
      <c r="B1" s="195"/>
      <c r="C1" s="195"/>
      <c r="D1" s="195"/>
      <c r="E1" s="195"/>
      <c r="F1" s="195"/>
      <c r="G1" s="195"/>
      <c r="H1" s="195"/>
    </row>
    <row r="3" spans="1:8" ht="17.25">
      <c r="B3" s="150" t="s">
        <v>568</v>
      </c>
      <c r="C3" s="1" t="s">
        <v>562</v>
      </c>
      <c r="D3" s="1" t="s">
        <v>563</v>
      </c>
    </row>
    <row r="4" spans="1:8">
      <c r="B4" s="147">
        <v>0.14000000000000001</v>
      </c>
      <c r="C4">
        <f>B4-$B$15</f>
        <v>6.6000000000000003E-2</v>
      </c>
      <c r="D4">
        <f>C4^2</f>
        <v>4.3560000000000005E-3</v>
      </c>
    </row>
    <row r="5" spans="1:8">
      <c r="B5" s="147">
        <v>0.14000000000000001</v>
      </c>
      <c r="C5">
        <f t="shared" ref="C5:C13" si="0">B5-$B$15</f>
        <v>6.6000000000000003E-2</v>
      </c>
      <c r="D5">
        <f t="shared" ref="D5:D13" si="1">C5^2</f>
        <v>4.3560000000000005E-3</v>
      </c>
    </row>
    <row r="6" spans="1:8">
      <c r="B6" s="147">
        <v>-0.08</v>
      </c>
      <c r="C6">
        <f t="shared" si="0"/>
        <v>-0.15400000000000003</v>
      </c>
      <c r="D6">
        <f t="shared" si="1"/>
        <v>2.3716000000000008E-2</v>
      </c>
    </row>
    <row r="7" spans="1:8">
      <c r="B7" s="147">
        <v>0.14000000000000001</v>
      </c>
      <c r="C7">
        <f t="shared" si="0"/>
        <v>6.6000000000000003E-2</v>
      </c>
      <c r="D7">
        <f t="shared" si="1"/>
        <v>4.3560000000000005E-3</v>
      </c>
    </row>
    <row r="8" spans="1:8">
      <c r="B8" s="147">
        <v>0.14000000000000001</v>
      </c>
      <c r="C8">
        <f t="shared" si="0"/>
        <v>6.6000000000000003E-2</v>
      </c>
      <c r="D8">
        <f t="shared" si="1"/>
        <v>4.3560000000000005E-3</v>
      </c>
    </row>
    <row r="9" spans="1:8">
      <c r="B9" s="147">
        <v>-0.08</v>
      </c>
      <c r="C9">
        <f t="shared" si="0"/>
        <v>-0.15400000000000003</v>
      </c>
      <c r="D9">
        <f t="shared" si="1"/>
        <v>2.3716000000000008E-2</v>
      </c>
    </row>
    <row r="10" spans="1:8">
      <c r="B10" s="147">
        <v>0.14000000000000001</v>
      </c>
      <c r="C10">
        <f t="shared" si="0"/>
        <v>6.6000000000000003E-2</v>
      </c>
      <c r="D10">
        <f t="shared" si="1"/>
        <v>4.3560000000000005E-3</v>
      </c>
    </row>
    <row r="11" spans="1:8">
      <c r="B11" s="147">
        <v>-0.08</v>
      </c>
      <c r="C11">
        <f t="shared" si="0"/>
        <v>-0.15400000000000003</v>
      </c>
      <c r="D11">
        <f t="shared" si="1"/>
        <v>2.3716000000000008E-2</v>
      </c>
    </row>
    <row r="12" spans="1:8">
      <c r="B12" s="147">
        <v>0.14000000000000001</v>
      </c>
      <c r="C12">
        <f t="shared" si="0"/>
        <v>6.6000000000000003E-2</v>
      </c>
      <c r="D12">
        <f t="shared" si="1"/>
        <v>4.3560000000000005E-3</v>
      </c>
    </row>
    <row r="13" spans="1:8">
      <c r="B13" s="147">
        <v>0.14000000000000001</v>
      </c>
      <c r="C13">
        <f t="shared" si="0"/>
        <v>6.6000000000000003E-2</v>
      </c>
      <c r="D13">
        <f t="shared" si="1"/>
        <v>4.3560000000000005E-3</v>
      </c>
    </row>
    <row r="15" spans="1:8">
      <c r="A15" t="s">
        <v>13</v>
      </c>
      <c r="B15">
        <f>AVERAGE(B4:B13)</f>
        <v>7.400000000000001E-2</v>
      </c>
      <c r="D15" s="1" t="s">
        <v>290</v>
      </c>
    </row>
    <row r="16" spans="1:8">
      <c r="D16" s="13">
        <f>AVERAGE(D4:D13)</f>
        <v>1.0164000000000003E-2</v>
      </c>
    </row>
    <row r="17" spans="4:4">
      <c r="D17" s="1" t="s">
        <v>16</v>
      </c>
    </row>
    <row r="18" spans="4:4">
      <c r="D18" s="13">
        <f>SQRT(D16)</f>
        <v>0.1008166652890285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G8" sqref="G8"/>
    </sheetView>
  </sheetViews>
  <sheetFormatPr defaultRowHeight="15"/>
  <cols>
    <col min="2" max="2" width="9.42578125" bestFit="1" customWidth="1"/>
  </cols>
  <sheetData>
    <row r="1" spans="1:12" ht="21">
      <c r="A1" s="196" t="s">
        <v>565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3" spans="1:12">
      <c r="B3" s="150" t="s">
        <v>568</v>
      </c>
    </row>
    <row r="4" spans="1:12">
      <c r="B4" s="147">
        <v>0.14000000000000001</v>
      </c>
    </row>
    <row r="5" spans="1:12">
      <c r="B5" s="147">
        <v>0.14000000000000001</v>
      </c>
    </row>
    <row r="6" spans="1:12">
      <c r="B6" s="147">
        <v>-0.08</v>
      </c>
    </row>
    <row r="7" spans="1:12">
      <c r="B7" s="147">
        <v>0.14000000000000001</v>
      </c>
    </row>
    <row r="8" spans="1:12">
      <c r="B8" s="147">
        <v>0.14000000000000001</v>
      </c>
    </row>
    <row r="9" spans="1:12">
      <c r="B9" s="147">
        <v>-0.08</v>
      </c>
    </row>
    <row r="10" spans="1:12">
      <c r="B10" s="147">
        <v>0.14000000000000001</v>
      </c>
    </row>
    <row r="11" spans="1:12">
      <c r="B11" s="147">
        <v>-0.08</v>
      </c>
    </row>
    <row r="12" spans="1:12">
      <c r="B12" s="147">
        <v>0.14000000000000001</v>
      </c>
    </row>
    <row r="13" spans="1:12">
      <c r="B13" s="147">
        <v>0.14000000000000001</v>
      </c>
    </row>
    <row r="15" spans="1:12">
      <c r="A15" s="1" t="s">
        <v>572</v>
      </c>
      <c r="B15" s="13">
        <f>VARP(B4:B13)</f>
        <v>1.0164000000000005E-2</v>
      </c>
    </row>
    <row r="16" spans="1:12">
      <c r="A16" s="1" t="s">
        <v>571</v>
      </c>
      <c r="B16" s="13">
        <f>STDEVP(B4:B13)</f>
        <v>0.10081666528902851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workbookViewId="0">
      <selection activeCell="F3" sqref="F3"/>
    </sheetView>
  </sheetViews>
  <sheetFormatPr defaultRowHeight="15"/>
  <cols>
    <col min="1" max="1" width="9.85546875" customWidth="1"/>
  </cols>
  <sheetData>
    <row r="1" spans="1:12" ht="21">
      <c r="A1" s="196" t="s">
        <v>573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3" spans="1:12">
      <c r="J3" s="1" t="s">
        <v>17</v>
      </c>
      <c r="K3" s="1"/>
      <c r="L3" s="1" t="s">
        <v>18</v>
      </c>
    </row>
    <row r="4" spans="1:12">
      <c r="J4" s="1" t="s">
        <v>19</v>
      </c>
      <c r="K4" s="1"/>
      <c r="L4" s="1" t="s">
        <v>20</v>
      </c>
    </row>
    <row r="5" spans="1:12">
      <c r="J5" s="1" t="s">
        <v>574</v>
      </c>
      <c r="L5" s="1" t="s">
        <v>21</v>
      </c>
    </row>
    <row r="6" spans="1:12">
      <c r="A6" s="175" t="s">
        <v>313</v>
      </c>
      <c r="B6" s="176" t="s">
        <v>22</v>
      </c>
      <c r="C6" s="176" t="s">
        <v>23</v>
      </c>
    </row>
    <row r="7" spans="1:12">
      <c r="A7" s="179">
        <v>43861</v>
      </c>
      <c r="B7" s="147">
        <v>-0.1019076350159791</v>
      </c>
      <c r="C7" s="147">
        <v>-0.1238454863147032</v>
      </c>
      <c r="E7" s="177" t="s">
        <v>575</v>
      </c>
      <c r="G7" s="1" t="s">
        <v>22</v>
      </c>
      <c r="H7" s="1" t="s">
        <v>23</v>
      </c>
      <c r="J7">
        <f>0.6*B7+0.4*C7</f>
        <v>-0.11068277553546874</v>
      </c>
      <c r="L7">
        <f>0.8*C7+0.2*0.001</f>
        <v>-9.8876389051762562E-2</v>
      </c>
    </row>
    <row r="8" spans="1:12">
      <c r="A8" s="179">
        <v>43889</v>
      </c>
      <c r="B8" s="147">
        <v>-8.7724894094193817E-2</v>
      </c>
      <c r="C8" s="147">
        <v>-0.11530760294031039</v>
      </c>
      <c r="F8" s="1" t="s">
        <v>13</v>
      </c>
      <c r="G8">
        <f>AVERAGE(B7:B66)</f>
        <v>7.1188375377518823E-3</v>
      </c>
      <c r="H8">
        <f>AVERAGE(C7:C66)</f>
        <v>1.1886764078454485E-2</v>
      </c>
      <c r="J8">
        <f t="shared" ref="J8:J66" si="0">0.6*B8+0.4*C8</f>
        <v>-9.8757977632640451E-2</v>
      </c>
      <c r="L8">
        <f t="shared" ref="L8:L66" si="1">0.8*C8+0.2*0.001</f>
        <v>-9.2046082352248315E-2</v>
      </c>
    </row>
    <row r="9" spans="1:12">
      <c r="A9" s="179">
        <v>43921</v>
      </c>
      <c r="B9" s="147">
        <v>-0.37088632489838719</v>
      </c>
      <c r="C9" s="147">
        <v>-0.33016330248024922</v>
      </c>
      <c r="F9" s="1" t="s">
        <v>24</v>
      </c>
      <c r="G9">
        <f>VARP(B7:B66)</f>
        <v>1.8205471704822996E-2</v>
      </c>
      <c r="H9">
        <f>VARP(C7:C66)</f>
        <v>1.5879780489652055E-2</v>
      </c>
      <c r="J9">
        <f t="shared" si="0"/>
        <v>-0.35459711593113197</v>
      </c>
      <c r="L9">
        <f t="shared" si="1"/>
        <v>-0.26393064198419941</v>
      </c>
    </row>
    <row r="10" spans="1:12">
      <c r="A10" s="179">
        <v>43951</v>
      </c>
      <c r="B10" s="147">
        <v>0.15319242547919651</v>
      </c>
      <c r="C10" s="147">
        <v>0.18123997741389039</v>
      </c>
      <c r="F10" s="1" t="s">
        <v>25</v>
      </c>
      <c r="G10">
        <f>STDEVP(B7:B66)</f>
        <v>0.1349276535956325</v>
      </c>
      <c r="H10">
        <f>STDEVP(C7:C66)</f>
        <v>0.12601500105008157</v>
      </c>
      <c r="J10">
        <f t="shared" si="0"/>
        <v>0.16441144625307408</v>
      </c>
      <c r="L10">
        <f t="shared" si="1"/>
        <v>0.14519198193111232</v>
      </c>
    </row>
    <row r="11" spans="1:12">
      <c r="A11" s="179">
        <v>43980</v>
      </c>
      <c r="B11" s="147">
        <v>-2.1616574380393438E-2</v>
      </c>
      <c r="C11" s="147">
        <v>5.3098123496636777E-2</v>
      </c>
      <c r="J11">
        <f t="shared" si="0"/>
        <v>8.2693047704186489E-3</v>
      </c>
      <c r="L11">
        <f t="shared" si="1"/>
        <v>4.2678498797309422E-2</v>
      </c>
    </row>
    <row r="12" spans="1:12">
      <c r="A12" s="179">
        <v>44012</v>
      </c>
      <c r="B12" s="147">
        <v>0.11387274042679831</v>
      </c>
      <c r="C12" s="147">
        <v>3.3121264280163487E-2</v>
      </c>
      <c r="E12" s="177" t="s">
        <v>576</v>
      </c>
      <c r="G12" s="1" t="s">
        <v>17</v>
      </c>
      <c r="J12">
        <f t="shared" si="0"/>
        <v>8.1572149968144381E-2</v>
      </c>
      <c r="L12">
        <f t="shared" si="1"/>
        <v>2.6697011424130789E-2</v>
      </c>
    </row>
    <row r="13" spans="1:12">
      <c r="A13" s="179">
        <v>44043</v>
      </c>
      <c r="B13" s="147">
        <v>9.5077526878748486E-2</v>
      </c>
      <c r="C13" s="147">
        <v>-4.5001282939019838E-2</v>
      </c>
      <c r="F13" s="1" t="s">
        <v>13</v>
      </c>
      <c r="G13">
        <f>AVERAGE(J7:J66)</f>
        <v>9.0260081540329273E-3</v>
      </c>
      <c r="J13">
        <f t="shared" si="0"/>
        <v>3.9046002951641151E-2</v>
      </c>
      <c r="L13">
        <f t="shared" si="1"/>
        <v>-3.5801026351215876E-2</v>
      </c>
    </row>
    <row r="14" spans="1:12">
      <c r="A14" s="179">
        <v>44074</v>
      </c>
      <c r="B14" s="147">
        <v>6.4540689701589216E-2</v>
      </c>
      <c r="C14" s="147">
        <v>1.619433198378761E-4</v>
      </c>
      <c r="F14" s="1" t="s">
        <v>24</v>
      </c>
      <c r="G14">
        <f>VARP(J7:J66)</f>
        <v>1.3792310905905464E-2</v>
      </c>
      <c r="J14">
        <f t="shared" si="0"/>
        <v>3.878919114888868E-2</v>
      </c>
      <c r="L14">
        <f t="shared" si="1"/>
        <v>3.2955465587030091E-4</v>
      </c>
    </row>
    <row r="15" spans="1:12">
      <c r="A15" s="179">
        <v>44104</v>
      </c>
      <c r="B15" s="147">
        <v>-0.11378319746788421</v>
      </c>
      <c r="C15" s="147">
        <v>-9.1420601742816632E-2</v>
      </c>
      <c r="F15" s="1" t="s">
        <v>25</v>
      </c>
      <c r="G15">
        <f>STDEVP(J7:J66)</f>
        <v>0.11744066972691132</v>
      </c>
      <c r="J15">
        <f t="shared" si="0"/>
        <v>-0.10483815917785719</v>
      </c>
      <c r="L15">
        <f t="shared" si="1"/>
        <v>-7.2936481394253308E-2</v>
      </c>
    </row>
    <row r="16" spans="1:12">
      <c r="A16" s="179">
        <v>44134</v>
      </c>
      <c r="B16" s="147">
        <v>0.33985214514388651</v>
      </c>
      <c r="C16" s="147">
        <v>0.10438191825873511</v>
      </c>
      <c r="J16">
        <f t="shared" si="0"/>
        <v>0.24566405438982597</v>
      </c>
      <c r="L16">
        <f t="shared" si="1"/>
        <v>8.3705534606988097E-2</v>
      </c>
    </row>
    <row r="17" spans="1:12">
      <c r="A17" s="179">
        <v>44165</v>
      </c>
      <c r="B17" s="147">
        <v>0.22536223684998699</v>
      </c>
      <c r="C17" s="147">
        <v>0.20628004972989639</v>
      </c>
      <c r="E17" s="177" t="s">
        <v>577</v>
      </c>
      <c r="G17">
        <f>0.6*G8+0.4*H8</f>
        <v>9.0260081540329239E-3</v>
      </c>
      <c r="J17">
        <f t="shared" si="0"/>
        <v>0.21772936200195075</v>
      </c>
      <c r="L17">
        <f t="shared" si="1"/>
        <v>0.16522403978391711</v>
      </c>
    </row>
    <row r="18" spans="1:12">
      <c r="A18" s="179">
        <v>44196</v>
      </c>
      <c r="B18" s="147">
        <v>-8.8641387888564793E-2</v>
      </c>
      <c r="C18" s="147">
        <v>0.125677976407637</v>
      </c>
      <c r="J18">
        <f t="shared" si="0"/>
        <v>-2.9136421700840728E-3</v>
      </c>
      <c r="L18">
        <f t="shared" si="1"/>
        <v>0.10074238112610961</v>
      </c>
    </row>
    <row r="19" spans="1:12">
      <c r="A19" s="179">
        <v>44225</v>
      </c>
      <c r="B19" s="147">
        <v>9.2369813007524559E-2</v>
      </c>
      <c r="C19" s="147">
        <v>1.6115789530543712E-2</v>
      </c>
      <c r="E19" s="177" t="s">
        <v>578</v>
      </c>
      <c r="G19" s="1" t="s">
        <v>18</v>
      </c>
      <c r="J19">
        <f t="shared" si="0"/>
        <v>6.1868203616732217E-2</v>
      </c>
      <c r="L19">
        <f t="shared" si="1"/>
        <v>1.3092631624434971E-2</v>
      </c>
    </row>
    <row r="20" spans="1:12">
      <c r="A20" s="179">
        <v>44253</v>
      </c>
      <c r="B20" s="147">
        <v>-0.11025119212596721</v>
      </c>
      <c r="C20" s="147">
        <v>0.2126626353910557</v>
      </c>
      <c r="F20" s="1" t="s">
        <v>13</v>
      </c>
      <c r="G20">
        <f>AVERAGE(L7:L66)</f>
        <v>9.7094112627635898E-3</v>
      </c>
      <c r="J20">
        <f t="shared" si="0"/>
        <v>1.8914338880841972E-2</v>
      </c>
      <c r="L20">
        <f t="shared" si="1"/>
        <v>0.17033010831284459</v>
      </c>
    </row>
    <row r="21" spans="1:12">
      <c r="A21" s="179">
        <v>44286</v>
      </c>
      <c r="B21" s="147">
        <v>0.1288612539359881</v>
      </c>
      <c r="C21" s="147">
        <v>3.3664742215617549E-2</v>
      </c>
      <c r="F21" s="1" t="s">
        <v>24</v>
      </c>
      <c r="G21">
        <f>VARP(L7:L66)</f>
        <v>1.0163059513377322E-2</v>
      </c>
      <c r="J21">
        <f t="shared" si="0"/>
        <v>9.0782649247839881E-2</v>
      </c>
      <c r="L21">
        <f t="shared" si="1"/>
        <v>2.7131793772494039E-2</v>
      </c>
    </row>
    <row r="22" spans="1:12">
      <c r="A22" s="179">
        <v>44316</v>
      </c>
      <c r="B22" s="147">
        <v>0.20623271933207649</v>
      </c>
      <c r="C22" s="147">
        <v>1.5284365968112329E-2</v>
      </c>
      <c r="F22" s="1" t="s">
        <v>25</v>
      </c>
      <c r="G22">
        <f>STDEVP(L7:L66)</f>
        <v>0.10081200084006528</v>
      </c>
      <c r="J22">
        <f t="shared" si="0"/>
        <v>0.12985337798649083</v>
      </c>
      <c r="L22">
        <f t="shared" si="1"/>
        <v>1.2427492774489865E-2</v>
      </c>
    </row>
    <row r="23" spans="1:12">
      <c r="A23" s="179">
        <v>44344</v>
      </c>
      <c r="B23" s="147">
        <v>2.0670182248860862E-3</v>
      </c>
      <c r="C23" s="147">
        <v>4.3448113099179057E-2</v>
      </c>
      <c r="J23">
        <f t="shared" si="0"/>
        <v>1.8619456174603276E-2</v>
      </c>
      <c r="L23">
        <f t="shared" si="1"/>
        <v>3.4958490479343247E-2</v>
      </c>
    </row>
    <row r="24" spans="1:12">
      <c r="A24" s="179">
        <v>44377</v>
      </c>
      <c r="B24" s="147">
        <v>-5.1694694361804287E-2</v>
      </c>
      <c r="C24" s="147">
        <v>-8.673269229229541E-2</v>
      </c>
      <c r="E24" s="177" t="s">
        <v>579</v>
      </c>
      <c r="G24" s="1" t="s">
        <v>18</v>
      </c>
      <c r="J24">
        <f t="shared" si="0"/>
        <v>-6.5709893534000738E-2</v>
      </c>
      <c r="L24">
        <f t="shared" si="1"/>
        <v>-6.918615383383632E-2</v>
      </c>
    </row>
    <row r="25" spans="1:12">
      <c r="A25" s="179">
        <v>44407</v>
      </c>
      <c r="B25" s="147">
        <v>-0.13531265549842431</v>
      </c>
      <c r="C25" s="147">
        <v>-1.3430585264929681E-2</v>
      </c>
      <c r="F25" s="1" t="s">
        <v>13</v>
      </c>
      <c r="G25">
        <f>0.8*H8+0.2*0.001</f>
        <v>9.7094112627635898E-3</v>
      </c>
      <c r="J25">
        <f t="shared" si="0"/>
        <v>-8.6559827405026449E-2</v>
      </c>
      <c r="L25">
        <f>0.8*C25+0.2*0.001</f>
        <v>-1.0544468211943745E-2</v>
      </c>
    </row>
    <row r="26" spans="1:12">
      <c r="A26" s="179">
        <v>44439</v>
      </c>
      <c r="B26" s="147">
        <v>-2.2717058894455851E-3</v>
      </c>
      <c r="C26" s="147">
        <v>0.1177978602402787</v>
      </c>
      <c r="F26" s="1" t="s">
        <v>24</v>
      </c>
      <c r="G26">
        <f>0.8^2*H9</f>
        <v>1.0163059513377317E-2</v>
      </c>
      <c r="J26">
        <f t="shared" si="0"/>
        <v>4.575612056244413E-2</v>
      </c>
      <c r="L26">
        <f t="shared" si="1"/>
        <v>9.4438288192222969E-2</v>
      </c>
    </row>
    <row r="27" spans="1:12">
      <c r="A27" s="179">
        <v>44469</v>
      </c>
      <c r="B27" s="147">
        <v>-7.01273019404276E-2</v>
      </c>
      <c r="C27" s="147">
        <v>6.8911103603155999E-2</v>
      </c>
      <c r="F27" s="1" t="s">
        <v>25</v>
      </c>
      <c r="G27">
        <f>0.8*H10</f>
        <v>0.10081200084006525</v>
      </c>
      <c r="J27">
        <f t="shared" si="0"/>
        <v>-1.4511939722994156E-2</v>
      </c>
      <c r="L27">
        <f t="shared" si="1"/>
        <v>5.5328882882524799E-2</v>
      </c>
    </row>
    <row r="28" spans="1:12">
      <c r="A28" s="179">
        <v>44498</v>
      </c>
      <c r="B28" s="147">
        <v>-3.2756186459200749E-3</v>
      </c>
      <c r="C28" s="147">
        <v>1.7774670722365601E-2</v>
      </c>
      <c r="J28">
        <f t="shared" si="0"/>
        <v>5.1444971013941956E-3</v>
      </c>
      <c r="L28">
        <f t="shared" si="1"/>
        <v>1.4419736577892481E-2</v>
      </c>
    </row>
    <row r="29" spans="1:12">
      <c r="A29" s="179">
        <v>44530</v>
      </c>
      <c r="B29" s="147">
        <v>3.834608078754576E-3</v>
      </c>
      <c r="C29" s="147">
        <v>7.2688544475378869E-3</v>
      </c>
      <c r="J29">
        <f t="shared" si="0"/>
        <v>5.2083066262679006E-3</v>
      </c>
      <c r="L29">
        <f t="shared" si="1"/>
        <v>6.0150835580303095E-3</v>
      </c>
    </row>
    <row r="30" spans="1:12">
      <c r="A30" s="179">
        <v>44561</v>
      </c>
      <c r="B30" s="147">
        <v>3.2965605599459158E-2</v>
      </c>
      <c r="C30" s="147">
        <v>1.2695349693407909E-3</v>
      </c>
      <c r="J30">
        <f t="shared" si="0"/>
        <v>2.0287177347411811E-2</v>
      </c>
      <c r="L30">
        <f t="shared" si="1"/>
        <v>1.2156279754726329E-3</v>
      </c>
    </row>
    <row r="31" spans="1:12">
      <c r="A31" s="179">
        <v>44592</v>
      </c>
      <c r="B31" s="147">
        <v>-8.2780340312190948E-2</v>
      </c>
      <c r="C31" s="147">
        <v>7.3780572848647585E-2</v>
      </c>
      <c r="J31">
        <f t="shared" si="0"/>
        <v>-2.0155975047855532E-2</v>
      </c>
      <c r="L31">
        <f t="shared" si="1"/>
        <v>5.922445827891807E-2</v>
      </c>
    </row>
    <row r="32" spans="1:12">
      <c r="A32" s="179">
        <v>44620</v>
      </c>
      <c r="B32" s="147">
        <v>0.19928461931527841</v>
      </c>
      <c r="C32" s="147">
        <v>5.064134571266643E-2</v>
      </c>
      <c r="J32">
        <f t="shared" si="0"/>
        <v>0.13982730987423361</v>
      </c>
      <c r="L32">
        <f t="shared" si="1"/>
        <v>4.0713076570133143E-2</v>
      </c>
    </row>
    <row r="33" spans="1:12">
      <c r="A33" s="179">
        <v>44651</v>
      </c>
      <c r="B33" s="147">
        <v>-4.6005798788281933E-2</v>
      </c>
      <c r="C33" s="147">
        <v>-7.5188211361881141E-2</v>
      </c>
      <c r="J33">
        <f t="shared" si="0"/>
        <v>-5.7678763817721621E-2</v>
      </c>
      <c r="L33">
        <f t="shared" si="1"/>
        <v>-5.995056908950492E-2</v>
      </c>
    </row>
    <row r="34" spans="1:12">
      <c r="A34" s="179">
        <v>44680</v>
      </c>
      <c r="B34" s="147">
        <v>-7.4872004357298461E-2</v>
      </c>
      <c r="C34" s="147">
        <v>-0.1380417251873676</v>
      </c>
      <c r="J34">
        <f t="shared" si="0"/>
        <v>-0.10013989268932612</v>
      </c>
      <c r="L34">
        <f t="shared" si="1"/>
        <v>-0.11023338014989408</v>
      </c>
    </row>
    <row r="35" spans="1:12">
      <c r="A35" s="179">
        <v>44712</v>
      </c>
      <c r="B35" s="147">
        <v>-3.4844733844165747E-2</v>
      </c>
      <c r="C35" s="147">
        <v>1.6616515003202489E-2</v>
      </c>
      <c r="J35">
        <f t="shared" si="0"/>
        <v>-1.4260234305218451E-2</v>
      </c>
      <c r="L35">
        <f t="shared" si="1"/>
        <v>1.3493212002561992E-2</v>
      </c>
    </row>
    <row r="36" spans="1:12">
      <c r="A36" s="179">
        <v>44742</v>
      </c>
      <c r="B36" s="147">
        <v>-9.5867264464574387E-2</v>
      </c>
      <c r="C36" s="147">
        <v>-0.10764268619339699</v>
      </c>
      <c r="J36">
        <f t="shared" si="0"/>
        <v>-0.10057743315610343</v>
      </c>
      <c r="L36">
        <f t="shared" si="1"/>
        <v>-8.5914148954717592E-2</v>
      </c>
    </row>
    <row r="37" spans="1:12">
      <c r="A37" s="179">
        <v>44771</v>
      </c>
      <c r="B37" s="147">
        <v>0.19424972506898561</v>
      </c>
      <c r="C37" s="147">
        <v>7.1707680967647347E-2</v>
      </c>
      <c r="J37">
        <f t="shared" si="0"/>
        <v>0.1452329074284503</v>
      </c>
      <c r="L37">
        <f t="shared" si="1"/>
        <v>5.7566144774117881E-2</v>
      </c>
    </row>
    <row r="38" spans="1:12">
      <c r="A38" s="179">
        <v>44804</v>
      </c>
      <c r="B38" s="147">
        <v>2.0100502512562901E-2</v>
      </c>
      <c r="C38" s="147">
        <v>1.5850096331130329E-2</v>
      </c>
      <c r="J38">
        <f t="shared" si="0"/>
        <v>1.8400340039989874E-2</v>
      </c>
      <c r="L38">
        <f t="shared" si="1"/>
        <v>1.2880077064904264E-2</v>
      </c>
    </row>
    <row r="39" spans="1:12">
      <c r="A39" s="179">
        <v>44834</v>
      </c>
      <c r="B39" s="147">
        <v>-9.2203235891088364E-2</v>
      </c>
      <c r="C39" s="147">
        <v>-7.5776825644779944E-2</v>
      </c>
      <c r="J39">
        <f t="shared" si="0"/>
        <v>-8.5632671792564993E-2</v>
      </c>
      <c r="L39">
        <f t="shared" si="1"/>
        <v>-6.0421460515823956E-2</v>
      </c>
    </row>
    <row r="40" spans="1:12">
      <c r="A40" s="179">
        <v>44865</v>
      </c>
      <c r="B40" s="147">
        <v>0.2328002464624401</v>
      </c>
      <c r="C40" s="147">
        <v>2.1233310459109811E-2</v>
      </c>
      <c r="J40">
        <f t="shared" si="0"/>
        <v>0.14817347206110798</v>
      </c>
      <c r="L40">
        <f t="shared" si="1"/>
        <v>1.7186648367287848E-2</v>
      </c>
    </row>
    <row r="41" spans="1:12">
      <c r="A41" s="179">
        <v>44895</v>
      </c>
      <c r="B41" s="147">
        <v>9.6046120348377118E-2</v>
      </c>
      <c r="C41" s="147">
        <v>5.9201514175954983E-3</v>
      </c>
      <c r="J41">
        <f t="shared" si="0"/>
        <v>5.9995732776064466E-2</v>
      </c>
      <c r="L41">
        <f t="shared" si="1"/>
        <v>4.9361211340763983E-3</v>
      </c>
    </row>
    <row r="42" spans="1:12">
      <c r="A42" s="179">
        <v>44925</v>
      </c>
      <c r="B42" s="147">
        <v>-0.11429461508246461</v>
      </c>
      <c r="C42" s="147">
        <v>-5.1333215913533348E-2</v>
      </c>
      <c r="J42">
        <f t="shared" si="0"/>
        <v>-8.91100554148921E-2</v>
      </c>
      <c r="L42">
        <f t="shared" si="1"/>
        <v>-4.0866572730826681E-2</v>
      </c>
    </row>
    <row r="43" spans="1:12">
      <c r="A43" s="179">
        <v>44957</v>
      </c>
      <c r="B43" s="147">
        <v>0.10649219570381389</v>
      </c>
      <c r="C43" s="147">
        <v>8.136899519321128E-2</v>
      </c>
      <c r="J43">
        <f t="shared" si="0"/>
        <v>9.6442915499572845E-2</v>
      </c>
      <c r="L43">
        <f t="shared" si="1"/>
        <v>6.5295196154569038E-2</v>
      </c>
    </row>
    <row r="44" spans="1:12">
      <c r="A44" s="179">
        <v>44985</v>
      </c>
      <c r="B44" s="147">
        <v>3.3022366572225133E-2</v>
      </c>
      <c r="C44" s="147">
        <v>-4.0298991844725303E-2</v>
      </c>
      <c r="J44">
        <f t="shared" si="0"/>
        <v>3.6938232054449585E-3</v>
      </c>
      <c r="L44">
        <f t="shared" si="1"/>
        <v>-3.2039193475780242E-2</v>
      </c>
    </row>
    <row r="45" spans="1:12">
      <c r="A45" s="179">
        <v>45016</v>
      </c>
      <c r="B45" s="147">
        <v>-0.19866611961664879</v>
      </c>
      <c r="C45" s="147">
        <v>-0.40873073012797861</v>
      </c>
      <c r="J45">
        <f t="shared" si="0"/>
        <v>-0.28269196382118073</v>
      </c>
      <c r="L45">
        <f t="shared" si="1"/>
        <v>-0.32678458410238292</v>
      </c>
    </row>
    <row r="46" spans="1:12">
      <c r="A46" s="179">
        <v>45044</v>
      </c>
      <c r="B46" s="147">
        <v>-2.2912255023360251E-2</v>
      </c>
      <c r="C46" s="147">
        <v>-6.9162733890994033E-2</v>
      </c>
      <c r="J46">
        <f t="shared" si="0"/>
        <v>-4.1412446570413763E-2</v>
      </c>
      <c r="L46">
        <f t="shared" si="1"/>
        <v>-5.5130187112795229E-2</v>
      </c>
    </row>
    <row r="47" spans="1:12">
      <c r="A47" s="179">
        <v>45077</v>
      </c>
      <c r="B47" s="147">
        <v>-0.1614555002748215</v>
      </c>
      <c r="C47" s="147">
        <v>-5.1135890656402996E-3</v>
      </c>
      <c r="J47">
        <f t="shared" si="0"/>
        <v>-9.8918735791149015E-2</v>
      </c>
      <c r="L47">
        <f t="shared" si="1"/>
        <v>-3.8908712525122396E-3</v>
      </c>
    </row>
    <row r="48" spans="1:12">
      <c r="A48" s="179">
        <v>45107</v>
      </c>
      <c r="B48" s="147">
        <v>0.13747266033609101</v>
      </c>
      <c r="C48" s="147">
        <v>-1.575829053426769E-2</v>
      </c>
      <c r="J48">
        <f t="shared" si="0"/>
        <v>7.6180279987947519E-2</v>
      </c>
      <c r="L48">
        <f t="shared" si="1"/>
        <v>-1.2406632427414152E-2</v>
      </c>
    </row>
    <row r="49" spans="1:12">
      <c r="A49" s="179">
        <v>45138</v>
      </c>
      <c r="B49" s="147">
        <v>9.656278178202693E-2</v>
      </c>
      <c r="C49" s="147">
        <v>0.42405191398406639</v>
      </c>
      <c r="J49">
        <f t="shared" si="0"/>
        <v>0.22755843466284273</v>
      </c>
      <c r="L49">
        <f t="shared" si="1"/>
        <v>0.33944153118725312</v>
      </c>
    </row>
    <row r="50" spans="1:12">
      <c r="A50" s="179">
        <v>45169</v>
      </c>
      <c r="B50" s="147">
        <v>-0.12587437340543431</v>
      </c>
      <c r="C50" s="147">
        <v>-6.0973633714732411E-2</v>
      </c>
      <c r="J50">
        <f t="shared" si="0"/>
        <v>-9.9914077529153558E-2</v>
      </c>
      <c r="L50">
        <f t="shared" si="1"/>
        <v>-4.8578906971785935E-2</v>
      </c>
    </row>
    <row r="51" spans="1:12">
      <c r="A51" s="179">
        <v>45198</v>
      </c>
      <c r="B51" s="147">
        <v>-1.548122628755833E-2</v>
      </c>
      <c r="C51" s="147">
        <v>-1.7183025253840079E-2</v>
      </c>
      <c r="J51">
        <f t="shared" si="0"/>
        <v>-1.6161945874071028E-2</v>
      </c>
      <c r="L51">
        <f t="shared" si="1"/>
        <v>-1.3546420203072063E-2</v>
      </c>
    </row>
    <row r="52" spans="1:12">
      <c r="A52" s="179">
        <v>45230</v>
      </c>
      <c r="B52" s="147">
        <v>-0.18783853903006989</v>
      </c>
      <c r="C52" s="147">
        <v>-0.11579239180656099</v>
      </c>
      <c r="J52">
        <f t="shared" si="0"/>
        <v>-0.15902008014066632</v>
      </c>
      <c r="L52">
        <f t="shared" si="1"/>
        <v>-9.2433913445248789E-2</v>
      </c>
    </row>
    <row r="53" spans="1:12">
      <c r="A53" s="179">
        <v>45260</v>
      </c>
      <c r="B53" s="147">
        <v>0.1169442334287774</v>
      </c>
      <c r="C53" s="147">
        <v>0.16896933720711479</v>
      </c>
      <c r="J53">
        <f t="shared" si="0"/>
        <v>0.13775427494011236</v>
      </c>
      <c r="L53">
        <f t="shared" si="1"/>
        <v>0.13537546976569184</v>
      </c>
    </row>
    <row r="54" spans="1:12">
      <c r="A54" s="179">
        <v>45289</v>
      </c>
      <c r="B54" s="147">
        <v>0.23472519653731599</v>
      </c>
      <c r="C54" s="147">
        <v>0.23126575714771061</v>
      </c>
      <c r="J54">
        <f t="shared" si="0"/>
        <v>0.23334142078147385</v>
      </c>
      <c r="L54">
        <f t="shared" si="1"/>
        <v>0.1852126057181685</v>
      </c>
    </row>
    <row r="55" spans="1:12">
      <c r="A55" s="179">
        <v>45322</v>
      </c>
      <c r="B55" s="147">
        <v>-0.11916511540536651</v>
      </c>
      <c r="C55" s="147">
        <v>-4.4904469390027242E-2</v>
      </c>
      <c r="J55">
        <f t="shared" si="0"/>
        <v>-8.9460856999230801E-2</v>
      </c>
      <c r="L55">
        <f t="shared" si="1"/>
        <v>-3.5723575512021793E-2</v>
      </c>
    </row>
    <row r="56" spans="1:12">
      <c r="A56" s="179">
        <v>45351</v>
      </c>
      <c r="B56" s="147">
        <v>0.1177191198966092</v>
      </c>
      <c r="C56" s="147">
        <v>-4.9405366777070303E-2</v>
      </c>
      <c r="J56">
        <f t="shared" si="0"/>
        <v>5.0869325227137385E-2</v>
      </c>
      <c r="L56">
        <f t="shared" si="1"/>
        <v>-3.9324293421656248E-2</v>
      </c>
    </row>
    <row r="57" spans="1:12">
      <c r="A57" s="179">
        <v>45379</v>
      </c>
      <c r="B57" s="147">
        <v>0.21168031904973669</v>
      </c>
      <c r="C57" s="147">
        <v>0.1006859193265035</v>
      </c>
      <c r="J57">
        <f t="shared" si="0"/>
        <v>0.16728255916044343</v>
      </c>
      <c r="L57">
        <f t="shared" si="1"/>
        <v>8.0748735461202814E-2</v>
      </c>
    </row>
    <row r="58" spans="1:12">
      <c r="A58" s="179">
        <v>45412</v>
      </c>
      <c r="B58" s="147">
        <v>-0.2137632514272588</v>
      </c>
      <c r="C58" s="147">
        <v>-6.0367752842188871E-2</v>
      </c>
      <c r="J58">
        <f t="shared" si="0"/>
        <v>-0.15240505199323082</v>
      </c>
      <c r="L58">
        <f t="shared" si="1"/>
        <v>-4.8094202273751101E-2</v>
      </c>
    </row>
    <row r="59" spans="1:12">
      <c r="A59" s="179">
        <v>45443</v>
      </c>
      <c r="B59" s="147">
        <v>4.3326366259283537E-2</v>
      </c>
      <c r="C59" s="147">
        <v>6.8725980188730329E-2</v>
      </c>
      <c r="J59">
        <f t="shared" si="0"/>
        <v>5.3486211831062253E-2</v>
      </c>
      <c r="L59">
        <f t="shared" si="1"/>
        <v>5.5180784150984263E-2</v>
      </c>
    </row>
    <row r="60" spans="1:12">
      <c r="A60" s="179">
        <v>45471</v>
      </c>
      <c r="B60" s="147">
        <v>-6.0653996258919651E-2</v>
      </c>
      <c r="C60" s="147">
        <v>4.1676313961565006E-3</v>
      </c>
      <c r="J60">
        <f t="shared" si="0"/>
        <v>-3.472534519688919E-2</v>
      </c>
      <c r="L60">
        <f t="shared" si="1"/>
        <v>3.5341051169252009E-3</v>
      </c>
    </row>
    <row r="61" spans="1:12">
      <c r="A61" s="179">
        <v>45504</v>
      </c>
      <c r="B61" s="147">
        <v>0.11806878664585189</v>
      </c>
      <c r="C61" s="147">
        <v>0.19137412573975879</v>
      </c>
      <c r="J61">
        <f t="shared" si="0"/>
        <v>0.14739092228341466</v>
      </c>
      <c r="L61">
        <f t="shared" si="1"/>
        <v>0.15329930059180705</v>
      </c>
    </row>
    <row r="62" spans="1:12">
      <c r="A62" s="179">
        <v>45534</v>
      </c>
      <c r="B62" s="147">
        <v>-1.5996349973751429E-3</v>
      </c>
      <c r="C62" s="147">
        <v>-3.2310480594962783E-2</v>
      </c>
      <c r="J62">
        <f t="shared" si="0"/>
        <v>-1.38839732364102E-2</v>
      </c>
      <c r="L62">
        <f t="shared" si="1"/>
        <v>-2.5648384475970228E-2</v>
      </c>
    </row>
    <row r="63" spans="1:12">
      <c r="A63" s="179">
        <v>45565</v>
      </c>
      <c r="B63" s="147">
        <v>3.3789308219385639E-2</v>
      </c>
      <c r="C63" s="147">
        <v>-4.7214189881750968E-2</v>
      </c>
      <c r="J63">
        <f t="shared" si="0"/>
        <v>1.3879089789309955E-3</v>
      </c>
      <c r="L63">
        <f t="shared" si="1"/>
        <v>-3.7571351905400778E-2</v>
      </c>
    </row>
    <row r="64" spans="1:12">
      <c r="A64" s="179">
        <v>45596</v>
      </c>
      <c r="B64" s="147">
        <v>-0.1707769123227483</v>
      </c>
      <c r="C64" s="147">
        <v>0.1024968240328334</v>
      </c>
      <c r="J64">
        <f t="shared" si="0"/>
        <v>-6.1467417780515621E-2</v>
      </c>
      <c r="L64">
        <f t="shared" si="1"/>
        <v>8.2197459226266728E-2</v>
      </c>
    </row>
    <row r="65" spans="1:12">
      <c r="A65" s="179">
        <v>45625</v>
      </c>
      <c r="B65" s="147">
        <v>5.2582901404651487E-2</v>
      </c>
      <c r="C65" s="147">
        <v>0.17089269104373719</v>
      </c>
      <c r="J65">
        <f t="shared" si="0"/>
        <v>9.9906817260285774E-2</v>
      </c>
      <c r="L65">
        <f t="shared" si="1"/>
        <v>0.13691415283498976</v>
      </c>
    </row>
    <row r="66" spans="1:12">
      <c r="A66" s="179">
        <v>45657</v>
      </c>
      <c r="B66" s="147">
        <v>-9.9417880940177228E-2</v>
      </c>
      <c r="C66" s="147">
        <v>-0.10360206238651461</v>
      </c>
      <c r="J66">
        <f t="shared" si="0"/>
        <v>-0.10109155351871218</v>
      </c>
      <c r="L66">
        <f t="shared" si="1"/>
        <v>-8.2681649909211688E-2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CC24-718C-4414-9FEE-631DEC44440C}">
  <dimension ref="A1:J104"/>
  <sheetViews>
    <sheetView workbookViewId="0">
      <selection activeCell="E16" sqref="E16"/>
    </sheetView>
  </sheetViews>
  <sheetFormatPr defaultRowHeight="15"/>
  <cols>
    <col min="1" max="1" width="7.5703125" style="91" customWidth="1"/>
    <col min="2" max="2" width="11.42578125" customWidth="1"/>
    <col min="3" max="3" width="10.85546875" customWidth="1"/>
    <col min="4" max="4" width="17.42578125" customWidth="1"/>
    <col min="5" max="5" width="18.140625" customWidth="1"/>
    <col min="10" max="10" width="12" bestFit="1" customWidth="1"/>
  </cols>
  <sheetData>
    <row r="1" spans="1:10" ht="21">
      <c r="A1" s="194" t="s">
        <v>581</v>
      </c>
      <c r="B1" s="195"/>
      <c r="C1" s="195"/>
      <c r="D1" s="195"/>
      <c r="E1" s="195"/>
      <c r="F1" s="195"/>
      <c r="G1" s="195"/>
      <c r="H1" s="195"/>
      <c r="I1" s="195"/>
      <c r="J1" s="195"/>
    </row>
    <row r="3" spans="1:10">
      <c r="B3" s="1" t="s">
        <v>301</v>
      </c>
    </row>
    <row r="4" spans="1:10">
      <c r="A4" s="145" t="s">
        <v>163</v>
      </c>
      <c r="B4" s="1" t="s">
        <v>299</v>
      </c>
    </row>
    <row r="5" spans="1:10">
      <c r="A5" s="179">
        <v>42643</v>
      </c>
      <c r="B5">
        <v>0.95569999999999999</v>
      </c>
      <c r="D5" t="s">
        <v>580</v>
      </c>
      <c r="E5" s="24">
        <f>AVERAGE(B5:B104)</f>
        <v>1.0113579999999995</v>
      </c>
    </row>
    <row r="6" spans="1:10">
      <c r="A6" s="179">
        <v>42674</v>
      </c>
      <c r="B6">
        <v>1.0599000000000001</v>
      </c>
      <c r="D6" t="s">
        <v>300</v>
      </c>
      <c r="E6" s="24">
        <f>GEOMEAN(B5:B104)</f>
        <v>1.009781982861006</v>
      </c>
    </row>
    <row r="7" spans="1:10">
      <c r="A7" s="179">
        <v>42704</v>
      </c>
      <c r="B7">
        <v>1.0241</v>
      </c>
      <c r="D7" t="s">
        <v>287</v>
      </c>
      <c r="E7" s="24">
        <f>E5-VARP(B5:B104)/2</f>
        <v>1.0097668225819996</v>
      </c>
    </row>
    <row r="8" spans="1:10">
      <c r="A8" s="179">
        <v>42735</v>
      </c>
      <c r="B8">
        <v>0.93469999999999998</v>
      </c>
      <c r="E8" s="27"/>
    </row>
    <row r="9" spans="1:10">
      <c r="A9" s="179">
        <v>42766</v>
      </c>
      <c r="B9">
        <v>0.98109999999999997</v>
      </c>
    </row>
    <row r="10" spans="1:10">
      <c r="A10" s="179">
        <v>42794</v>
      </c>
      <c r="B10">
        <v>1.0926</v>
      </c>
    </row>
    <row r="11" spans="1:10">
      <c r="A11" s="179">
        <v>42825</v>
      </c>
      <c r="B11">
        <v>0.88870000000000005</v>
      </c>
    </row>
    <row r="12" spans="1:10">
      <c r="A12" s="179">
        <v>42855</v>
      </c>
      <c r="B12">
        <v>0.98860000000000003</v>
      </c>
      <c r="D12" s="36"/>
    </row>
    <row r="13" spans="1:10">
      <c r="A13" s="179">
        <v>42886</v>
      </c>
      <c r="B13">
        <v>1.0732999999999999</v>
      </c>
    </row>
    <row r="14" spans="1:10">
      <c r="A14" s="179">
        <v>42916</v>
      </c>
      <c r="B14">
        <v>0.9667</v>
      </c>
    </row>
    <row r="15" spans="1:10">
      <c r="A15" s="179">
        <v>42947</v>
      </c>
      <c r="B15">
        <v>0.97609999999999997</v>
      </c>
    </row>
    <row r="16" spans="1:10">
      <c r="A16" s="179">
        <v>42978</v>
      </c>
      <c r="B16">
        <v>1.0053000000000001</v>
      </c>
    </row>
    <row r="17" spans="1:2">
      <c r="A17" s="179">
        <v>43008</v>
      </c>
      <c r="B17">
        <v>1.0846</v>
      </c>
    </row>
    <row r="18" spans="1:2">
      <c r="A18" s="179">
        <v>43039</v>
      </c>
      <c r="B18">
        <v>0.97809999999999997</v>
      </c>
    </row>
    <row r="19" spans="1:2">
      <c r="A19" s="179">
        <v>43069</v>
      </c>
      <c r="B19">
        <v>0.98780000000000001</v>
      </c>
    </row>
    <row r="20" spans="1:2">
      <c r="A20" s="179">
        <v>43100</v>
      </c>
      <c r="B20">
        <v>0.98829999999999996</v>
      </c>
    </row>
    <row r="21" spans="1:2">
      <c r="A21" s="179">
        <v>43131</v>
      </c>
      <c r="B21">
        <v>1.1203000000000001</v>
      </c>
    </row>
    <row r="22" spans="1:2">
      <c r="A22" s="179">
        <v>43159</v>
      </c>
      <c r="B22">
        <v>1.1193</v>
      </c>
    </row>
    <row r="23" spans="1:2">
      <c r="A23" s="179">
        <v>43190</v>
      </c>
      <c r="B23">
        <v>1.0602</v>
      </c>
    </row>
    <row r="24" spans="1:2">
      <c r="A24" s="179">
        <v>43220</v>
      </c>
      <c r="B24">
        <v>1.0293000000000001</v>
      </c>
    </row>
    <row r="25" spans="1:2">
      <c r="A25" s="179">
        <v>43251</v>
      </c>
      <c r="B25">
        <v>1.0468999999999999</v>
      </c>
    </row>
    <row r="26" spans="1:2">
      <c r="A26" s="179">
        <v>43281</v>
      </c>
      <c r="B26">
        <v>1.0845</v>
      </c>
    </row>
    <row r="27" spans="1:2">
      <c r="A27" s="179">
        <v>43312</v>
      </c>
      <c r="B27">
        <v>0.96319999999999995</v>
      </c>
    </row>
    <row r="28" spans="1:2">
      <c r="A28" s="179">
        <v>43343</v>
      </c>
      <c r="B28">
        <v>1.0688</v>
      </c>
    </row>
    <row r="29" spans="1:2">
      <c r="A29" s="179">
        <v>43373</v>
      </c>
      <c r="B29">
        <v>0.94730000000000003</v>
      </c>
    </row>
    <row r="30" spans="1:2">
      <c r="A30" s="179">
        <v>43404</v>
      </c>
      <c r="B30">
        <v>0.97809999999999997</v>
      </c>
    </row>
    <row r="31" spans="1:2">
      <c r="A31" s="179">
        <v>43434</v>
      </c>
      <c r="B31">
        <v>1.0553999999999999</v>
      </c>
    </row>
    <row r="32" spans="1:2">
      <c r="A32" s="179">
        <v>43465</v>
      </c>
      <c r="B32">
        <v>0.93859999999999999</v>
      </c>
    </row>
    <row r="33" spans="1:2">
      <c r="A33" s="179">
        <v>43496</v>
      </c>
      <c r="B33">
        <v>1.0029999999999999</v>
      </c>
    </row>
    <row r="34" spans="1:2">
      <c r="A34" s="179">
        <v>43524</v>
      </c>
      <c r="B34">
        <v>0.96689999999999998</v>
      </c>
    </row>
    <row r="35" spans="1:2">
      <c r="A35" s="179">
        <v>43555</v>
      </c>
      <c r="B35">
        <v>0.99719999999999998</v>
      </c>
    </row>
    <row r="36" spans="1:2">
      <c r="A36" s="179">
        <v>43585</v>
      </c>
      <c r="B36">
        <v>0.87009999999999998</v>
      </c>
    </row>
    <row r="37" spans="1:2">
      <c r="A37" s="179">
        <v>43616</v>
      </c>
      <c r="B37">
        <v>0.9214</v>
      </c>
    </row>
    <row r="38" spans="1:2">
      <c r="A38" s="179">
        <v>43646</v>
      </c>
      <c r="B38">
        <v>0.97499999999999998</v>
      </c>
    </row>
    <row r="39" spans="1:2">
      <c r="A39" s="179">
        <v>43677</v>
      </c>
      <c r="B39">
        <v>1.0564</v>
      </c>
    </row>
    <row r="40" spans="1:2">
      <c r="A40" s="179">
        <v>43708</v>
      </c>
      <c r="B40">
        <v>1.0013000000000001</v>
      </c>
    </row>
    <row r="41" spans="1:2">
      <c r="A41" s="179">
        <v>43738</v>
      </c>
      <c r="B41">
        <v>1.0101</v>
      </c>
    </row>
    <row r="42" spans="1:2">
      <c r="A42" s="179">
        <v>43769</v>
      </c>
      <c r="B42">
        <v>1.0444</v>
      </c>
    </row>
    <row r="43" spans="1:2">
      <c r="A43" s="179">
        <v>43799</v>
      </c>
      <c r="B43">
        <v>0.96599999999999997</v>
      </c>
    </row>
    <row r="44" spans="1:2">
      <c r="A44" s="179">
        <v>43830</v>
      </c>
      <c r="B44">
        <v>1.0242</v>
      </c>
    </row>
    <row r="45" spans="1:2">
      <c r="A45" s="179">
        <v>43861</v>
      </c>
      <c r="B45">
        <v>0.96970000000000001</v>
      </c>
    </row>
    <row r="46" spans="1:2">
      <c r="A46" s="179">
        <v>43890</v>
      </c>
      <c r="B46">
        <v>0.92359999999999998</v>
      </c>
    </row>
    <row r="47" spans="1:2">
      <c r="A47" s="179">
        <v>43921</v>
      </c>
      <c r="B47">
        <v>0.99050000000000005</v>
      </c>
    </row>
    <row r="48" spans="1:2">
      <c r="A48" s="179">
        <v>43951</v>
      </c>
      <c r="B48">
        <v>1.0387</v>
      </c>
    </row>
    <row r="49" spans="1:2">
      <c r="A49" s="179">
        <v>43982</v>
      </c>
      <c r="B49">
        <v>1.0268999999999999</v>
      </c>
    </row>
    <row r="50" spans="1:2">
      <c r="A50" s="179">
        <v>44012</v>
      </c>
      <c r="B50">
        <v>1.0094000000000001</v>
      </c>
    </row>
    <row r="51" spans="1:2">
      <c r="A51" s="179">
        <v>44043</v>
      </c>
      <c r="B51">
        <v>1.1295999999999999</v>
      </c>
    </row>
    <row r="52" spans="1:2">
      <c r="A52" s="179">
        <v>44074</v>
      </c>
      <c r="B52">
        <v>1.0306</v>
      </c>
    </row>
    <row r="53" spans="1:2">
      <c r="A53" s="179">
        <v>44104</v>
      </c>
      <c r="B53">
        <v>1.0589</v>
      </c>
    </row>
    <row r="54" spans="1:2">
      <c r="A54" s="179">
        <v>44135</v>
      </c>
      <c r="B54">
        <v>1.1218999999999999</v>
      </c>
    </row>
    <row r="55" spans="1:2">
      <c r="A55" s="179">
        <v>44165</v>
      </c>
      <c r="B55">
        <v>0.94530000000000003</v>
      </c>
    </row>
    <row r="56" spans="1:2">
      <c r="A56" s="179">
        <v>44196</v>
      </c>
      <c r="B56">
        <v>0.95809999999999995</v>
      </c>
    </row>
    <row r="57" spans="1:2">
      <c r="A57" s="179">
        <v>44227</v>
      </c>
      <c r="B57">
        <v>1.0972</v>
      </c>
    </row>
    <row r="58" spans="1:2">
      <c r="A58" s="179">
        <v>44255</v>
      </c>
      <c r="B58">
        <v>0.97009999999999996</v>
      </c>
    </row>
    <row r="59" spans="1:2">
      <c r="A59" s="179">
        <v>44286</v>
      </c>
      <c r="B59">
        <v>1.0115000000000001</v>
      </c>
    </row>
    <row r="60" spans="1:2">
      <c r="A60" s="179">
        <v>44316</v>
      </c>
      <c r="B60">
        <v>1.0634999999999999</v>
      </c>
    </row>
    <row r="61" spans="1:2">
      <c r="A61" s="179">
        <v>44347</v>
      </c>
      <c r="B61">
        <v>1.0545</v>
      </c>
    </row>
    <row r="62" spans="1:2">
      <c r="A62" s="179">
        <v>44377</v>
      </c>
      <c r="B62">
        <v>1.0976999999999999</v>
      </c>
    </row>
    <row r="63" spans="1:2">
      <c r="A63" s="179">
        <v>44408</v>
      </c>
      <c r="B63">
        <v>1.0848</v>
      </c>
    </row>
    <row r="64" spans="1:2">
      <c r="A64" s="179">
        <v>44439</v>
      </c>
      <c r="B64">
        <v>1.0634999999999999</v>
      </c>
    </row>
    <row r="65" spans="1:2">
      <c r="A65" s="179">
        <v>44469</v>
      </c>
      <c r="B65">
        <v>0.97140000000000004</v>
      </c>
    </row>
    <row r="66" spans="1:2">
      <c r="A66" s="179">
        <v>44500</v>
      </c>
      <c r="B66">
        <v>1.0497000000000001</v>
      </c>
    </row>
    <row r="67" spans="1:2">
      <c r="A67" s="179">
        <v>44530</v>
      </c>
      <c r="B67">
        <v>1.0257000000000001</v>
      </c>
    </row>
    <row r="68" spans="1:2">
      <c r="A68" s="179">
        <v>44561</v>
      </c>
      <c r="B68">
        <v>0.94369999999999998</v>
      </c>
    </row>
    <row r="69" spans="1:2">
      <c r="A69" s="179">
        <v>44592</v>
      </c>
      <c r="B69">
        <v>1.0809</v>
      </c>
    </row>
    <row r="70" spans="1:2">
      <c r="A70" s="179">
        <v>44620</v>
      </c>
      <c r="B70">
        <v>1.0504</v>
      </c>
    </row>
    <row r="71" spans="1:2">
      <c r="A71" s="179">
        <v>44651</v>
      </c>
      <c r="B71">
        <v>1.0123</v>
      </c>
    </row>
    <row r="72" spans="1:2">
      <c r="A72" s="179">
        <v>44681</v>
      </c>
      <c r="B72">
        <v>0.99829999999999997</v>
      </c>
    </row>
    <row r="73" spans="1:2">
      <c r="A73" s="179">
        <v>44712</v>
      </c>
      <c r="B73">
        <v>0.95009999999999994</v>
      </c>
    </row>
    <row r="74" spans="1:2">
      <c r="A74" s="179">
        <v>44742</v>
      </c>
      <c r="B74">
        <v>1.02</v>
      </c>
    </row>
    <row r="75" spans="1:2">
      <c r="A75" s="179">
        <v>44773</v>
      </c>
      <c r="B75">
        <v>1.0334000000000001</v>
      </c>
    </row>
    <row r="76" spans="1:2">
      <c r="A76" s="179">
        <v>44804</v>
      </c>
      <c r="B76">
        <v>0.96840000000000004</v>
      </c>
    </row>
    <row r="77" spans="1:2">
      <c r="A77" s="179">
        <v>44834</v>
      </c>
      <c r="B77">
        <v>1.0681</v>
      </c>
    </row>
    <row r="78" spans="1:2">
      <c r="A78" s="179">
        <v>44865</v>
      </c>
      <c r="B78">
        <v>0.95509999999999995</v>
      </c>
    </row>
    <row r="79" spans="1:2">
      <c r="A79" s="179">
        <v>44895</v>
      </c>
      <c r="B79">
        <v>0.90380000000000005</v>
      </c>
    </row>
    <row r="80" spans="1:2">
      <c r="A80" s="179">
        <v>44926</v>
      </c>
      <c r="B80">
        <v>1.0620000000000001</v>
      </c>
    </row>
    <row r="81" spans="1:2">
      <c r="A81" s="179">
        <v>44957</v>
      </c>
      <c r="B81">
        <v>0.98980000000000001</v>
      </c>
    </row>
    <row r="82" spans="1:2">
      <c r="A82" s="179">
        <v>44985</v>
      </c>
      <c r="B82">
        <v>1.0037</v>
      </c>
    </row>
    <row r="83" spans="1:2">
      <c r="A83" s="179">
        <v>45016</v>
      </c>
      <c r="B83">
        <v>0.96809999999999996</v>
      </c>
    </row>
    <row r="84" spans="1:2">
      <c r="A84" s="179">
        <v>45046</v>
      </c>
      <c r="B84">
        <v>0.92969999999999997</v>
      </c>
    </row>
    <row r="85" spans="1:2">
      <c r="A85" s="179">
        <v>45077</v>
      </c>
      <c r="B85">
        <v>1.0728</v>
      </c>
    </row>
    <row r="86" spans="1:2">
      <c r="A86" s="179">
        <v>45107</v>
      </c>
      <c r="B86">
        <v>0.97560000000000002</v>
      </c>
    </row>
    <row r="87" spans="1:2">
      <c r="A87" s="179">
        <v>45138</v>
      </c>
      <c r="B87">
        <v>1.093</v>
      </c>
    </row>
    <row r="88" spans="1:2">
      <c r="A88" s="179">
        <v>45169</v>
      </c>
      <c r="B88">
        <v>1.0504</v>
      </c>
    </row>
    <row r="89" spans="1:2">
      <c r="A89" s="179">
        <v>45199</v>
      </c>
      <c r="B89">
        <v>0.99429999999999996</v>
      </c>
    </row>
    <row r="90" spans="1:2">
      <c r="A90" s="179">
        <v>45230</v>
      </c>
      <c r="B90">
        <v>0.95569999999999999</v>
      </c>
    </row>
    <row r="91" spans="1:2">
      <c r="A91" s="179">
        <v>45260</v>
      </c>
      <c r="B91">
        <v>0.97340000000000004</v>
      </c>
    </row>
    <row r="92" spans="1:2">
      <c r="A92" s="179">
        <v>45291</v>
      </c>
      <c r="B92">
        <v>0.94940000000000002</v>
      </c>
    </row>
    <row r="93" spans="1:2">
      <c r="A93" s="179">
        <v>45322</v>
      </c>
      <c r="B93">
        <v>1.1144000000000001</v>
      </c>
    </row>
    <row r="94" spans="1:2">
      <c r="A94" s="179">
        <v>45351</v>
      </c>
      <c r="B94">
        <v>1.0182</v>
      </c>
    </row>
    <row r="95" spans="1:2">
      <c r="A95" s="179">
        <v>45382</v>
      </c>
      <c r="B95">
        <v>1.0674999999999999</v>
      </c>
    </row>
    <row r="96" spans="1:2">
      <c r="A96" s="179">
        <v>45412</v>
      </c>
      <c r="B96">
        <v>0.9466</v>
      </c>
    </row>
    <row r="97" spans="1:2">
      <c r="A97" s="179">
        <v>45443</v>
      </c>
      <c r="B97">
        <v>1.0190999999999999</v>
      </c>
    </row>
    <row r="98" spans="1:2">
      <c r="A98" s="179">
        <v>45473</v>
      </c>
      <c r="B98">
        <v>1.0689</v>
      </c>
    </row>
    <row r="99" spans="1:2">
      <c r="A99" s="179">
        <v>45504</v>
      </c>
      <c r="B99">
        <v>0.99319999999999997</v>
      </c>
    </row>
    <row r="100" spans="1:2">
      <c r="A100" s="179">
        <v>45535</v>
      </c>
      <c r="B100">
        <v>1.0616000000000001</v>
      </c>
    </row>
    <row r="101" spans="1:2">
      <c r="A101" s="179">
        <v>45565</v>
      </c>
      <c r="B101">
        <v>0.95579999999999998</v>
      </c>
    </row>
    <row r="102" spans="1:2">
      <c r="A102" s="179">
        <v>45596</v>
      </c>
      <c r="B102">
        <v>0.94179999999999997</v>
      </c>
    </row>
    <row r="103" spans="1:2">
      <c r="A103" s="179">
        <v>45626</v>
      </c>
      <c r="B103">
        <v>1.0289999999999999</v>
      </c>
    </row>
    <row r="104" spans="1:2">
      <c r="A104" s="179">
        <v>45657</v>
      </c>
      <c r="B104">
        <v>0.99099999999999999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B56D-E389-43BF-9EB9-C801A4F975B7}">
  <dimension ref="A1:N63"/>
  <sheetViews>
    <sheetView workbookViewId="0">
      <selection activeCell="J21" sqref="J21"/>
    </sheetView>
  </sheetViews>
  <sheetFormatPr defaultRowHeight="15"/>
  <cols>
    <col min="2" max="3" width="10" bestFit="1" customWidth="1"/>
    <col min="5" max="5" width="12.5703125" bestFit="1" customWidth="1"/>
    <col min="6" max="6" width="1.85546875" customWidth="1"/>
    <col min="7" max="7" width="12" bestFit="1" customWidth="1"/>
    <col min="8" max="8" width="1.5703125" customWidth="1"/>
    <col min="9" max="9" width="9.85546875" bestFit="1" customWidth="1"/>
    <col min="10" max="10" width="9.85546875" customWidth="1"/>
    <col min="11" max="11" width="8.140625" bestFit="1" customWidth="1"/>
    <col min="13" max="13" width="1.85546875" customWidth="1"/>
  </cols>
  <sheetData>
    <row r="1" spans="1:14" ht="21">
      <c r="A1" s="194" t="s">
        <v>599</v>
      </c>
      <c r="B1" s="195"/>
      <c r="C1" s="195"/>
      <c r="D1" s="195"/>
      <c r="E1" s="195"/>
      <c r="F1" s="195"/>
      <c r="G1" s="195"/>
      <c r="H1" s="195"/>
      <c r="I1" s="195"/>
    </row>
    <row r="2" spans="1:14" ht="15" customHeight="1">
      <c r="A2" s="192"/>
    </row>
    <row r="3" spans="1:14">
      <c r="A3" s="178" t="s">
        <v>163</v>
      </c>
      <c r="B3" s="151" t="s">
        <v>582</v>
      </c>
      <c r="C3" s="151" t="s">
        <v>583</v>
      </c>
      <c r="E3" s="1" t="s">
        <v>584</v>
      </c>
      <c r="G3" s="1" t="s">
        <v>585</v>
      </c>
      <c r="I3" s="1" t="s">
        <v>586</v>
      </c>
      <c r="J3" s="1" t="s">
        <v>587</v>
      </c>
      <c r="K3" s="1" t="s">
        <v>588</v>
      </c>
      <c r="L3" s="1" t="s">
        <v>49</v>
      </c>
      <c r="N3" s="1" t="s">
        <v>49</v>
      </c>
    </row>
    <row r="4" spans="1:14">
      <c r="A4" s="179">
        <v>44227</v>
      </c>
      <c r="B4" s="180">
        <v>2.78880574356857E-2</v>
      </c>
      <c r="C4" s="180">
        <v>5.9345683563907264E-2</v>
      </c>
      <c r="E4" s="5">
        <f>0.8*B4+0.2*C4</f>
        <v>3.4179582661330019E-2</v>
      </c>
      <c r="F4" s="5"/>
      <c r="G4" s="5">
        <f>$J$4*B4+$K$4*C4+$L$4*$N$4</f>
        <v>6.4359165322660034E-2</v>
      </c>
      <c r="I4">
        <v>2</v>
      </c>
      <c r="J4">
        <f>I4*0.8</f>
        <v>1.6</v>
      </c>
      <c r="K4">
        <f>I4*0.2</f>
        <v>0.4</v>
      </c>
      <c r="L4">
        <f>1-SUM(J4:K4)</f>
        <v>-1</v>
      </c>
      <c r="N4">
        <v>4.0000000000000001E-3</v>
      </c>
    </row>
    <row r="5" spans="1:14">
      <c r="A5" s="179">
        <v>44255</v>
      </c>
      <c r="B5" s="180">
        <v>0.10303963299750089</v>
      </c>
      <c r="C5" s="180">
        <v>3.9683743428354769E-2</v>
      </c>
      <c r="E5" s="5">
        <f t="shared" ref="E5:E63" si="0">0.8*B5+0.2*C5</f>
        <v>9.0368455083671681E-2</v>
      </c>
      <c r="F5" s="5"/>
      <c r="G5" s="5">
        <f t="shared" ref="G5:G63" si="1">$J$4*B5+$K$4*C5+$L$4*$N$4</f>
        <v>0.17673691016734336</v>
      </c>
    </row>
    <row r="6" spans="1:14">
      <c r="A6" s="179">
        <v>44286</v>
      </c>
      <c r="B6" s="180">
        <v>1.9853070281732003E-3</v>
      </c>
      <c r="C6" s="180">
        <v>1.0044490156658169E-2</v>
      </c>
      <c r="E6" s="5">
        <f t="shared" si="0"/>
        <v>3.5971436538701938E-3</v>
      </c>
      <c r="F6" s="5"/>
      <c r="G6" s="5">
        <f t="shared" si="1"/>
        <v>3.1942873077403875E-3</v>
      </c>
      <c r="J6" s="1" t="s">
        <v>13</v>
      </c>
      <c r="K6" s="1" t="s">
        <v>174</v>
      </c>
      <c r="L6" s="1" t="s">
        <v>141</v>
      </c>
    </row>
    <row r="7" spans="1:14">
      <c r="A7" s="179">
        <v>44316</v>
      </c>
      <c r="B7" s="180">
        <v>9.8727753044289199E-2</v>
      </c>
      <c r="C7" s="180">
        <v>0.11848059005189107</v>
      </c>
      <c r="E7" s="5">
        <f t="shared" si="0"/>
        <v>0.10267832044580957</v>
      </c>
      <c r="F7" s="5"/>
      <c r="G7" s="5">
        <f t="shared" si="1"/>
        <v>0.20135664089161914</v>
      </c>
      <c r="I7" s="1" t="s">
        <v>584</v>
      </c>
      <c r="J7" s="5">
        <f>AVERAGE(E4:E63)</f>
        <v>1.3829907074319676E-2</v>
      </c>
      <c r="K7" s="5">
        <f>STDEVP(E4:E63)</f>
        <v>4.5834229247975887E-2</v>
      </c>
      <c r="L7" s="5">
        <f>(J7-$N$4)/K7</f>
        <v>0.21446650757749527</v>
      </c>
    </row>
    <row r="8" spans="1:14">
      <c r="A8" s="179">
        <v>44347</v>
      </c>
      <c r="B8" s="180">
        <v>2.7985286098161501E-2</v>
      </c>
      <c r="C8" s="180">
        <v>-2.051263982252103E-2</v>
      </c>
      <c r="E8" s="5">
        <f t="shared" si="0"/>
        <v>1.8285700914024997E-2</v>
      </c>
      <c r="F8" s="5"/>
      <c r="G8" s="5">
        <f t="shared" si="1"/>
        <v>3.257140182804999E-2</v>
      </c>
      <c r="I8" s="1" t="s">
        <v>585</v>
      </c>
      <c r="J8" s="5">
        <f>AVERAGE(G4:G63)</f>
        <v>2.3659814148639345E-2</v>
      </c>
      <c r="K8" s="5">
        <f>STDEVP(G4:G63)</f>
        <v>9.1668458495951774E-2</v>
      </c>
      <c r="L8" s="5">
        <f>(J8-$N$4)/K8</f>
        <v>0.21446650757749519</v>
      </c>
    </row>
    <row r="9" spans="1:14">
      <c r="A9" s="179">
        <v>44377</v>
      </c>
      <c r="B9" s="180">
        <v>-1.4709228648884198E-2</v>
      </c>
      <c r="C9" s="180">
        <v>-1.7566297608837336E-3</v>
      </c>
      <c r="E9" s="5">
        <f t="shared" si="0"/>
        <v>-1.2118708871284106E-2</v>
      </c>
      <c r="F9" s="5"/>
      <c r="G9" s="5">
        <f t="shared" si="1"/>
        <v>-2.8237417742568213E-2</v>
      </c>
    </row>
    <row r="10" spans="1:14">
      <c r="A10" s="179">
        <v>44408</v>
      </c>
      <c r="B10" s="180">
        <v>-5.5198413609134703E-2</v>
      </c>
      <c r="C10" s="180">
        <v>7.3827440944202266E-2</v>
      </c>
      <c r="E10" s="5">
        <f t="shared" si="0"/>
        <v>-2.9393242698467308E-2</v>
      </c>
      <c r="F10" s="5"/>
      <c r="G10" s="5">
        <f t="shared" si="1"/>
        <v>-6.2786485396934613E-2</v>
      </c>
    </row>
    <row r="11" spans="1:14">
      <c r="A11" s="179">
        <v>44439</v>
      </c>
      <c r="B11" s="180">
        <v>-5.6487446263493807E-2</v>
      </c>
      <c r="C11" s="180">
        <v>-8.8105175076531123E-2</v>
      </c>
      <c r="E11" s="5">
        <f t="shared" si="0"/>
        <v>-6.281099202610127E-2</v>
      </c>
      <c r="F11" s="5"/>
      <c r="G11" s="5">
        <f t="shared" si="1"/>
        <v>-0.12962198405220254</v>
      </c>
    </row>
    <row r="12" spans="1:14">
      <c r="A12" s="179">
        <v>44469</v>
      </c>
      <c r="B12" s="180">
        <v>2.0504563567704005E-3</v>
      </c>
      <c r="C12" s="180">
        <v>-5.4309866470114439E-2</v>
      </c>
      <c r="E12" s="5">
        <f t="shared" si="0"/>
        <v>-9.221608208606567E-3</v>
      </c>
      <c r="F12" s="5"/>
      <c r="G12" s="5">
        <f t="shared" si="1"/>
        <v>-2.2443216417213134E-2</v>
      </c>
    </row>
    <row r="13" spans="1:14">
      <c r="A13" s="179">
        <v>44500</v>
      </c>
      <c r="B13" s="180">
        <v>-6.8237603523263204E-2</v>
      </c>
      <c r="C13" s="180">
        <v>-1.5597426594919334E-2</v>
      </c>
      <c r="E13" s="5">
        <f t="shared" si="0"/>
        <v>-5.7709568137594432E-2</v>
      </c>
      <c r="F13" s="5"/>
      <c r="G13" s="5">
        <f t="shared" si="1"/>
        <v>-0.11941913627518887</v>
      </c>
    </row>
    <row r="14" spans="1:14">
      <c r="A14" s="179">
        <v>44530</v>
      </c>
      <c r="B14" s="180">
        <v>5.3102184996231094E-2</v>
      </c>
      <c r="C14" s="180">
        <v>0.12860802497130377</v>
      </c>
      <c r="E14" s="5">
        <f t="shared" si="0"/>
        <v>6.8203352991245636E-2</v>
      </c>
      <c r="F14" s="5"/>
      <c r="G14" s="5">
        <f t="shared" si="1"/>
        <v>0.13240670598249127</v>
      </c>
    </row>
    <row r="15" spans="1:14">
      <c r="A15" s="179">
        <v>44561</v>
      </c>
      <c r="B15" s="180">
        <v>-3.9633765070039795E-2</v>
      </c>
      <c r="C15" s="180">
        <v>5.2762199374872865E-2</v>
      </c>
      <c r="E15" s="5">
        <f t="shared" si="0"/>
        <v>-2.1154572181057263E-2</v>
      </c>
      <c r="F15" s="5"/>
      <c r="G15" s="5">
        <f t="shared" si="1"/>
        <v>-4.6309144362114529E-2</v>
      </c>
    </row>
    <row r="16" spans="1:14">
      <c r="A16" s="179">
        <v>44592</v>
      </c>
      <c r="B16" s="180">
        <v>7.393823215719901E-3</v>
      </c>
      <c r="C16" s="180">
        <v>-1.7896146187771335E-2</v>
      </c>
      <c r="E16" s="5">
        <f t="shared" si="0"/>
        <v>2.3358293350216543E-3</v>
      </c>
      <c r="F16" s="5"/>
      <c r="G16" s="5">
        <f t="shared" si="1"/>
        <v>6.7165867004330849E-4</v>
      </c>
    </row>
    <row r="17" spans="1:7">
      <c r="A17" s="179">
        <v>44620</v>
      </c>
      <c r="B17" s="180">
        <v>5.3755745323470078E-4</v>
      </c>
      <c r="C17" s="180">
        <v>-6.5076557210500846E-2</v>
      </c>
      <c r="E17" s="5">
        <f t="shared" si="0"/>
        <v>-1.2585265479512411E-2</v>
      </c>
      <c r="F17" s="5"/>
      <c r="G17" s="5">
        <f t="shared" si="1"/>
        <v>-2.9170530959024821E-2</v>
      </c>
    </row>
    <row r="18" spans="1:7">
      <c r="A18" s="179">
        <v>44651</v>
      </c>
      <c r="B18" s="180">
        <v>-1.14065606363166E-2</v>
      </c>
      <c r="C18" s="180">
        <v>-1.4504625767016333E-2</v>
      </c>
      <c r="E18" s="5">
        <f t="shared" si="0"/>
        <v>-1.2026173662456546E-2</v>
      </c>
      <c r="F18" s="5"/>
      <c r="G18" s="5">
        <f t="shared" si="1"/>
        <v>-2.8052347324913091E-2</v>
      </c>
    </row>
    <row r="19" spans="1:7">
      <c r="A19" s="179">
        <v>44681</v>
      </c>
      <c r="B19" s="180">
        <v>7.9729409861540299E-2</v>
      </c>
      <c r="C19" s="180">
        <v>-5.3561504777688236E-2</v>
      </c>
      <c r="E19" s="5">
        <f t="shared" si="0"/>
        <v>5.3071226933694586E-2</v>
      </c>
      <c r="F19" s="5"/>
      <c r="G19" s="5">
        <f t="shared" si="1"/>
        <v>0.10214245386738917</v>
      </c>
    </row>
    <row r="20" spans="1:7">
      <c r="A20" s="179">
        <v>44712</v>
      </c>
      <c r="B20" s="180">
        <v>-2.6445954084023702E-2</v>
      </c>
      <c r="C20" s="180">
        <v>4.0429744560784173E-2</v>
      </c>
      <c r="E20" s="5">
        <f t="shared" si="0"/>
        <v>-1.3070814355062129E-2</v>
      </c>
      <c r="F20" s="5"/>
      <c r="G20" s="5">
        <f t="shared" si="1"/>
        <v>-3.0141628710124258E-2</v>
      </c>
    </row>
    <row r="21" spans="1:7">
      <c r="A21" s="179">
        <v>44742</v>
      </c>
      <c r="B21" s="180">
        <v>-8.4160186085633984E-3</v>
      </c>
      <c r="C21" s="180">
        <v>0.10178572521896126</v>
      </c>
      <c r="E21" s="5">
        <f t="shared" si="0"/>
        <v>1.3624330156941537E-2</v>
      </c>
      <c r="F21" s="5"/>
      <c r="G21" s="5">
        <f t="shared" si="1"/>
        <v>2.3248660313883073E-2</v>
      </c>
    </row>
    <row r="22" spans="1:7">
      <c r="A22" s="179">
        <v>44773</v>
      </c>
      <c r="B22" s="180">
        <v>-5.8159473928208097E-2</v>
      </c>
      <c r="C22" s="180">
        <v>7.2359276414162468E-2</v>
      </c>
      <c r="E22" s="5">
        <f t="shared" si="0"/>
        <v>-3.2055723859733987E-2</v>
      </c>
      <c r="F22" s="5"/>
      <c r="G22" s="5">
        <f t="shared" si="1"/>
        <v>-6.8111447719467977E-2</v>
      </c>
    </row>
    <row r="23" spans="1:7">
      <c r="A23" s="179">
        <v>44804</v>
      </c>
      <c r="B23" s="180">
        <v>-1.2358613866045799E-2</v>
      </c>
      <c r="C23" s="180">
        <v>-7.4200161959203037E-2</v>
      </c>
      <c r="E23" s="5">
        <f t="shared" si="0"/>
        <v>-2.4726923484677248E-2</v>
      </c>
      <c r="F23" s="5"/>
      <c r="G23" s="5">
        <f t="shared" si="1"/>
        <v>-5.3453846969354499E-2</v>
      </c>
    </row>
    <row r="24" spans="1:7">
      <c r="A24" s="179">
        <v>44834</v>
      </c>
      <c r="B24" s="180">
        <v>4.8274003207272695E-2</v>
      </c>
      <c r="C24" s="180">
        <v>7.0600041957912363E-2</v>
      </c>
      <c r="E24" s="5">
        <f t="shared" si="0"/>
        <v>5.2739210957400633E-2</v>
      </c>
      <c r="F24" s="5"/>
      <c r="G24" s="5">
        <f t="shared" si="1"/>
        <v>0.10147842191480126</v>
      </c>
    </row>
    <row r="25" spans="1:7">
      <c r="A25" s="179">
        <v>44865</v>
      </c>
      <c r="B25" s="180">
        <v>2.6766176558261998E-3</v>
      </c>
      <c r="C25" s="180">
        <v>1.9538589121195868E-2</v>
      </c>
      <c r="E25" s="5">
        <f t="shared" si="0"/>
        <v>6.0490119489001338E-3</v>
      </c>
      <c r="F25" s="5"/>
      <c r="G25" s="5">
        <f t="shared" si="1"/>
        <v>8.0980238978002675E-3</v>
      </c>
    </row>
    <row r="26" spans="1:7">
      <c r="A26" s="179">
        <v>44895</v>
      </c>
      <c r="B26" s="180">
        <v>-5.5829066780901104E-2</v>
      </c>
      <c r="C26" s="180">
        <v>-6.8031951639232341E-2</v>
      </c>
      <c r="E26" s="5">
        <f t="shared" si="0"/>
        <v>-5.8269643752567352E-2</v>
      </c>
      <c r="F26" s="5"/>
      <c r="G26" s="5">
        <f t="shared" si="1"/>
        <v>-0.12053928750513471</v>
      </c>
    </row>
    <row r="27" spans="1:7">
      <c r="A27" s="179">
        <v>44926</v>
      </c>
      <c r="B27" s="180">
        <v>5.0129811046242104E-2</v>
      </c>
      <c r="C27" s="180">
        <v>-2.925146618354843E-2</v>
      </c>
      <c r="E27" s="5">
        <f t="shared" si="0"/>
        <v>3.4253555600284001E-2</v>
      </c>
      <c r="F27" s="5"/>
      <c r="G27" s="5">
        <f t="shared" si="1"/>
        <v>6.4507111200567999E-2</v>
      </c>
    </row>
    <row r="28" spans="1:7">
      <c r="A28" s="179">
        <v>44957</v>
      </c>
      <c r="B28" s="180">
        <v>-4.5774008598708699E-2</v>
      </c>
      <c r="C28" s="180">
        <v>7.819547198620036E-2</v>
      </c>
      <c r="E28" s="5">
        <f t="shared" si="0"/>
        <v>-2.098011248172689E-2</v>
      </c>
      <c r="F28" s="5"/>
      <c r="G28" s="5">
        <f t="shared" si="1"/>
        <v>-4.5960224963453783E-2</v>
      </c>
    </row>
    <row r="29" spans="1:7">
      <c r="A29" s="179">
        <v>44985</v>
      </c>
      <c r="B29" s="180">
        <v>1.2237373873902301E-2</v>
      </c>
      <c r="C29" s="180">
        <v>5.177676571476697E-2</v>
      </c>
      <c r="E29" s="5">
        <f t="shared" si="0"/>
        <v>2.0145252242075237E-2</v>
      </c>
      <c r="F29" s="5"/>
      <c r="G29" s="5">
        <f t="shared" si="1"/>
        <v>3.6290504484150471E-2</v>
      </c>
    </row>
    <row r="30" spans="1:7">
      <c r="A30" s="179">
        <v>45016</v>
      </c>
      <c r="B30" s="180">
        <v>2.47292793904158E-2</v>
      </c>
      <c r="C30" s="180">
        <v>-3.6257639080833536E-2</v>
      </c>
      <c r="E30" s="5">
        <f t="shared" si="0"/>
        <v>1.2531895696165935E-2</v>
      </c>
      <c r="F30" s="5"/>
      <c r="G30" s="5">
        <f t="shared" si="1"/>
        <v>2.106379139233187E-2</v>
      </c>
    </row>
    <row r="31" spans="1:7">
      <c r="A31" s="179">
        <v>45046</v>
      </c>
      <c r="B31" s="180">
        <v>8.9323583407409202E-2</v>
      </c>
      <c r="C31" s="180">
        <v>7.7213849696045778E-2</v>
      </c>
      <c r="E31" s="5">
        <f t="shared" si="0"/>
        <v>8.6901636665136534E-2</v>
      </c>
      <c r="F31" s="5"/>
      <c r="G31" s="5">
        <f t="shared" si="1"/>
        <v>0.16980327333027306</v>
      </c>
    </row>
    <row r="32" spans="1:7">
      <c r="A32" s="179">
        <v>45077</v>
      </c>
      <c r="B32" s="180">
        <v>-1.9276206264335096E-2</v>
      </c>
      <c r="C32" s="180">
        <v>-3.0848635082292131E-2</v>
      </c>
      <c r="E32" s="5">
        <f t="shared" si="0"/>
        <v>-2.1590692027926503E-2</v>
      </c>
      <c r="F32" s="5"/>
      <c r="G32" s="5">
        <f t="shared" si="1"/>
        <v>-4.718138405585301E-2</v>
      </c>
    </row>
    <row r="33" spans="1:7">
      <c r="A33" s="179">
        <v>45107</v>
      </c>
      <c r="B33" s="180">
        <v>7.0309571262568996E-2</v>
      </c>
      <c r="C33" s="180">
        <v>2.7538878886229266E-2</v>
      </c>
      <c r="E33" s="5">
        <f t="shared" si="0"/>
        <v>6.1755432787301057E-2</v>
      </c>
      <c r="F33" s="5"/>
      <c r="G33" s="5">
        <f t="shared" si="1"/>
        <v>0.11951086557460211</v>
      </c>
    </row>
    <row r="34" spans="1:7">
      <c r="A34" s="179">
        <v>45138</v>
      </c>
      <c r="B34" s="180">
        <v>-3.2703517776556008E-3</v>
      </c>
      <c r="C34" s="180">
        <v>-7.949404374853232E-3</v>
      </c>
      <c r="E34" s="5">
        <f t="shared" si="0"/>
        <v>-4.2061622970951274E-3</v>
      </c>
      <c r="F34" s="5"/>
      <c r="G34" s="5">
        <f t="shared" si="1"/>
        <v>-1.2412324594190255E-2</v>
      </c>
    </row>
    <row r="35" spans="1:7">
      <c r="A35" s="179">
        <v>45169</v>
      </c>
      <c r="B35" s="180">
        <v>-6.4970711256793198E-2</v>
      </c>
      <c r="C35" s="180">
        <v>-3.3376756655398535E-2</v>
      </c>
      <c r="E35" s="5">
        <f t="shared" si="0"/>
        <v>-5.8651920336514271E-2</v>
      </c>
      <c r="F35" s="5"/>
      <c r="G35" s="5">
        <f t="shared" si="1"/>
        <v>-0.12130384067302855</v>
      </c>
    </row>
    <row r="36" spans="1:7">
      <c r="A36" s="179">
        <v>45199</v>
      </c>
      <c r="B36" s="180">
        <v>0.1008698011604824</v>
      </c>
      <c r="C36" s="180">
        <v>5.4228731183781971E-2</v>
      </c>
      <c r="E36" s="5">
        <f t="shared" si="0"/>
        <v>9.1541587165142324E-2</v>
      </c>
      <c r="F36" s="5"/>
      <c r="G36" s="5">
        <f t="shared" si="1"/>
        <v>0.17908317433028464</v>
      </c>
    </row>
    <row r="37" spans="1:7">
      <c r="A37" s="179">
        <v>45230</v>
      </c>
      <c r="B37" s="180">
        <v>5.9456694071308505E-2</v>
      </c>
      <c r="C37" s="180">
        <v>-1.1349522567618321E-3</v>
      </c>
      <c r="E37" s="5">
        <f t="shared" si="0"/>
        <v>4.7338364805694436E-2</v>
      </c>
      <c r="F37" s="5"/>
      <c r="G37" s="5">
        <f t="shared" si="1"/>
        <v>9.0676729611388868E-2</v>
      </c>
    </row>
    <row r="38" spans="1:7">
      <c r="A38" s="179">
        <v>45260</v>
      </c>
      <c r="B38" s="180">
        <v>2.3012522160816007E-3</v>
      </c>
      <c r="C38" s="180">
        <v>5.9127505256783869E-2</v>
      </c>
      <c r="E38" s="5">
        <f t="shared" si="0"/>
        <v>1.3666502824222056E-2</v>
      </c>
      <c r="F38" s="5"/>
      <c r="G38" s="5">
        <f t="shared" si="1"/>
        <v>2.3333005648444111E-2</v>
      </c>
    </row>
    <row r="39" spans="1:7">
      <c r="A39" s="179">
        <v>45291</v>
      </c>
      <c r="B39" s="180">
        <v>9.5128167499571495E-2</v>
      </c>
      <c r="C39" s="180">
        <v>1.9415958279367967E-2</v>
      </c>
      <c r="E39" s="5">
        <f t="shared" si="0"/>
        <v>7.9985725655530804E-2</v>
      </c>
      <c r="F39" s="5"/>
      <c r="G39" s="5">
        <f t="shared" si="1"/>
        <v>0.1559714513110616</v>
      </c>
    </row>
    <row r="40" spans="1:7">
      <c r="A40" s="179">
        <v>45322</v>
      </c>
      <c r="B40" s="180">
        <v>8.4397308492837803E-2</v>
      </c>
      <c r="C40" s="180">
        <v>-8.8100987757460322E-3</v>
      </c>
      <c r="E40" s="5">
        <f t="shared" si="0"/>
        <v>6.5755827039121029E-2</v>
      </c>
      <c r="F40" s="5"/>
      <c r="G40" s="5">
        <f t="shared" si="1"/>
        <v>0.12751165407824205</v>
      </c>
    </row>
    <row r="41" spans="1:7">
      <c r="A41" s="179">
        <v>45351</v>
      </c>
      <c r="B41" s="180">
        <v>-2.4350014040542201E-2</v>
      </c>
      <c r="C41" s="180">
        <v>-0.17576836080881303</v>
      </c>
      <c r="E41" s="5">
        <f t="shared" si="0"/>
        <v>-5.4633683394196372E-2</v>
      </c>
      <c r="F41" s="5"/>
      <c r="G41" s="5">
        <f t="shared" si="1"/>
        <v>-0.11326736678839275</v>
      </c>
    </row>
    <row r="42" spans="1:7">
      <c r="A42" s="179">
        <v>45382</v>
      </c>
      <c r="B42" s="180">
        <v>8.8188715012461009E-3</v>
      </c>
      <c r="C42" s="180">
        <v>3.3656879313124069E-2</v>
      </c>
      <c r="E42" s="5">
        <f t="shared" si="0"/>
        <v>1.3786473063621695E-2</v>
      </c>
      <c r="F42" s="5"/>
      <c r="G42" s="5">
        <f t="shared" si="1"/>
        <v>2.357294612724339E-2</v>
      </c>
    </row>
    <row r="43" spans="1:7">
      <c r="A43" s="179">
        <v>45412</v>
      </c>
      <c r="B43" s="180">
        <v>-6.2842863864649101E-2</v>
      </c>
      <c r="C43" s="180">
        <v>6.4687984845139865E-2</v>
      </c>
      <c r="E43" s="5">
        <f t="shared" si="0"/>
        <v>-3.7336694122691312E-2</v>
      </c>
      <c r="F43" s="5"/>
      <c r="G43" s="5">
        <f t="shared" si="1"/>
        <v>-7.8673388245382628E-2</v>
      </c>
    </row>
    <row r="44" spans="1:7">
      <c r="A44" s="179">
        <v>45443</v>
      </c>
      <c r="B44" s="180">
        <v>2.7559402033529599E-2</v>
      </c>
      <c r="C44" s="180">
        <v>3.0562536982706688E-4</v>
      </c>
      <c r="E44" s="5">
        <f t="shared" si="0"/>
        <v>2.2108646700789093E-2</v>
      </c>
      <c r="F44" s="5"/>
      <c r="G44" s="5">
        <f t="shared" si="1"/>
        <v>4.0217293401578189E-2</v>
      </c>
    </row>
    <row r="45" spans="1:7">
      <c r="A45" s="179">
        <v>45473</v>
      </c>
      <c r="B45" s="180">
        <v>4.10301830139485E-2</v>
      </c>
      <c r="C45" s="180">
        <v>0.13478145072106387</v>
      </c>
      <c r="E45" s="5">
        <f t="shared" si="0"/>
        <v>5.9780436555371574E-2</v>
      </c>
      <c r="F45" s="5"/>
      <c r="G45" s="5">
        <f t="shared" si="1"/>
        <v>0.11556087311074315</v>
      </c>
    </row>
    <row r="46" spans="1:7">
      <c r="A46" s="179">
        <v>45504</v>
      </c>
      <c r="B46" s="180">
        <v>-2.6546248668383E-2</v>
      </c>
      <c r="C46" s="180">
        <v>-2.5201951002825233E-2</v>
      </c>
      <c r="E46" s="5">
        <f t="shared" si="0"/>
        <v>-2.6277389135271449E-2</v>
      </c>
      <c r="F46" s="5"/>
      <c r="G46" s="5">
        <f t="shared" si="1"/>
        <v>-5.6554778270542894E-2</v>
      </c>
    </row>
    <row r="47" spans="1:7">
      <c r="A47" s="179">
        <v>45535</v>
      </c>
      <c r="B47" s="180">
        <v>6.0250217769523398E-2</v>
      </c>
      <c r="C47" s="180">
        <v>8.0095784008425458E-2</v>
      </c>
      <c r="E47" s="5">
        <f t="shared" si="0"/>
        <v>6.4219331017303816E-2</v>
      </c>
      <c r="F47" s="5"/>
      <c r="G47" s="5">
        <f t="shared" si="1"/>
        <v>0.12443866203460763</v>
      </c>
    </row>
    <row r="48" spans="1:7">
      <c r="A48" s="179">
        <v>45565</v>
      </c>
      <c r="B48" s="180">
        <v>2.4939358615330198E-2</v>
      </c>
      <c r="C48" s="180">
        <v>-2.419044349247973E-2</v>
      </c>
      <c r="E48" s="5">
        <f t="shared" si="0"/>
        <v>1.5113398193768213E-2</v>
      </c>
      <c r="F48" s="5"/>
      <c r="G48" s="5">
        <f t="shared" si="1"/>
        <v>2.6226796387536427E-2</v>
      </c>
    </row>
    <row r="49" spans="1:7">
      <c r="A49" s="179">
        <v>45596</v>
      </c>
      <c r="B49" s="180">
        <v>6.3022641527020598E-2</v>
      </c>
      <c r="C49" s="180">
        <v>1.1308608492833367E-2</v>
      </c>
      <c r="E49" s="5">
        <f t="shared" si="0"/>
        <v>5.2679834920183154E-2</v>
      </c>
      <c r="F49" s="5"/>
      <c r="G49" s="5">
        <f t="shared" si="1"/>
        <v>0.1013596698403663</v>
      </c>
    </row>
    <row r="50" spans="1:7">
      <c r="A50" s="179">
        <v>45626</v>
      </c>
      <c r="B50" s="180">
        <v>-1.5964588799277299E-2</v>
      </c>
      <c r="C50" s="180">
        <v>-2.0933502008531835E-2</v>
      </c>
      <c r="E50" s="5">
        <f t="shared" si="0"/>
        <v>-1.6958371441128207E-2</v>
      </c>
      <c r="F50" s="5"/>
      <c r="G50" s="5">
        <f t="shared" si="1"/>
        <v>-3.791674288225641E-2</v>
      </c>
    </row>
    <row r="51" spans="1:7">
      <c r="A51" s="179">
        <v>45657</v>
      </c>
      <c r="B51" s="180">
        <v>-5.5008405255637008E-2</v>
      </c>
      <c r="C51" s="180">
        <v>2.1365694045609368E-2</v>
      </c>
      <c r="E51" s="5">
        <f t="shared" si="0"/>
        <v>-3.9733585395387731E-2</v>
      </c>
      <c r="F51" s="5"/>
      <c r="G51" s="5">
        <f t="shared" si="1"/>
        <v>-8.3467170790775466E-2</v>
      </c>
    </row>
    <row r="52" spans="1:7">
      <c r="A52" s="179">
        <v>45688</v>
      </c>
      <c r="B52" s="180">
        <v>3.88779211944668E-2</v>
      </c>
      <c r="C52" s="180">
        <v>3.8075506097315165E-2</v>
      </c>
      <c r="E52" s="5">
        <f t="shared" si="0"/>
        <v>3.8717438175036478E-2</v>
      </c>
      <c r="F52" s="5"/>
      <c r="G52" s="5">
        <f t="shared" si="1"/>
        <v>7.3434876350072953E-2</v>
      </c>
    </row>
    <row r="53" spans="1:7">
      <c r="A53" s="179">
        <v>45716</v>
      </c>
      <c r="B53" s="180">
        <v>9.1114131725783011E-3</v>
      </c>
      <c r="C53" s="180">
        <v>2.6763263578787569E-2</v>
      </c>
      <c r="E53" s="5">
        <f t="shared" si="0"/>
        <v>1.2641783253820156E-2</v>
      </c>
      <c r="F53" s="5"/>
      <c r="G53" s="5">
        <f t="shared" si="1"/>
        <v>2.1283566507640312E-2</v>
      </c>
    </row>
    <row r="54" spans="1:7">
      <c r="A54" s="179">
        <v>45747</v>
      </c>
      <c r="B54" s="180">
        <v>-4.1220376429873598E-2</v>
      </c>
      <c r="C54" s="180">
        <v>-6.9061535016454845E-2</v>
      </c>
      <c r="E54" s="5">
        <f t="shared" si="0"/>
        <v>-4.6788608147189846E-2</v>
      </c>
      <c r="F54" s="5"/>
      <c r="G54" s="5">
        <f t="shared" si="1"/>
        <v>-9.7577216294379696E-2</v>
      </c>
    </row>
    <row r="55" spans="1:7">
      <c r="A55" s="179">
        <v>45777</v>
      </c>
      <c r="B55" s="180">
        <v>-2.5415627540614199E-2</v>
      </c>
      <c r="C55" s="180">
        <v>1.2792577878884468E-2</v>
      </c>
      <c r="E55" s="5">
        <f t="shared" si="0"/>
        <v>-1.7773986456714463E-2</v>
      </c>
      <c r="F55" s="5"/>
      <c r="G55" s="5">
        <f t="shared" si="1"/>
        <v>-3.954797291342893E-2</v>
      </c>
    </row>
    <row r="56" spans="1:7">
      <c r="A56" s="179">
        <v>45808</v>
      </c>
      <c r="B56" s="180">
        <v>3.1298945249346899E-2</v>
      </c>
      <c r="C56" s="180">
        <v>3.5299179651814682E-3</v>
      </c>
      <c r="E56" s="5">
        <f t="shared" si="0"/>
        <v>2.5745139792513815E-2</v>
      </c>
      <c r="F56" s="5"/>
      <c r="G56" s="5">
        <f t="shared" si="1"/>
        <v>4.7490279585027634E-2</v>
      </c>
    </row>
    <row r="57" spans="1:7">
      <c r="A57" s="179">
        <v>45838</v>
      </c>
      <c r="B57" s="180">
        <v>8.2684936828166092E-2</v>
      </c>
      <c r="C57" s="180">
        <v>0.15069932703573466</v>
      </c>
      <c r="E57" s="5">
        <f t="shared" si="0"/>
        <v>9.62878148696798E-2</v>
      </c>
      <c r="F57" s="5"/>
      <c r="G57" s="5">
        <f t="shared" si="1"/>
        <v>0.1885756297393596</v>
      </c>
    </row>
    <row r="58" spans="1:7">
      <c r="A58" s="179">
        <v>45869</v>
      </c>
      <c r="B58" s="180">
        <v>2.3459628019651603E-2</v>
      </c>
      <c r="C58" s="180">
        <v>4.1481930155759468E-2</v>
      </c>
      <c r="E58" s="5">
        <f t="shared" si="0"/>
        <v>2.7064088446873177E-2</v>
      </c>
      <c r="F58" s="5"/>
      <c r="G58" s="5">
        <f t="shared" si="1"/>
        <v>5.0128176893746351E-2</v>
      </c>
    </row>
    <row r="59" spans="1:7">
      <c r="A59" s="179">
        <v>45900</v>
      </c>
      <c r="B59" s="180">
        <v>-3.9493869962355502E-2</v>
      </c>
      <c r="C59" s="180">
        <v>-0.11138563714333663</v>
      </c>
      <c r="E59" s="5">
        <f t="shared" si="0"/>
        <v>-5.387222339855173E-2</v>
      </c>
      <c r="F59" s="5"/>
      <c r="G59" s="5">
        <f t="shared" si="1"/>
        <v>-0.11174444679710346</v>
      </c>
    </row>
    <row r="60" spans="1:7">
      <c r="A60" s="179">
        <v>45930</v>
      </c>
      <c r="B60" s="180">
        <v>0.12547684034245832</v>
      </c>
      <c r="C60" s="180">
        <v>-1.8440020238480931E-2</v>
      </c>
      <c r="E60" s="5">
        <f t="shared" si="0"/>
        <v>9.6693468226270465E-2</v>
      </c>
      <c r="F60" s="5"/>
      <c r="G60" s="5">
        <f t="shared" si="1"/>
        <v>0.18938693645254093</v>
      </c>
    </row>
    <row r="61" spans="1:7">
      <c r="A61" s="179">
        <v>45961</v>
      </c>
      <c r="B61" s="180">
        <v>2.6012197227557002E-2</v>
      </c>
      <c r="C61" s="180">
        <v>3.2233446929125671E-3</v>
      </c>
      <c r="E61" s="5">
        <f t="shared" si="0"/>
        <v>2.1454426720628118E-2</v>
      </c>
      <c r="F61" s="5"/>
      <c r="G61" s="5">
        <f t="shared" si="1"/>
        <v>3.8908853441256233E-2</v>
      </c>
    </row>
    <row r="62" spans="1:7">
      <c r="A62" s="179">
        <v>45991</v>
      </c>
      <c r="B62" s="180">
        <v>-3.1798127210024396E-2</v>
      </c>
      <c r="C62" s="180">
        <v>4.0965738511749963E-2</v>
      </c>
      <c r="E62" s="5">
        <f t="shared" si="0"/>
        <v>-1.7245354065669523E-2</v>
      </c>
      <c r="F62" s="5"/>
      <c r="G62" s="5">
        <f t="shared" si="1"/>
        <v>-3.8490708131339049E-2</v>
      </c>
    </row>
    <row r="63" spans="1:7">
      <c r="A63" s="179">
        <v>46022</v>
      </c>
      <c r="B63" s="180">
        <v>8.50366186952385E-2</v>
      </c>
      <c r="C63" s="180">
        <v>8.8284617108651181E-2</v>
      </c>
      <c r="E63" s="5">
        <f t="shared" si="0"/>
        <v>8.5686218377921036E-2</v>
      </c>
      <c r="F63" s="5"/>
      <c r="G63" s="5">
        <f t="shared" si="1"/>
        <v>0.16737243675584207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19"/>
  <sheetViews>
    <sheetView workbookViewId="0">
      <selection activeCell="G7" sqref="G7"/>
    </sheetView>
  </sheetViews>
  <sheetFormatPr defaultRowHeight="15"/>
  <cols>
    <col min="1" max="1" width="8.42578125" customWidth="1"/>
    <col min="2" max="2" width="6.42578125" bestFit="1" customWidth="1"/>
    <col min="3" max="3" width="7" bestFit="1" customWidth="1"/>
    <col min="5" max="5" width="6.5703125" customWidth="1"/>
    <col min="6" max="6" width="8.42578125" customWidth="1"/>
    <col min="7" max="7" width="21.5703125" customWidth="1"/>
    <col min="8" max="8" width="7.42578125" bestFit="1" customWidth="1"/>
    <col min="10" max="10" width="10.42578125" bestFit="1" customWidth="1"/>
  </cols>
  <sheetData>
    <row r="1" spans="1:10" ht="21">
      <c r="A1" s="194" t="s">
        <v>589</v>
      </c>
      <c r="B1" s="195"/>
      <c r="C1" s="195"/>
      <c r="D1" s="195"/>
      <c r="E1" s="195"/>
      <c r="F1" s="195"/>
    </row>
    <row r="2" spans="1:10">
      <c r="E2" s="295" t="s">
        <v>26</v>
      </c>
      <c r="F2" s="296"/>
    </row>
    <row r="3" spans="1:10">
      <c r="A3" s="150" t="s">
        <v>163</v>
      </c>
      <c r="B3" s="148" t="s">
        <v>0</v>
      </c>
      <c r="C3" s="148" t="s">
        <v>1</v>
      </c>
      <c r="E3" s="3" t="s">
        <v>0</v>
      </c>
      <c r="F3" s="3" t="s">
        <v>1</v>
      </c>
      <c r="H3" s="3" t="s">
        <v>27</v>
      </c>
    </row>
    <row r="4" spans="1:10">
      <c r="A4" s="179">
        <v>45686</v>
      </c>
      <c r="B4" s="182">
        <v>2.66491685871066E-2</v>
      </c>
      <c r="C4" s="182">
        <v>2.3251451798530299E-3</v>
      </c>
      <c r="D4" s="2"/>
      <c r="E4" s="2">
        <f t="shared" ref="E4:E15" si="0">B4-$B$17</f>
        <v>1.0365690878234805E-2</v>
      </c>
      <c r="F4" s="2">
        <f t="shared" ref="F4:F15" si="1">C4-$C$17</f>
        <v>3.5865547599501692E-3</v>
      </c>
      <c r="G4" s="2"/>
      <c r="H4" s="2">
        <f t="shared" ref="H4:H15" si="2">E4*F4</f>
        <v>3.7177117959505086E-5</v>
      </c>
      <c r="J4" s="39"/>
    </row>
    <row r="5" spans="1:10">
      <c r="A5" s="179">
        <v>45714</v>
      </c>
      <c r="B5" s="182">
        <v>-7.9993111119980503E-2</v>
      </c>
      <c r="C5" s="182">
        <v>-0.18285430765304</v>
      </c>
      <c r="D5" s="2"/>
      <c r="E5" s="2">
        <f t="shared" si="0"/>
        <v>-9.6276588828852303E-2</v>
      </c>
      <c r="F5" s="2">
        <f t="shared" si="1"/>
        <v>-0.18159289807294288</v>
      </c>
      <c r="G5" s="2"/>
      <c r="H5" s="2">
        <f t="shared" si="2"/>
        <v>1.7483144782008408E-2</v>
      </c>
      <c r="J5" s="39"/>
    </row>
    <row r="6" spans="1:10">
      <c r="A6" s="179">
        <v>45747</v>
      </c>
      <c r="B6" s="182">
        <v>0.12781874616733399</v>
      </c>
      <c r="C6" s="182">
        <v>7.7511807811569897E-2</v>
      </c>
      <c r="D6" s="2"/>
      <c r="E6" s="2">
        <f t="shared" si="0"/>
        <v>0.11153526845846219</v>
      </c>
      <c r="F6" s="2">
        <f t="shared" si="1"/>
        <v>7.8773217391667039E-2</v>
      </c>
      <c r="G6" s="2"/>
      <c r="H6" s="2">
        <f t="shared" si="2"/>
        <v>8.7859919491163861E-3</v>
      </c>
      <c r="J6" s="39"/>
    </row>
    <row r="7" spans="1:10">
      <c r="A7" s="179">
        <v>45777</v>
      </c>
      <c r="B7" s="182">
        <v>4.30954365242011E-2</v>
      </c>
      <c r="C7" s="182">
        <v>-0.123367742221906</v>
      </c>
      <c r="D7" s="2"/>
      <c r="E7" s="2">
        <f t="shared" si="0"/>
        <v>2.6811958815329304E-2</v>
      </c>
      <c r="F7" s="2">
        <f t="shared" si="1"/>
        <v>-0.12210633264180885</v>
      </c>
      <c r="G7" s="2"/>
      <c r="H7" s="2">
        <f t="shared" si="2"/>
        <v>-3.2739099618830795E-3</v>
      </c>
      <c r="J7" s="39"/>
    </row>
    <row r="8" spans="1:10">
      <c r="A8" s="179">
        <v>45805</v>
      </c>
      <c r="B8" s="182">
        <v>4.9127124826307102E-3</v>
      </c>
      <c r="C8" s="182">
        <v>-5.4880200659160501E-3</v>
      </c>
      <c r="D8" s="2"/>
      <c r="E8" s="2">
        <f t="shared" si="0"/>
        <v>-1.1370765226241086E-2</v>
      </c>
      <c r="F8" s="2">
        <f t="shared" si="1"/>
        <v>-4.2266104858189107E-3</v>
      </c>
      <c r="G8" s="2"/>
      <c r="H8" s="2">
        <f t="shared" si="2"/>
        <v>4.8059795537015612E-5</v>
      </c>
      <c r="J8" s="39"/>
    </row>
    <row r="9" spans="1:10">
      <c r="A9" s="179">
        <v>45838</v>
      </c>
      <c r="B9" s="182">
        <v>-1.49670290589293E-2</v>
      </c>
      <c r="C9" s="182">
        <v>0.18919986086454399</v>
      </c>
      <c r="D9" s="2"/>
      <c r="E9" s="2">
        <f t="shared" si="0"/>
        <v>-3.1250506767801098E-2</v>
      </c>
      <c r="F9" s="2">
        <f t="shared" si="1"/>
        <v>0.19046127044464112</v>
      </c>
      <c r="G9" s="2"/>
      <c r="H9" s="2">
        <f t="shared" si="2"/>
        <v>-5.9520112210342526E-3</v>
      </c>
      <c r="J9" s="39"/>
    </row>
    <row r="10" spans="1:10">
      <c r="A10" s="179">
        <v>45868</v>
      </c>
      <c r="B10" s="182">
        <v>6.4728517382665898E-2</v>
      </c>
      <c r="C10" s="182">
        <v>-4.9386820408811101E-2</v>
      </c>
      <c r="D10" s="2"/>
      <c r="E10" s="2">
        <f t="shared" si="0"/>
        <v>4.8445039673794099E-2</v>
      </c>
      <c r="F10" s="2">
        <f t="shared" si="1"/>
        <v>-4.8125410828713959E-2</v>
      </c>
      <c r="G10" s="2"/>
      <c r="H10" s="2">
        <f t="shared" si="2"/>
        <v>-2.331437436914688E-3</v>
      </c>
      <c r="J10" s="39"/>
    </row>
    <row r="11" spans="1:10">
      <c r="A11" s="179">
        <v>45900</v>
      </c>
      <c r="B11" s="182">
        <v>4.9579659557048199E-3</v>
      </c>
      <c r="C11" s="182">
        <v>9.2515097626366199E-2</v>
      </c>
      <c r="D11" s="2"/>
      <c r="E11" s="2">
        <f t="shared" si="0"/>
        <v>-1.1325511753166977E-2</v>
      </c>
      <c r="F11" s="2">
        <f t="shared" si="1"/>
        <v>9.3776507206463341E-2</v>
      </c>
      <c r="G11" s="1"/>
      <c r="H11" s="2">
        <f t="shared" si="2"/>
        <v>-1.0620669345377482E-3</v>
      </c>
      <c r="J11" s="39"/>
    </row>
    <row r="12" spans="1:10">
      <c r="A12" s="179">
        <v>45930</v>
      </c>
      <c r="B12" s="182">
        <v>-6.7552166575601202E-2</v>
      </c>
      <c r="C12" s="182">
        <v>1.5531905153964401E-2</v>
      </c>
      <c r="E12" s="2">
        <f t="shared" si="0"/>
        <v>-8.3835644284473002E-2</v>
      </c>
      <c r="F12" s="2">
        <f t="shared" si="1"/>
        <v>1.6793314734061541E-2</v>
      </c>
      <c r="H12" s="2">
        <f t="shared" si="2"/>
        <v>-1.4078783604019826E-3</v>
      </c>
      <c r="J12" s="39"/>
    </row>
    <row r="13" spans="1:10">
      <c r="A13" s="179">
        <v>45959</v>
      </c>
      <c r="B13" s="182">
        <v>4.5291651401516399E-2</v>
      </c>
      <c r="C13" s="182">
        <v>0.25277600549802298</v>
      </c>
      <c r="E13" s="2">
        <f t="shared" si="0"/>
        <v>2.9008173692644603E-2</v>
      </c>
      <c r="F13" s="2">
        <f t="shared" si="1"/>
        <v>0.25403741507812011</v>
      </c>
      <c r="H13" s="2">
        <f t="shared" si="2"/>
        <v>7.3691614610165608E-3</v>
      </c>
      <c r="J13" s="39"/>
    </row>
    <row r="14" spans="1:10">
      <c r="A14" s="179">
        <v>45991</v>
      </c>
      <c r="B14" s="182">
        <v>-3.9738062631339097E-2</v>
      </c>
      <c r="C14" s="182">
        <v>-0.13370681790633401</v>
      </c>
      <c r="E14" s="2">
        <f t="shared" si="0"/>
        <v>-5.6021540340210896E-2</v>
      </c>
      <c r="F14" s="2">
        <f t="shared" si="1"/>
        <v>-0.13244540832623689</v>
      </c>
      <c r="H14" s="2">
        <f t="shared" si="2"/>
        <v>7.4197957854239835E-3</v>
      </c>
      <c r="J14" s="39"/>
    </row>
    <row r="15" spans="1:10">
      <c r="A15" s="179">
        <v>46021</v>
      </c>
      <c r="B15" s="182">
        <v>8.0197903391152098E-2</v>
      </c>
      <c r="C15" s="182">
        <v>-0.15019302883947899</v>
      </c>
      <c r="E15" s="2">
        <f t="shared" si="0"/>
        <v>6.3914425682280299E-2</v>
      </c>
      <c r="F15" s="2">
        <f t="shared" si="1"/>
        <v>-0.14893161925938186</v>
      </c>
      <c r="H15" s="2">
        <f t="shared" si="2"/>
        <v>-9.5188789108954282E-3</v>
      </c>
      <c r="J15" s="39"/>
    </row>
    <row r="16" spans="1:10">
      <c r="A16" s="147"/>
      <c r="B16" s="147"/>
      <c r="C16" s="147"/>
    </row>
    <row r="17" spans="1:9">
      <c r="A17" s="147" t="s">
        <v>13</v>
      </c>
      <c r="B17" s="181">
        <f>AVERAGE(B4:B15)</f>
        <v>1.6283477708871796E-2</v>
      </c>
      <c r="C17" s="181">
        <f>AVERAGE(C4:C15)</f>
        <v>-1.2614095800971396E-3</v>
      </c>
    </row>
    <row r="18" spans="1:9">
      <c r="G18" t="s">
        <v>306</v>
      </c>
      <c r="H18" s="36">
        <f>AVERAGE(H4:H15)</f>
        <v>1.4664290054495568E-3</v>
      </c>
      <c r="I18" t="s">
        <v>597</v>
      </c>
    </row>
    <row r="19" spans="1:9">
      <c r="G19" t="s">
        <v>306</v>
      </c>
      <c r="H19" s="36">
        <f>_xlfn.COVARIANCE.P(B4:B15,C4:C15)</f>
        <v>1.4664290054495568E-3</v>
      </c>
      <c r="I19" t="s">
        <v>598</v>
      </c>
    </row>
  </sheetData>
  <mergeCells count="1">
    <mergeCell ref="E2:F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7181-12D3-4EB7-900E-65F36B9EECCA}">
  <dimension ref="A1:L56"/>
  <sheetViews>
    <sheetView topLeftCell="A2" workbookViewId="0">
      <selection activeCell="F15" sqref="F15"/>
    </sheetView>
  </sheetViews>
  <sheetFormatPr defaultRowHeight="15"/>
  <cols>
    <col min="1" max="1" width="14.42578125" customWidth="1"/>
    <col min="2" max="2" width="24.5703125" customWidth="1"/>
    <col min="3" max="3" width="10.42578125" style="129" bestFit="1" customWidth="1"/>
    <col min="4" max="4" width="14.5703125" style="96" customWidth="1"/>
    <col min="6" max="6" width="10" bestFit="1" customWidth="1"/>
    <col min="11" max="11" width="17" bestFit="1" customWidth="1"/>
    <col min="12" max="12" width="12.5703125" bestFit="1" customWidth="1"/>
  </cols>
  <sheetData>
    <row r="1" spans="1:12" ht="21">
      <c r="A1" s="194" t="s">
        <v>590</v>
      </c>
      <c r="B1" s="195"/>
      <c r="C1" s="195"/>
      <c r="D1"/>
    </row>
    <row r="2" spans="1:12" ht="15" customHeight="1">
      <c r="A2" s="192"/>
      <c r="C2"/>
      <c r="D2"/>
    </row>
    <row r="3" spans="1:12">
      <c r="A3" s="147"/>
      <c r="B3" s="150"/>
      <c r="C3" s="148" t="s">
        <v>435</v>
      </c>
      <c r="D3" s="183" t="s">
        <v>434</v>
      </c>
    </row>
    <row r="4" spans="1:12">
      <c r="A4" s="147"/>
      <c r="B4" s="147"/>
      <c r="C4" s="184"/>
      <c r="D4" s="185" t="s">
        <v>429</v>
      </c>
    </row>
    <row r="5" spans="1:12" ht="30">
      <c r="A5" s="186" t="s">
        <v>361</v>
      </c>
      <c r="B5" s="186" t="s">
        <v>413</v>
      </c>
      <c r="C5" s="187" t="s">
        <v>359</v>
      </c>
      <c r="D5" s="188" t="s">
        <v>360</v>
      </c>
      <c r="I5" s="1" t="s">
        <v>433</v>
      </c>
    </row>
    <row r="6" spans="1:12">
      <c r="A6" s="189" t="s">
        <v>362</v>
      </c>
      <c r="B6" s="189" t="s">
        <v>414</v>
      </c>
      <c r="C6" s="190">
        <v>30</v>
      </c>
      <c r="D6" s="191">
        <v>36.6</v>
      </c>
      <c r="F6" s="295" t="s">
        <v>430</v>
      </c>
      <c r="G6" s="295"/>
      <c r="I6">
        <f>D6-$G$7-$G$8*C6</f>
        <v>-28.823515647060841</v>
      </c>
      <c r="K6" t="s">
        <v>432</v>
      </c>
      <c r="L6" s="2">
        <f>AVERAGE(I6:I56)</f>
        <v>8.0806820929580018E-15</v>
      </c>
    </row>
    <row r="7" spans="1:12">
      <c r="A7" s="189" t="s">
        <v>363</v>
      </c>
      <c r="B7" s="189" t="s">
        <v>414</v>
      </c>
      <c r="C7" s="184">
        <v>27.7</v>
      </c>
      <c r="D7" s="191">
        <v>48.8</v>
      </c>
      <c r="F7" t="s">
        <v>52</v>
      </c>
      <c r="G7" s="2">
        <f>INTERCEPT(D6:D56,C6:C56)</f>
        <v>34.894176754316554</v>
      </c>
      <c r="I7">
        <f t="shared" ref="I7:I56" si="0">D7-$G$7-$G$8*C7</f>
        <v>-14.282932998617117</v>
      </c>
      <c r="K7" t="s">
        <v>436</v>
      </c>
      <c r="L7" s="2">
        <f>COVAR(I6:I56,C6:C56)</f>
        <v>-4.640623397538583E-15</v>
      </c>
    </row>
    <row r="8" spans="1:12">
      <c r="A8" s="189" t="s">
        <v>364</v>
      </c>
      <c r="B8" s="189" t="s">
        <v>414</v>
      </c>
      <c r="C8" s="184">
        <v>26.2</v>
      </c>
      <c r="D8" s="191">
        <v>64.600000000000009</v>
      </c>
      <c r="F8" t="s">
        <v>55</v>
      </c>
      <c r="G8" s="2">
        <f>SLOPE(D6:D56,C6:C56)</f>
        <v>1.017644629758143</v>
      </c>
      <c r="I8">
        <f t="shared" si="0"/>
        <v>3.0435339460201085</v>
      </c>
    </row>
    <row r="9" spans="1:12">
      <c r="A9" s="189" t="s">
        <v>365</v>
      </c>
      <c r="B9" s="189" t="s">
        <v>414</v>
      </c>
      <c r="C9" s="184">
        <v>25.8</v>
      </c>
      <c r="D9" s="191">
        <v>54.900000000000006</v>
      </c>
      <c r="I9">
        <f t="shared" si="0"/>
        <v>-6.2494082020766371</v>
      </c>
    </row>
    <row r="10" spans="1:12">
      <c r="A10" s="189" t="s">
        <v>366</v>
      </c>
      <c r="B10" s="189" t="s">
        <v>414</v>
      </c>
      <c r="C10" s="184">
        <v>23.8</v>
      </c>
      <c r="D10" s="191">
        <v>57.3</v>
      </c>
      <c r="F10" s="295" t="s">
        <v>431</v>
      </c>
      <c r="G10" s="295"/>
      <c r="I10">
        <f t="shared" si="0"/>
        <v>-1.8141189425603592</v>
      </c>
    </row>
    <row r="11" spans="1:12">
      <c r="A11" s="189" t="s">
        <v>367</v>
      </c>
      <c r="B11" s="189" t="s">
        <v>414</v>
      </c>
      <c r="C11" s="184">
        <v>24.8</v>
      </c>
      <c r="D11" s="191">
        <v>73.2</v>
      </c>
      <c r="F11" t="s">
        <v>52</v>
      </c>
      <c r="G11" s="2">
        <f>AVERAGE(D6:D56)-G12*AVERAGE(C6:C56)</f>
        <v>34.894176754316582</v>
      </c>
      <c r="I11">
        <f t="shared" si="0"/>
        <v>13.068236427681502</v>
      </c>
    </row>
    <row r="12" spans="1:12">
      <c r="A12" s="189" t="s">
        <v>368</v>
      </c>
      <c r="B12" s="189" t="s">
        <v>414</v>
      </c>
      <c r="C12" s="184">
        <v>26.2</v>
      </c>
      <c r="D12" s="191">
        <v>65.900000000000006</v>
      </c>
      <c r="F12" t="s">
        <v>55</v>
      </c>
      <c r="G12" s="2">
        <f>COVAR(C6:C56,D6:D56)/VARP(C6:C56)</f>
        <v>1.0176446297581418</v>
      </c>
      <c r="I12">
        <f t="shared" si="0"/>
        <v>4.3435339460201057</v>
      </c>
    </row>
    <row r="13" spans="1:12">
      <c r="A13" s="189" t="s">
        <v>369</v>
      </c>
      <c r="B13" s="189" t="s">
        <v>414</v>
      </c>
      <c r="C13" s="184">
        <v>23.9</v>
      </c>
      <c r="D13" s="191">
        <v>69.5</v>
      </c>
      <c r="I13">
        <f t="shared" si="0"/>
        <v>10.284116594463832</v>
      </c>
    </row>
    <row r="14" spans="1:12">
      <c r="A14" s="189" t="s">
        <v>370</v>
      </c>
      <c r="B14" s="189" t="s">
        <v>414</v>
      </c>
      <c r="C14" s="184">
        <v>21.8</v>
      </c>
      <c r="D14" s="191">
        <v>70.7</v>
      </c>
      <c r="F14" s="1" t="s">
        <v>1280</v>
      </c>
      <c r="I14">
        <f t="shared" si="0"/>
        <v>13.621170316955933</v>
      </c>
    </row>
    <row r="15" spans="1:12">
      <c r="A15" s="189" t="s">
        <v>371</v>
      </c>
      <c r="B15" s="189" t="s">
        <v>414</v>
      </c>
      <c r="C15" s="184">
        <v>21.5</v>
      </c>
      <c r="D15" s="191">
        <v>65.900000000000006</v>
      </c>
      <c r="F15" s="36">
        <f>RSQ(D6:D56,C6:C56)</f>
        <v>0.11012222408782306</v>
      </c>
      <c r="I15">
        <f t="shared" si="0"/>
        <v>9.1264637058833777</v>
      </c>
    </row>
    <row r="16" spans="1:12">
      <c r="A16" s="189" t="s">
        <v>372</v>
      </c>
      <c r="B16" s="189" t="s">
        <v>414</v>
      </c>
      <c r="C16" s="190">
        <v>22</v>
      </c>
      <c r="D16" s="191">
        <v>75.599999999999994</v>
      </c>
      <c r="I16">
        <f t="shared" si="0"/>
        <v>18.317641391004294</v>
      </c>
    </row>
    <row r="17" spans="1:9" ht="17.25">
      <c r="A17" s="189" t="s">
        <v>373</v>
      </c>
      <c r="B17" s="189" t="s">
        <v>414</v>
      </c>
      <c r="C17" s="184">
        <v>23.4</v>
      </c>
      <c r="D17" s="191">
        <v>75.599999999999994</v>
      </c>
      <c r="F17" s="253" t="s">
        <v>1281</v>
      </c>
      <c r="I17">
        <f t="shared" si="0"/>
        <v>16.892938909342895</v>
      </c>
    </row>
    <row r="18" spans="1:9">
      <c r="A18" s="189" t="s">
        <v>374</v>
      </c>
      <c r="B18" s="189" t="s">
        <v>415</v>
      </c>
      <c r="C18" s="184">
        <v>23.9</v>
      </c>
      <c r="D18" s="191">
        <v>79.3</v>
      </c>
      <c r="F18" s="36">
        <f>CORREL(D6:D56,C6:C56)^2</f>
        <v>0.11012222408782309</v>
      </c>
      <c r="I18">
        <f t="shared" si="0"/>
        <v>20.084116594463829</v>
      </c>
    </row>
    <row r="19" spans="1:9">
      <c r="A19" s="189" t="s">
        <v>375</v>
      </c>
      <c r="B19" s="189" t="s">
        <v>415</v>
      </c>
      <c r="C19" s="184">
        <v>19.600000000000001</v>
      </c>
      <c r="D19" s="191">
        <v>75.599999999999994</v>
      </c>
      <c r="I19">
        <f t="shared" si="0"/>
        <v>20.759988502423838</v>
      </c>
    </row>
    <row r="20" spans="1:9">
      <c r="A20" s="189" t="s">
        <v>376</v>
      </c>
      <c r="B20" s="189" t="s">
        <v>415</v>
      </c>
      <c r="C20" s="184">
        <v>22.5</v>
      </c>
      <c r="D20" s="191">
        <v>69.5</v>
      </c>
      <c r="I20">
        <f t="shared" si="0"/>
        <v>11.708819076125231</v>
      </c>
    </row>
    <row r="21" spans="1:9">
      <c r="A21" s="189" t="s">
        <v>377</v>
      </c>
      <c r="B21" s="189" t="s">
        <v>415</v>
      </c>
      <c r="C21" s="184">
        <v>22.3</v>
      </c>
      <c r="D21" s="191">
        <v>76.8</v>
      </c>
      <c r="I21">
        <f t="shared" si="0"/>
        <v>19.212348002076855</v>
      </c>
    </row>
    <row r="22" spans="1:9">
      <c r="A22" s="189" t="s">
        <v>378</v>
      </c>
      <c r="B22" s="189" t="s">
        <v>415</v>
      </c>
      <c r="C22" s="184">
        <v>19.399999999999999</v>
      </c>
      <c r="D22" s="191">
        <v>70.7</v>
      </c>
      <c r="I22">
        <f t="shared" si="0"/>
        <v>16.063517428375476</v>
      </c>
    </row>
    <row r="23" spans="1:9">
      <c r="A23" s="189" t="s">
        <v>379</v>
      </c>
      <c r="B23" s="189" t="s">
        <v>416</v>
      </c>
      <c r="C23" s="184">
        <v>19.899999999999999</v>
      </c>
      <c r="D23" s="191">
        <v>52.400000000000006</v>
      </c>
      <c r="I23">
        <f t="shared" si="0"/>
        <v>-2.7453048865035932</v>
      </c>
    </row>
    <row r="24" spans="1:9">
      <c r="A24" s="189" t="s">
        <v>380</v>
      </c>
      <c r="B24" s="189" t="s">
        <v>417</v>
      </c>
      <c r="C24" s="184">
        <v>15.1</v>
      </c>
      <c r="D24" s="191">
        <v>47.599999999999994</v>
      </c>
      <c r="I24">
        <f t="shared" si="0"/>
        <v>-2.6606106636645173</v>
      </c>
    </row>
    <row r="25" spans="1:9">
      <c r="A25" s="189" t="s">
        <v>381</v>
      </c>
      <c r="B25" s="189" t="s">
        <v>418</v>
      </c>
      <c r="C25" s="184">
        <v>14.2</v>
      </c>
      <c r="D25" s="191">
        <v>40.200000000000003</v>
      </c>
      <c r="I25">
        <f t="shared" si="0"/>
        <v>-9.1447304968821808</v>
      </c>
    </row>
    <row r="26" spans="1:9">
      <c r="A26" s="189" t="s">
        <v>382</v>
      </c>
      <c r="B26" s="189" t="s">
        <v>419</v>
      </c>
      <c r="C26" s="184">
        <v>21.7</v>
      </c>
      <c r="D26" s="191">
        <v>58.5</v>
      </c>
      <c r="I26">
        <f t="shared" si="0"/>
        <v>1.5229347799317452</v>
      </c>
    </row>
    <row r="27" spans="1:9">
      <c r="A27" s="189" t="s">
        <v>383</v>
      </c>
      <c r="B27" s="189" t="s">
        <v>419</v>
      </c>
      <c r="C27" s="184">
        <v>21.2</v>
      </c>
      <c r="D27" s="191">
        <v>64.600000000000009</v>
      </c>
      <c r="I27">
        <f t="shared" si="0"/>
        <v>8.1317570948108262</v>
      </c>
    </row>
    <row r="28" spans="1:9">
      <c r="A28" s="189" t="s">
        <v>384</v>
      </c>
      <c r="B28" s="189" t="s">
        <v>420</v>
      </c>
      <c r="C28" s="184">
        <v>26.2</v>
      </c>
      <c r="D28" s="191">
        <v>68.300000000000011</v>
      </c>
      <c r="I28">
        <f t="shared" si="0"/>
        <v>6.7435339460201114</v>
      </c>
    </row>
    <row r="29" spans="1:9">
      <c r="A29" s="189" t="s">
        <v>385</v>
      </c>
      <c r="B29" s="189" t="s">
        <v>420</v>
      </c>
      <c r="C29" s="184">
        <v>28.3</v>
      </c>
      <c r="D29" s="191">
        <v>74.400000000000006</v>
      </c>
      <c r="I29">
        <f t="shared" si="0"/>
        <v>10.706480223528004</v>
      </c>
    </row>
    <row r="30" spans="1:9">
      <c r="A30" s="189" t="s">
        <v>386</v>
      </c>
      <c r="B30" s="189" t="s">
        <v>420</v>
      </c>
      <c r="C30" s="184">
        <v>26.3</v>
      </c>
      <c r="D30" s="191">
        <v>62</v>
      </c>
      <c r="I30">
        <f t="shared" si="0"/>
        <v>0.34176948304428478</v>
      </c>
    </row>
    <row r="31" spans="1:9">
      <c r="A31" s="189" t="s">
        <v>387</v>
      </c>
      <c r="B31" s="189" t="s">
        <v>420</v>
      </c>
      <c r="C31" s="184">
        <v>29.7</v>
      </c>
      <c r="D31" s="191">
        <v>81.699999999999989</v>
      </c>
      <c r="I31">
        <f t="shared" si="0"/>
        <v>16.581777741866588</v>
      </c>
    </row>
    <row r="32" spans="1:9">
      <c r="A32" s="189" t="s">
        <v>388</v>
      </c>
      <c r="B32" s="189" t="s">
        <v>420</v>
      </c>
      <c r="C32" s="184">
        <v>28.7</v>
      </c>
      <c r="D32" s="191">
        <v>68.300000000000011</v>
      </c>
      <c r="I32">
        <f t="shared" si="0"/>
        <v>4.1994223716247561</v>
      </c>
    </row>
    <row r="33" spans="1:9">
      <c r="A33" s="189" t="s">
        <v>389</v>
      </c>
      <c r="B33" s="189" t="s">
        <v>420</v>
      </c>
      <c r="C33" s="184">
        <v>27.2</v>
      </c>
      <c r="D33" s="191">
        <v>70.7</v>
      </c>
      <c r="I33">
        <f t="shared" si="0"/>
        <v>8.1258893162619614</v>
      </c>
    </row>
    <row r="34" spans="1:9">
      <c r="A34" s="189" t="s">
        <v>390</v>
      </c>
      <c r="B34" s="189" t="s">
        <v>421</v>
      </c>
      <c r="C34" s="190">
        <v>30</v>
      </c>
      <c r="D34" s="191">
        <v>61</v>
      </c>
      <c r="I34">
        <f t="shared" si="0"/>
        <v>-4.4235156470608423</v>
      </c>
    </row>
    <row r="35" spans="1:9">
      <c r="A35" s="189" t="s">
        <v>391</v>
      </c>
      <c r="B35" s="189" t="s">
        <v>421</v>
      </c>
      <c r="C35" s="190">
        <v>24</v>
      </c>
      <c r="D35" s="191">
        <v>68.300000000000011</v>
      </c>
      <c r="I35">
        <f t="shared" si="0"/>
        <v>8.9823521314880281</v>
      </c>
    </row>
    <row r="36" spans="1:9">
      <c r="A36" s="189" t="s">
        <v>392</v>
      </c>
      <c r="B36" s="189" t="s">
        <v>421</v>
      </c>
      <c r="C36" s="184">
        <v>27.6</v>
      </c>
      <c r="D36" s="191">
        <v>41.5</v>
      </c>
      <c r="I36">
        <f t="shared" si="0"/>
        <v>-21.481168535641302</v>
      </c>
    </row>
    <row r="37" spans="1:9">
      <c r="A37" s="189" t="s">
        <v>393</v>
      </c>
      <c r="B37" s="189" t="s">
        <v>421</v>
      </c>
      <c r="C37" s="184">
        <v>35.4</v>
      </c>
      <c r="D37" s="191">
        <v>54.900000000000006</v>
      </c>
      <c r="I37">
        <f t="shared" si="0"/>
        <v>-16.018796647754804</v>
      </c>
    </row>
    <row r="38" spans="1:9">
      <c r="A38" s="189" t="s">
        <v>394</v>
      </c>
      <c r="B38" s="189" t="s">
        <v>421</v>
      </c>
      <c r="C38" s="184">
        <v>31.6</v>
      </c>
      <c r="D38" s="191">
        <v>51.2</v>
      </c>
      <c r="I38">
        <f t="shared" si="0"/>
        <v>-15.851747054673872</v>
      </c>
    </row>
    <row r="39" spans="1:9">
      <c r="A39" s="189" t="s">
        <v>395</v>
      </c>
      <c r="B39" s="189" t="s">
        <v>421</v>
      </c>
      <c r="C39" s="184">
        <v>28.3</v>
      </c>
      <c r="D39" s="191">
        <v>69.5</v>
      </c>
      <c r="I39">
        <f t="shared" si="0"/>
        <v>5.8064802235279984</v>
      </c>
    </row>
    <row r="40" spans="1:9">
      <c r="A40" s="189" t="s">
        <v>396</v>
      </c>
      <c r="B40" s="189" t="s">
        <v>421</v>
      </c>
      <c r="C40" s="184">
        <v>26.8</v>
      </c>
      <c r="D40" s="191">
        <v>79.3</v>
      </c>
      <c r="I40">
        <f t="shared" si="0"/>
        <v>17.132947168165209</v>
      </c>
    </row>
    <row r="41" spans="1:9">
      <c r="A41" s="189" t="s">
        <v>397</v>
      </c>
      <c r="B41" s="189" t="s">
        <v>421</v>
      </c>
      <c r="C41" s="190">
        <v>27</v>
      </c>
      <c r="D41" s="191">
        <v>69.5</v>
      </c>
      <c r="I41">
        <f t="shared" si="0"/>
        <v>7.1294182422135854</v>
      </c>
    </row>
    <row r="42" spans="1:9">
      <c r="A42" s="189" t="s">
        <v>398</v>
      </c>
      <c r="B42" s="189" t="s">
        <v>421</v>
      </c>
      <c r="C42" s="184">
        <v>25.3</v>
      </c>
      <c r="D42" s="191">
        <v>69.5</v>
      </c>
      <c r="I42">
        <f t="shared" si="0"/>
        <v>8.8594141128024297</v>
      </c>
    </row>
    <row r="43" spans="1:9">
      <c r="A43" s="189" t="s">
        <v>399</v>
      </c>
      <c r="B43" s="189" t="s">
        <v>421</v>
      </c>
      <c r="C43" s="184">
        <v>27.9</v>
      </c>
      <c r="D43" s="191">
        <v>62.1</v>
      </c>
      <c r="I43">
        <f t="shared" si="0"/>
        <v>-1.1864619245687393</v>
      </c>
    </row>
    <row r="44" spans="1:9">
      <c r="A44" s="189" t="s">
        <v>400</v>
      </c>
      <c r="B44" s="189" t="s">
        <v>421</v>
      </c>
      <c r="C44" s="184">
        <v>27.3</v>
      </c>
      <c r="D44" s="191">
        <v>54.900000000000006</v>
      </c>
      <c r="I44">
        <f t="shared" si="0"/>
        <v>-7.7758751467138509</v>
      </c>
    </row>
    <row r="45" spans="1:9">
      <c r="A45" s="189" t="s">
        <v>401</v>
      </c>
      <c r="B45" s="189" t="s">
        <v>422</v>
      </c>
      <c r="C45" s="184">
        <v>17.399999999999999</v>
      </c>
      <c r="D45" s="191">
        <v>32.9</v>
      </c>
      <c r="I45">
        <f t="shared" si="0"/>
        <v>-19.701193312108241</v>
      </c>
    </row>
    <row r="46" spans="1:9">
      <c r="A46" s="189" t="s">
        <v>402</v>
      </c>
      <c r="B46" s="189" t="s">
        <v>423</v>
      </c>
      <c r="C46" s="190">
        <v>12</v>
      </c>
      <c r="D46" s="191">
        <v>25.6</v>
      </c>
      <c r="I46">
        <f t="shared" si="0"/>
        <v>-21.505912311414267</v>
      </c>
    </row>
    <row r="47" spans="1:9">
      <c r="A47" s="189" t="s">
        <v>403</v>
      </c>
      <c r="B47" s="189" t="s">
        <v>421</v>
      </c>
      <c r="C47" s="184">
        <v>17.600000000000001</v>
      </c>
      <c r="D47" s="191">
        <v>20.7</v>
      </c>
      <c r="I47">
        <f t="shared" si="0"/>
        <v>-32.104722238059871</v>
      </c>
    </row>
    <row r="48" spans="1:9">
      <c r="A48" s="189" t="s">
        <v>404</v>
      </c>
      <c r="B48" s="189" t="s">
        <v>424</v>
      </c>
      <c r="C48" s="184">
        <v>15.6</v>
      </c>
      <c r="D48" s="191">
        <v>31.7</v>
      </c>
      <c r="I48">
        <f t="shared" si="0"/>
        <v>-19.069432978543585</v>
      </c>
    </row>
    <row r="49" spans="1:9">
      <c r="A49" s="189" t="s">
        <v>405</v>
      </c>
      <c r="B49" s="189" t="s">
        <v>425</v>
      </c>
      <c r="C49" s="184">
        <v>16.100000000000001</v>
      </c>
      <c r="D49" s="191">
        <v>42.699999999999996</v>
      </c>
      <c r="I49">
        <f t="shared" si="0"/>
        <v>-8.5782552934226608</v>
      </c>
    </row>
    <row r="50" spans="1:9">
      <c r="A50" s="189" t="s">
        <v>406</v>
      </c>
      <c r="B50" s="189" t="s">
        <v>426</v>
      </c>
      <c r="C50" s="184">
        <v>27.4</v>
      </c>
      <c r="D50" s="191">
        <v>45.1</v>
      </c>
      <c r="I50">
        <f t="shared" si="0"/>
        <v>-17.677639609689667</v>
      </c>
    </row>
    <row r="51" spans="1:9">
      <c r="A51" s="189" t="s">
        <v>407</v>
      </c>
      <c r="B51" s="189" t="s">
        <v>427</v>
      </c>
      <c r="C51" s="184">
        <v>26.1</v>
      </c>
      <c r="D51" s="191">
        <v>73.2</v>
      </c>
      <c r="I51">
        <f t="shared" si="0"/>
        <v>11.745298408995914</v>
      </c>
    </row>
    <row r="52" spans="1:9">
      <c r="A52" s="189" t="s">
        <v>408</v>
      </c>
      <c r="B52" s="189" t="s">
        <v>426</v>
      </c>
      <c r="C52" s="190">
        <v>25</v>
      </c>
      <c r="D52" s="191">
        <v>58.3</v>
      </c>
      <c r="I52">
        <f t="shared" si="0"/>
        <v>-2.035292498270131</v>
      </c>
    </row>
    <row r="53" spans="1:9">
      <c r="A53" s="189" t="s">
        <v>409</v>
      </c>
      <c r="B53" s="189" t="s">
        <v>426</v>
      </c>
      <c r="C53" s="184">
        <v>30.3</v>
      </c>
      <c r="D53" s="191">
        <v>40.200000000000003</v>
      </c>
      <c r="I53">
        <f t="shared" si="0"/>
        <v>-25.528809035988285</v>
      </c>
    </row>
    <row r="54" spans="1:9">
      <c r="A54" s="189" t="s">
        <v>410</v>
      </c>
      <c r="B54" s="189" t="s">
        <v>426</v>
      </c>
      <c r="C54" s="184">
        <v>28.9</v>
      </c>
      <c r="D54" s="191">
        <v>52.400000000000006</v>
      </c>
      <c r="I54">
        <f t="shared" si="0"/>
        <v>-11.90410655432688</v>
      </c>
    </row>
    <row r="55" spans="1:9">
      <c r="A55" s="189" t="s">
        <v>411</v>
      </c>
      <c r="B55" s="189" t="s">
        <v>426</v>
      </c>
      <c r="C55" s="184">
        <v>25.7</v>
      </c>
      <c r="D55" s="191">
        <v>57.3</v>
      </c>
      <c r="I55">
        <f t="shared" si="0"/>
        <v>-3.7476437391008304</v>
      </c>
    </row>
    <row r="56" spans="1:9">
      <c r="A56" s="189" t="s">
        <v>412</v>
      </c>
      <c r="B56" s="189" t="s">
        <v>426</v>
      </c>
      <c r="C56" s="184">
        <v>24.4</v>
      </c>
      <c r="D56" s="191">
        <v>61.5</v>
      </c>
      <c r="I56">
        <f t="shared" si="0"/>
        <v>1.7752942795847595</v>
      </c>
    </row>
  </sheetData>
  <mergeCells count="2">
    <mergeCell ref="F6:G6"/>
    <mergeCell ref="F10:G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L124"/>
  <sheetViews>
    <sheetView workbookViewId="0">
      <selection activeCell="F22" sqref="F22"/>
    </sheetView>
  </sheetViews>
  <sheetFormatPr defaultColWidth="9.140625" defaultRowHeight="15"/>
  <cols>
    <col min="1" max="1" width="9.42578125" customWidth="1"/>
    <col min="2" max="2" width="18.140625" style="4" bestFit="1" customWidth="1"/>
    <col min="3" max="3" width="18.28515625" style="4" customWidth="1"/>
    <col min="4" max="4" width="5" customWidth="1"/>
    <col min="5" max="5" width="12.42578125" bestFit="1" customWidth="1"/>
    <col min="6" max="6" width="14.140625" bestFit="1" customWidth="1"/>
    <col min="7" max="7" width="6.140625" customWidth="1"/>
    <col min="8" max="8" width="10.140625" customWidth="1"/>
    <col min="10" max="10" width="9.5703125" bestFit="1" customWidth="1"/>
    <col min="11" max="11" width="7.42578125" bestFit="1" customWidth="1"/>
  </cols>
  <sheetData>
    <row r="1" spans="1:12" ht="21">
      <c r="A1" s="194" t="s">
        <v>591</v>
      </c>
      <c r="B1" s="195"/>
      <c r="C1" s="195"/>
      <c r="D1" s="195"/>
      <c r="E1" s="195"/>
    </row>
    <row r="3" spans="1:12">
      <c r="A3" s="150" t="s">
        <v>32</v>
      </c>
      <c r="B3" s="294" t="s">
        <v>48</v>
      </c>
      <c r="C3" s="294"/>
      <c r="E3" s="295" t="s">
        <v>47</v>
      </c>
      <c r="F3" s="295"/>
      <c r="G3" s="3"/>
      <c r="H3" s="3"/>
      <c r="I3" s="100" t="s">
        <v>136</v>
      </c>
      <c r="J3" s="1">
        <v>3.0000000000000001E-3</v>
      </c>
    </row>
    <row r="4" spans="1:12" ht="18" customHeight="1">
      <c r="A4" s="147"/>
      <c r="B4" s="148" t="s">
        <v>33</v>
      </c>
      <c r="C4" s="148" t="s">
        <v>34</v>
      </c>
      <c r="E4" s="3" t="s">
        <v>304</v>
      </c>
      <c r="F4" s="3" t="s">
        <v>177</v>
      </c>
      <c r="G4" s="4"/>
      <c r="H4" s="3" t="s">
        <v>302</v>
      </c>
    </row>
    <row r="5" spans="1:12">
      <c r="A5" s="179">
        <v>43496</v>
      </c>
      <c r="B5" s="180">
        <v>2.5182962346577898E-2</v>
      </c>
      <c r="C5" s="180">
        <v>1.152141169120342E-2</v>
      </c>
      <c r="E5" s="5">
        <f>B5-$J$3</f>
        <v>2.2182962346577899E-2</v>
      </c>
      <c r="F5" s="5">
        <f>C5-$J$3</f>
        <v>8.5214116912034205E-3</v>
      </c>
      <c r="G5" s="5"/>
      <c r="H5" s="5">
        <f t="shared" ref="H5:H36" si="0">E5-($J$7+$K$7*F5)</f>
        <v>1.549916346433756E-2</v>
      </c>
      <c r="J5" s="3" t="s">
        <v>51</v>
      </c>
      <c r="K5" s="3" t="s">
        <v>54</v>
      </c>
    </row>
    <row r="6" spans="1:12">
      <c r="A6" s="179">
        <f>EDATE(A5,1)</f>
        <v>43524</v>
      </c>
      <c r="B6" s="180">
        <v>-8.6761985707725198E-2</v>
      </c>
      <c r="C6" s="180">
        <v>2.5410062150882498E-2</v>
      </c>
      <c r="E6" s="5">
        <f t="shared" ref="E6:E64" si="1">B6-$J$3</f>
        <v>-8.97619857077252E-2</v>
      </c>
      <c r="F6" s="5">
        <f t="shared" ref="F6:F64" si="2">C6-$J$3</f>
        <v>2.2410062150882499E-2</v>
      </c>
      <c r="G6" s="5"/>
      <c r="H6" s="5">
        <f t="shared" si="0"/>
        <v>-0.1116928659663398</v>
      </c>
      <c r="J6" s="5">
        <f>INTERCEPT(E5:E64,F5:F64)</f>
        <v>-2.6710810518873872E-3</v>
      </c>
      <c r="K6" s="6">
        <f>SLOPE(E5:E64,F5:F64)</f>
        <v>1.0978087050746166</v>
      </c>
      <c r="L6" t="s">
        <v>38</v>
      </c>
    </row>
    <row r="7" spans="1:12">
      <c r="A7" s="179">
        <f t="shared" ref="A7:A64" si="3">EDATE(A6,1)</f>
        <v>43552</v>
      </c>
      <c r="B7" s="180">
        <v>-2.0304467045389501E-2</v>
      </c>
      <c r="C7" s="180">
        <v>-4.54728549219015E-2</v>
      </c>
      <c r="E7" s="5">
        <f t="shared" si="1"/>
        <v>-2.33044670453895E-2</v>
      </c>
      <c r="F7" s="5">
        <f t="shared" si="2"/>
        <v>-4.8472854921901502E-2</v>
      </c>
      <c r="G7" s="5"/>
      <c r="H7" s="5">
        <f t="shared" si="0"/>
        <v>3.2580536099580303E-2</v>
      </c>
      <c r="J7" s="5">
        <f>AVERAGE(E5:E64)-K7*AVERAGE(F5:F64)</f>
        <v>-2.671081051887382E-3</v>
      </c>
      <c r="K7" s="6">
        <f>COVAR(E5:E64,F5:F64)/VARP(F5:F64)</f>
        <v>1.0978087050746161</v>
      </c>
      <c r="L7" t="s">
        <v>437</v>
      </c>
    </row>
    <row r="8" spans="1:12">
      <c r="A8" s="179">
        <f t="shared" si="3"/>
        <v>43583</v>
      </c>
      <c r="B8" s="180">
        <v>-1.72427921787313E-2</v>
      </c>
      <c r="C8" s="180">
        <v>2.2103700473733699E-2</v>
      </c>
      <c r="E8" s="5">
        <f t="shared" si="1"/>
        <v>-2.02427921787313E-2</v>
      </c>
      <c r="F8" s="5">
        <f t="shared" si="2"/>
        <v>1.9103700473733699E-2</v>
      </c>
      <c r="G8" s="5"/>
      <c r="H8" s="5">
        <f t="shared" si="0"/>
        <v>-3.8543919806046836E-2</v>
      </c>
    </row>
    <row r="9" spans="1:12">
      <c r="A9" s="179">
        <f t="shared" si="3"/>
        <v>43613</v>
      </c>
      <c r="B9" s="180">
        <v>0.116609432892105</v>
      </c>
      <c r="C9" s="180">
        <v>-2.0756659839374601E-2</v>
      </c>
      <c r="E9" s="5">
        <f t="shared" si="1"/>
        <v>0.113609432892105</v>
      </c>
      <c r="F9" s="5">
        <f t="shared" si="2"/>
        <v>-2.37566598393746E-2</v>
      </c>
      <c r="G9" s="5"/>
      <c r="H9" s="5">
        <f t="shared" si="0"/>
        <v>0.14236078191915436</v>
      </c>
      <c r="J9" s="1" t="s">
        <v>303</v>
      </c>
      <c r="K9" s="3"/>
    </row>
    <row r="10" spans="1:12">
      <c r="A10" s="179">
        <f t="shared" si="3"/>
        <v>43644</v>
      </c>
      <c r="B10" s="180">
        <v>-7.0972345326888999E-3</v>
      </c>
      <c r="C10" s="180">
        <v>5.8078852746478102E-2</v>
      </c>
      <c r="E10" s="5">
        <f t="shared" si="1"/>
        <v>-1.00972345326889E-2</v>
      </c>
      <c r="F10" s="5">
        <f t="shared" si="2"/>
        <v>5.5078852746478099E-2</v>
      </c>
      <c r="G10" s="5"/>
      <c r="H10" s="5">
        <f t="shared" si="0"/>
        <v>-6.789219749140811E-2</v>
      </c>
      <c r="J10" s="18">
        <f>COVAR(F5:F64,H5:H64)</f>
        <v>7.9508159315603655E-19</v>
      </c>
      <c r="K10" s="17"/>
    </row>
    <row r="11" spans="1:12">
      <c r="A11" s="179">
        <f t="shared" si="3"/>
        <v>43674</v>
      </c>
      <c r="B11" s="180">
        <v>-9.8414784852537997E-3</v>
      </c>
      <c r="C11" s="180">
        <v>-1.7397045101593102E-2</v>
      </c>
      <c r="E11" s="5">
        <f t="shared" si="1"/>
        <v>-1.2841478485253799E-2</v>
      </c>
      <c r="F11" s="5">
        <f t="shared" si="2"/>
        <v>-2.0397045101593101E-2</v>
      </c>
      <c r="G11" s="5"/>
      <c r="H11" s="5">
        <f t="shared" si="0"/>
        <v>1.2221656236962048E-2</v>
      </c>
    </row>
    <row r="12" spans="1:12">
      <c r="A12" s="179">
        <f t="shared" si="3"/>
        <v>43705</v>
      </c>
      <c r="B12" s="180">
        <v>1.0854735804716961E-2</v>
      </c>
      <c r="C12" s="180">
        <v>4.88817497411013E-2</v>
      </c>
      <c r="E12" s="5">
        <f t="shared" si="1"/>
        <v>7.8547358047169613E-3</v>
      </c>
      <c r="F12" s="5">
        <f t="shared" si="2"/>
        <v>4.5881749741101298E-2</v>
      </c>
      <c r="G12" s="5"/>
      <c r="H12" s="5">
        <f t="shared" si="0"/>
        <v>-3.9843567413231674E-2</v>
      </c>
      <c r="K12" s="3"/>
    </row>
    <row r="13" spans="1:12">
      <c r="A13" s="179">
        <f t="shared" si="3"/>
        <v>43736</v>
      </c>
      <c r="B13" s="180">
        <v>0.14091204483654501</v>
      </c>
      <c r="C13" s="180">
        <v>6.2528386729888696E-2</v>
      </c>
      <c r="E13" s="5">
        <f t="shared" si="1"/>
        <v>0.13791204483654501</v>
      </c>
      <c r="F13" s="5">
        <f t="shared" si="2"/>
        <v>5.9528386729888694E-2</v>
      </c>
      <c r="G13" s="5"/>
      <c r="H13" s="5">
        <f t="shared" si="0"/>
        <v>7.5232344737312329E-2</v>
      </c>
      <c r="K13" s="15"/>
    </row>
    <row r="14" spans="1:12">
      <c r="A14" s="179">
        <f t="shared" si="3"/>
        <v>43766</v>
      </c>
      <c r="B14" s="180">
        <v>1.31942546426576E-2</v>
      </c>
      <c r="C14" s="180">
        <v>5.3322150458580998E-3</v>
      </c>
      <c r="E14" s="5">
        <f t="shared" si="1"/>
        <v>1.0194254642657601E-2</v>
      </c>
      <c r="F14" s="5">
        <f t="shared" si="2"/>
        <v>2.3322150458580998E-3</v>
      </c>
      <c r="G14" s="5"/>
      <c r="H14" s="5">
        <f t="shared" si="0"/>
        <v>1.0305009715095965E-2</v>
      </c>
      <c r="J14" s="14"/>
      <c r="K14" s="15"/>
    </row>
    <row r="15" spans="1:12">
      <c r="A15" s="179">
        <f t="shared" si="3"/>
        <v>43797</v>
      </c>
      <c r="B15" s="180">
        <v>3.2527548292968098E-2</v>
      </c>
      <c r="C15" s="180">
        <v>5.6016302358620006E-2</v>
      </c>
      <c r="E15" s="5">
        <f t="shared" si="1"/>
        <v>2.9527548292968098E-2</v>
      </c>
      <c r="F15" s="5">
        <f t="shared" si="2"/>
        <v>5.3016302358620003E-2</v>
      </c>
      <c r="G15" s="5"/>
      <c r="H15" s="5">
        <f t="shared" si="0"/>
        <v>-2.6003128895305466E-2</v>
      </c>
    </row>
    <row r="16" spans="1:12">
      <c r="A16" s="179">
        <f t="shared" si="3"/>
        <v>43827</v>
      </c>
      <c r="B16" s="180">
        <v>-3.5665874941507103E-3</v>
      </c>
      <c r="C16" s="180">
        <v>3.3058622845351E-2</v>
      </c>
      <c r="E16" s="5">
        <f t="shared" si="1"/>
        <v>-6.5665874941507104E-3</v>
      </c>
      <c r="F16" s="5">
        <f t="shared" si="2"/>
        <v>3.0058622845351001E-2</v>
      </c>
      <c r="G16" s="5"/>
      <c r="H16" s="5">
        <f t="shared" si="0"/>
        <v>-3.6894124264444383E-2</v>
      </c>
    </row>
    <row r="17" spans="1:11">
      <c r="A17" s="179">
        <f t="shared" si="3"/>
        <v>43858</v>
      </c>
      <c r="B17" s="180">
        <v>0.20074955650706899</v>
      </c>
      <c r="C17" s="180">
        <v>3.0172383828114401E-2</v>
      </c>
      <c r="E17" s="5">
        <f t="shared" si="1"/>
        <v>0.19774955650706899</v>
      </c>
      <c r="F17" s="5">
        <f t="shared" si="2"/>
        <v>2.7172383828114401E-2</v>
      </c>
      <c r="G17" s="5"/>
      <c r="H17" s="5">
        <f t="shared" si="0"/>
        <v>0.17059055805482365</v>
      </c>
      <c r="K17" s="4"/>
    </row>
    <row r="18" spans="1:11">
      <c r="A18" s="179">
        <f t="shared" si="3"/>
        <v>43889</v>
      </c>
      <c r="B18" s="180">
        <v>-5.0696073159361199E-2</v>
      </c>
      <c r="C18" s="180">
        <v>-5.8276268537547894E-2</v>
      </c>
      <c r="E18" s="5">
        <f t="shared" si="1"/>
        <v>-5.3696073159361202E-2</v>
      </c>
      <c r="F18" s="5">
        <f t="shared" si="2"/>
        <v>-6.1276268537547897E-2</v>
      </c>
      <c r="G18" s="5"/>
      <c r="H18" s="5">
        <f t="shared" si="0"/>
        <v>1.6244628907536085E-2</v>
      </c>
    </row>
    <row r="19" spans="1:11">
      <c r="A19" s="179">
        <f t="shared" si="3"/>
        <v>43918</v>
      </c>
      <c r="B19" s="180">
        <v>2.0428722300300999E-2</v>
      </c>
      <c r="C19" s="180">
        <v>4.7956631716191299E-3</v>
      </c>
      <c r="E19" s="5">
        <f t="shared" si="1"/>
        <v>1.7428722300301E-2</v>
      </c>
      <c r="F19" s="5">
        <f t="shared" si="2"/>
        <v>1.7956631716191298E-3</v>
      </c>
      <c r="G19" s="5"/>
      <c r="H19" s="5">
        <f t="shared" si="0"/>
        <v>1.8128508691003006E-2</v>
      </c>
    </row>
    <row r="20" spans="1:11">
      <c r="A20" s="179">
        <f t="shared" si="3"/>
        <v>43949</v>
      </c>
      <c r="B20" s="180">
        <v>-7.8471835351294997E-2</v>
      </c>
      <c r="C20" s="180">
        <v>-1.00573600590446E-2</v>
      </c>
      <c r="E20" s="5">
        <f t="shared" si="1"/>
        <v>-8.1471835351294999E-2</v>
      </c>
      <c r="F20" s="5">
        <f t="shared" si="2"/>
        <v>-1.30573600590446E-2</v>
      </c>
      <c r="G20" s="5"/>
      <c r="H20" s="5">
        <f t="shared" si="0"/>
        <v>-6.4466270761294853E-2</v>
      </c>
    </row>
    <row r="21" spans="1:11">
      <c r="A21" s="179">
        <f t="shared" si="3"/>
        <v>43979</v>
      </c>
      <c r="B21" s="180">
        <v>0.111397417852964</v>
      </c>
      <c r="C21" s="180">
        <v>4.4465168433367799E-2</v>
      </c>
      <c r="E21" s="5">
        <f t="shared" si="1"/>
        <v>0.108397417852964</v>
      </c>
      <c r="F21" s="5">
        <f t="shared" si="2"/>
        <v>4.1465168433367797E-2</v>
      </c>
      <c r="G21" s="5"/>
      <c r="H21" s="5">
        <f t="shared" si="0"/>
        <v>6.5547676041315034E-2</v>
      </c>
    </row>
    <row r="22" spans="1:11">
      <c r="A22" s="179">
        <f t="shared" si="3"/>
        <v>44010</v>
      </c>
      <c r="B22" s="180">
        <v>-2.9100945040153901E-2</v>
      </c>
      <c r="C22" s="180">
        <v>-1.7268801009020202E-2</v>
      </c>
      <c r="E22" s="5">
        <f t="shared" si="1"/>
        <v>-3.21009450401539E-2</v>
      </c>
      <c r="F22" s="5">
        <f t="shared" si="2"/>
        <v>-2.0268801009020201E-2</v>
      </c>
      <c r="G22" s="5"/>
      <c r="H22" s="5">
        <f t="shared" si="0"/>
        <v>-7.1785977991389791E-3</v>
      </c>
    </row>
    <row r="23" spans="1:11">
      <c r="A23" s="179">
        <f t="shared" si="3"/>
        <v>44040</v>
      </c>
      <c r="B23" s="180">
        <v>-4.0209193258418496E-3</v>
      </c>
      <c r="C23" s="180">
        <v>4.11812462563712E-2</v>
      </c>
      <c r="E23" s="5">
        <f t="shared" si="1"/>
        <v>-7.0209193258418496E-3</v>
      </c>
      <c r="F23" s="5">
        <f t="shared" si="2"/>
        <v>3.8181246256371197E-2</v>
      </c>
      <c r="G23" s="5"/>
      <c r="H23" s="5">
        <f t="shared" si="0"/>
        <v>-4.6265542784796367E-2</v>
      </c>
    </row>
    <row r="24" spans="1:11">
      <c r="A24" s="179">
        <f t="shared" si="3"/>
        <v>44071</v>
      </c>
      <c r="B24" s="180">
        <v>-0.12168195120830999</v>
      </c>
      <c r="C24" s="180">
        <v>3.6724892539691904E-2</v>
      </c>
      <c r="E24" s="5">
        <f t="shared" si="1"/>
        <v>-0.12468195120830999</v>
      </c>
      <c r="F24" s="5">
        <f t="shared" si="2"/>
        <v>3.3724892539691902E-2</v>
      </c>
      <c r="G24" s="5"/>
      <c r="H24" s="5">
        <f t="shared" si="0"/>
        <v>-0.15903435076420236</v>
      </c>
    </row>
    <row r="25" spans="1:11">
      <c r="A25" s="179">
        <f t="shared" si="3"/>
        <v>44102</v>
      </c>
      <c r="B25" s="180">
        <v>-2.40514146945804E-2</v>
      </c>
      <c r="C25" s="180">
        <v>-5.6383629338677905E-3</v>
      </c>
      <c r="E25" s="5">
        <f t="shared" si="1"/>
        <v>-2.7051414694580399E-2</v>
      </c>
      <c r="F25" s="5">
        <f t="shared" si="2"/>
        <v>-8.6383629338677905E-3</v>
      </c>
      <c r="G25" s="5"/>
      <c r="H25" s="5">
        <f t="shared" si="0"/>
        <v>-1.4897063616299056E-2</v>
      </c>
    </row>
    <row r="26" spans="1:11">
      <c r="A26" s="179">
        <f t="shared" si="3"/>
        <v>44132</v>
      </c>
      <c r="B26" s="180">
        <v>-3.5532505894619294E-2</v>
      </c>
      <c r="C26" s="180">
        <v>-0.11381330040516499</v>
      </c>
      <c r="E26" s="5">
        <f t="shared" si="1"/>
        <v>-3.8532505894619297E-2</v>
      </c>
      <c r="F26" s="5">
        <f t="shared" si="2"/>
        <v>-0.11681330040516499</v>
      </c>
      <c r="G26" s="5"/>
      <c r="H26" s="5">
        <f t="shared" si="0"/>
        <v>9.237723321055441E-2</v>
      </c>
    </row>
    <row r="27" spans="1:11">
      <c r="A27" s="179">
        <f t="shared" si="3"/>
        <v>44163</v>
      </c>
      <c r="B27" s="180">
        <v>4.1395944931969006E-2</v>
      </c>
      <c r="C27" s="180">
        <v>7.9351350854721697E-2</v>
      </c>
      <c r="E27" s="5">
        <f t="shared" si="1"/>
        <v>3.8395944931969003E-2</v>
      </c>
      <c r="F27" s="5">
        <f t="shared" si="2"/>
        <v>7.6351350854721695E-2</v>
      </c>
      <c r="G27" s="5"/>
      <c r="H27" s="5">
        <f t="shared" si="0"/>
        <v>-4.2752151628663318E-2</v>
      </c>
    </row>
    <row r="28" spans="1:11">
      <c r="A28" s="179">
        <f t="shared" si="3"/>
        <v>44193</v>
      </c>
      <c r="B28" s="180">
        <v>-0.17951663949211799</v>
      </c>
      <c r="C28" s="180">
        <v>-0.15604308819707799</v>
      </c>
      <c r="E28" s="5">
        <f t="shared" si="1"/>
        <v>-0.18251663949211799</v>
      </c>
      <c r="F28" s="5">
        <f t="shared" si="2"/>
        <v>-0.15904308819707799</v>
      </c>
      <c r="G28" s="5"/>
      <c r="H28" s="5">
        <f t="shared" si="0"/>
        <v>-5.246671735528452E-3</v>
      </c>
    </row>
    <row r="29" spans="1:11">
      <c r="A29" s="179">
        <f t="shared" si="3"/>
        <v>44224</v>
      </c>
      <c r="B29" s="180">
        <v>0.139978193081642</v>
      </c>
      <c r="C29" s="180">
        <v>0.12725161326137099</v>
      </c>
      <c r="E29" s="5">
        <f t="shared" si="1"/>
        <v>0.136978193081642</v>
      </c>
      <c r="F29" s="5">
        <f t="shared" si="2"/>
        <v>0.12425161326137099</v>
      </c>
      <c r="G29" s="5"/>
      <c r="H29" s="5">
        <f t="shared" si="0"/>
        <v>3.2447714756316803E-3</v>
      </c>
    </row>
    <row r="30" spans="1:11">
      <c r="A30" s="179">
        <f t="shared" si="3"/>
        <v>44255</v>
      </c>
      <c r="B30" s="180">
        <v>3.5278712118949201E-2</v>
      </c>
      <c r="C30" s="180">
        <v>3.2127668980815899E-2</v>
      </c>
      <c r="E30" s="5">
        <f t="shared" si="1"/>
        <v>3.2278712118949199E-2</v>
      </c>
      <c r="F30" s="5">
        <f t="shared" si="2"/>
        <v>2.91276689808159E-2</v>
      </c>
      <c r="G30" s="5"/>
      <c r="H30" s="5">
        <f t="shared" si="0"/>
        <v>2.9731846051650121E-3</v>
      </c>
    </row>
    <row r="31" spans="1:11">
      <c r="A31" s="179">
        <f t="shared" si="3"/>
        <v>44283</v>
      </c>
      <c r="B31" s="180">
        <v>-9.8210280176986992E-2</v>
      </c>
      <c r="C31" s="180">
        <v>-1.7509789707263503E-2</v>
      </c>
      <c r="E31" s="5">
        <f t="shared" si="1"/>
        <v>-0.10121028017698699</v>
      </c>
      <c r="F31" s="5">
        <f t="shared" si="2"/>
        <v>-2.0509789707263502E-2</v>
      </c>
      <c r="G31" s="5"/>
      <c r="H31" s="5">
        <f t="shared" si="0"/>
        <v>-7.602337344521598E-2</v>
      </c>
    </row>
    <row r="32" spans="1:11">
      <c r="A32" s="179">
        <f t="shared" si="3"/>
        <v>44314</v>
      </c>
      <c r="B32" s="180">
        <v>7.0455354082571003E-2</v>
      </c>
      <c r="C32" s="180">
        <v>4.9334655915087899E-2</v>
      </c>
      <c r="E32" s="5">
        <f t="shared" si="1"/>
        <v>6.7455354082571001E-2</v>
      </c>
      <c r="F32" s="5">
        <f t="shared" si="2"/>
        <v>4.6334655915087897E-2</v>
      </c>
      <c r="G32" s="5"/>
      <c r="H32" s="5">
        <f t="shared" si="0"/>
        <v>1.9259846524237838E-2</v>
      </c>
    </row>
    <row r="33" spans="1:8">
      <c r="A33" s="179">
        <f t="shared" si="3"/>
        <v>44344</v>
      </c>
      <c r="B33" s="180">
        <v>-0.205267293915469</v>
      </c>
      <c r="C33" s="180">
        <v>-0.10628361826774199</v>
      </c>
      <c r="E33" s="5">
        <f t="shared" si="1"/>
        <v>-0.208267293915469</v>
      </c>
      <c r="F33" s="5">
        <f t="shared" si="2"/>
        <v>-0.10928361826774199</v>
      </c>
      <c r="G33" s="5"/>
      <c r="H33" s="5">
        <f t="shared" si="0"/>
        <v>-8.5623705407203099E-2</v>
      </c>
    </row>
    <row r="34" spans="1:8">
      <c r="A34" s="179">
        <f t="shared" si="3"/>
        <v>44375</v>
      </c>
      <c r="B34" s="180">
        <v>0.148200561793421</v>
      </c>
      <c r="C34" s="180">
        <v>9.5683179806197699E-2</v>
      </c>
      <c r="E34" s="5">
        <f t="shared" si="1"/>
        <v>0.145200561793421</v>
      </c>
      <c r="F34" s="5">
        <f t="shared" si="2"/>
        <v>9.2683179806197696E-2</v>
      </c>
      <c r="G34" s="5"/>
      <c r="H34" s="5">
        <f t="shared" si="0"/>
        <v>4.6123241240068669E-2</v>
      </c>
    </row>
    <row r="35" spans="1:8">
      <c r="A35" s="179">
        <f t="shared" si="3"/>
        <v>44405</v>
      </c>
      <c r="B35" s="180">
        <v>2.6259047724647298E-2</v>
      </c>
      <c r="C35" s="180">
        <v>3.3218774014539501E-2</v>
      </c>
      <c r="E35" s="5">
        <f t="shared" si="1"/>
        <v>2.3259047724647298E-2</v>
      </c>
      <c r="F35" s="5">
        <f t="shared" si="2"/>
        <v>3.0218774014539502E-2</v>
      </c>
      <c r="G35" s="5"/>
      <c r="H35" s="5">
        <f t="shared" si="0"/>
        <v>-7.244304393309392E-3</v>
      </c>
    </row>
    <row r="36" spans="1:8">
      <c r="A36" s="179">
        <f t="shared" si="3"/>
        <v>44436</v>
      </c>
      <c r="B36" s="180">
        <v>-4.0010916760900496E-2</v>
      </c>
      <c r="C36" s="180">
        <v>-6.0580023358719592E-2</v>
      </c>
      <c r="E36" s="5">
        <f t="shared" si="1"/>
        <v>-4.3010916760900499E-2</v>
      </c>
      <c r="F36" s="5">
        <f t="shared" si="2"/>
        <v>-6.3580023358719595E-2</v>
      </c>
      <c r="G36" s="5"/>
      <c r="H36" s="5">
        <f t="shared" si="0"/>
        <v>2.945886740303668E-2</v>
      </c>
    </row>
    <row r="37" spans="1:8">
      <c r="A37" s="179">
        <f t="shared" si="3"/>
        <v>44467</v>
      </c>
      <c r="B37" s="180">
        <v>0.15621641507971101</v>
      </c>
      <c r="C37" s="180">
        <v>3.8969584991114303E-2</v>
      </c>
      <c r="E37" s="5">
        <f t="shared" si="1"/>
        <v>0.15321641507971101</v>
      </c>
      <c r="F37" s="5">
        <f t="shared" si="2"/>
        <v>3.5969584991114301E-2</v>
      </c>
      <c r="G37" s="5"/>
      <c r="H37" s="5">
        <f t="shared" ref="H37:H64" si="4">E37-($J$7+$K$7*F37)</f>
        <v>0.11639977261043186</v>
      </c>
    </row>
    <row r="38" spans="1:8">
      <c r="A38" s="179">
        <f t="shared" si="3"/>
        <v>44497</v>
      </c>
      <c r="B38" s="180">
        <v>-1.01846453490003E-2</v>
      </c>
      <c r="C38" s="180">
        <v>2.5120292168954898E-2</v>
      </c>
      <c r="E38" s="5">
        <f t="shared" si="1"/>
        <v>-1.3184645349000299E-2</v>
      </c>
      <c r="F38" s="5">
        <f t="shared" si="2"/>
        <v>2.2120292168954898E-2</v>
      </c>
      <c r="G38" s="5"/>
      <c r="H38" s="5">
        <f t="shared" si="4"/>
        <v>-3.4797413598985465E-2</v>
      </c>
    </row>
    <row r="39" spans="1:8">
      <c r="A39" s="179">
        <f t="shared" si="3"/>
        <v>44528</v>
      </c>
      <c r="B39" s="180">
        <v>6.0822730391026605E-2</v>
      </c>
      <c r="C39" s="180">
        <v>3.7466271098565505E-2</v>
      </c>
      <c r="E39" s="5">
        <f t="shared" si="1"/>
        <v>5.7822730391026603E-2</v>
      </c>
      <c r="F39" s="5">
        <f t="shared" si="2"/>
        <v>3.4466271098565503E-2</v>
      </c>
      <c r="G39" s="5"/>
      <c r="H39" s="5">
        <f t="shared" si="4"/>
        <v>2.2656438999447123E-2</v>
      </c>
    </row>
    <row r="40" spans="1:8">
      <c r="A40" s="179">
        <f t="shared" si="3"/>
        <v>44558</v>
      </c>
      <c r="B40" s="180">
        <v>3.5917244416862303E-2</v>
      </c>
      <c r="C40" s="180">
        <v>2.0970125023636989E-3</v>
      </c>
      <c r="E40" s="5">
        <f t="shared" si="1"/>
        <v>3.29172444168623E-2</v>
      </c>
      <c r="F40" s="5">
        <f t="shared" si="2"/>
        <v>-9.0298749763630115E-4</v>
      </c>
      <c r="G40" s="5"/>
      <c r="H40" s="5">
        <f t="shared" si="4"/>
        <v>3.6579633004228354E-2</v>
      </c>
    </row>
    <row r="41" spans="1:8">
      <c r="A41" s="179">
        <f t="shared" si="3"/>
        <v>44589</v>
      </c>
      <c r="B41" s="180">
        <v>-8.9169167509448991E-2</v>
      </c>
      <c r="C41" s="180">
        <v>-1.76778248467599E-2</v>
      </c>
      <c r="E41" s="5">
        <f t="shared" si="1"/>
        <v>-9.2169167509448993E-2</v>
      </c>
      <c r="F41" s="5">
        <f t="shared" si="2"/>
        <v>-2.0677824846759899E-2</v>
      </c>
      <c r="G41" s="5"/>
      <c r="H41" s="5">
        <f t="shared" si="4"/>
        <v>-6.6797790338780402E-2</v>
      </c>
    </row>
    <row r="42" spans="1:8">
      <c r="A42" s="179">
        <f t="shared" si="3"/>
        <v>44620</v>
      </c>
      <c r="B42" s="180">
        <v>-0.11915761434178899</v>
      </c>
      <c r="C42" s="180">
        <v>-0.119083004887131</v>
      </c>
      <c r="E42" s="5">
        <f t="shared" si="1"/>
        <v>-0.122157614341789</v>
      </c>
      <c r="F42" s="5">
        <f t="shared" si="2"/>
        <v>-0.122083004887131</v>
      </c>
      <c r="G42" s="5"/>
      <c r="H42" s="5">
        <f t="shared" si="4"/>
        <v>1.4537252216857685E-2</v>
      </c>
    </row>
    <row r="43" spans="1:8">
      <c r="A43" s="179">
        <f t="shared" si="3"/>
        <v>44648</v>
      </c>
      <c r="B43" s="180">
        <v>-0.30750511603481301</v>
      </c>
      <c r="C43" s="180">
        <v>-0.20472408929437599</v>
      </c>
      <c r="E43" s="5">
        <f t="shared" si="1"/>
        <v>-0.31050511603481301</v>
      </c>
      <c r="F43" s="5">
        <f t="shared" si="2"/>
        <v>-0.207724089294376</v>
      </c>
      <c r="G43" s="5"/>
      <c r="H43" s="5">
        <f t="shared" si="4"/>
        <v>-7.9792721501862784E-2</v>
      </c>
    </row>
    <row r="44" spans="1:8">
      <c r="A44" s="179">
        <f t="shared" si="3"/>
        <v>44679</v>
      </c>
      <c r="B44" s="180">
        <v>0.30749909757289101</v>
      </c>
      <c r="C44" s="180">
        <v>0.10458215762091601</v>
      </c>
      <c r="E44" s="5">
        <f t="shared" si="1"/>
        <v>0.30449909757289101</v>
      </c>
      <c r="F44" s="5">
        <f t="shared" si="2"/>
        <v>0.10158215762091601</v>
      </c>
      <c r="G44" s="5"/>
      <c r="H44" s="5">
        <f t="shared" si="4"/>
        <v>0.19565240170827505</v>
      </c>
    </row>
    <row r="45" spans="1:8">
      <c r="A45" s="179">
        <f t="shared" si="3"/>
        <v>44709</v>
      </c>
      <c r="B45" s="180">
        <v>6.2313587502138106E-2</v>
      </c>
      <c r="C45" s="180">
        <v>8.95944395031298E-2</v>
      </c>
      <c r="E45" s="5">
        <f t="shared" si="1"/>
        <v>5.9313587502138103E-2</v>
      </c>
      <c r="F45" s="5">
        <f t="shared" si="2"/>
        <v>8.6594439503129797E-2</v>
      </c>
      <c r="G45" s="5"/>
      <c r="H45" s="5">
        <f t="shared" si="4"/>
        <v>-3.3079460943567625E-2</v>
      </c>
    </row>
    <row r="46" spans="1:8">
      <c r="A46" s="179">
        <f t="shared" si="3"/>
        <v>44740</v>
      </c>
      <c r="B46" s="180">
        <v>1.7627240298858E-2</v>
      </c>
      <c r="C46" s="180">
        <v>1.7412456887686199E-2</v>
      </c>
      <c r="E46" s="5">
        <f t="shared" si="1"/>
        <v>1.4627240298858001E-2</v>
      </c>
      <c r="F46" s="5">
        <f t="shared" si="2"/>
        <v>1.4412456887686199E-2</v>
      </c>
      <c r="G46" s="5"/>
      <c r="H46" s="5">
        <f t="shared" si="4"/>
        <v>1.4762007179308645E-3</v>
      </c>
    </row>
    <row r="47" spans="1:8">
      <c r="A47" s="179">
        <f t="shared" si="3"/>
        <v>44770</v>
      </c>
      <c r="B47" s="180">
        <v>1.1060620643366149E-2</v>
      </c>
      <c r="C47" s="180">
        <v>3.4025284296987798E-2</v>
      </c>
      <c r="E47" s="5">
        <f t="shared" si="1"/>
        <v>8.0606206433661495E-3</v>
      </c>
      <c r="F47" s="5">
        <f t="shared" si="2"/>
        <v>3.1025284296987799E-2</v>
      </c>
      <c r="G47" s="5"/>
      <c r="H47" s="5">
        <f t="shared" si="4"/>
        <v>-2.3328125483394468E-2</v>
      </c>
    </row>
    <row r="48" spans="1:8">
      <c r="A48" s="179">
        <f t="shared" si="3"/>
        <v>44801</v>
      </c>
      <c r="B48" s="180">
        <v>0.20767488447538801</v>
      </c>
      <c r="C48" s="180">
        <v>0.113275207392195</v>
      </c>
      <c r="E48" s="5">
        <f t="shared" si="1"/>
        <v>0.20467488447538801</v>
      </c>
      <c r="F48" s="5">
        <f t="shared" si="2"/>
        <v>0.110275207392195</v>
      </c>
      <c r="G48" s="5"/>
      <c r="H48" s="5">
        <f t="shared" si="4"/>
        <v>8.6284882898215065E-2</v>
      </c>
    </row>
    <row r="49" spans="1:8">
      <c r="A49" s="179">
        <f t="shared" si="3"/>
        <v>44832</v>
      </c>
      <c r="B49" s="180">
        <v>-6.6696210673137898E-2</v>
      </c>
      <c r="C49" s="180">
        <v>-3.49213608069492E-2</v>
      </c>
      <c r="E49" s="5">
        <f t="shared" si="1"/>
        <v>-6.9696210673137901E-2</v>
      </c>
      <c r="F49" s="5">
        <f t="shared" si="2"/>
        <v>-3.7921360806949203E-2</v>
      </c>
      <c r="G49" s="5"/>
      <c r="H49" s="5">
        <f t="shared" si="4"/>
        <v>-2.5394729619106313E-2</v>
      </c>
    </row>
    <row r="50" spans="1:8">
      <c r="A50" s="179">
        <f t="shared" si="3"/>
        <v>44862</v>
      </c>
      <c r="B50" s="180">
        <v>4.30659762997758E-2</v>
      </c>
      <c r="C50" s="180">
        <v>1.022264608694963E-2</v>
      </c>
      <c r="E50" s="5">
        <f t="shared" si="1"/>
        <v>4.0065976299775798E-2</v>
      </c>
      <c r="F50" s="5">
        <f t="shared" si="2"/>
        <v>7.2226460869496299E-3</v>
      </c>
      <c r="G50" s="5"/>
      <c r="H50" s="5">
        <f t="shared" si="4"/>
        <v>3.4807973603736761E-2</v>
      </c>
    </row>
    <row r="51" spans="1:8">
      <c r="A51" s="179">
        <f t="shared" si="3"/>
        <v>44893</v>
      </c>
      <c r="B51" s="180">
        <v>0.17780208468268902</v>
      </c>
      <c r="C51" s="180">
        <v>0.19183377549150502</v>
      </c>
      <c r="E51" s="5">
        <f t="shared" si="1"/>
        <v>0.17480208468268901</v>
      </c>
      <c r="F51" s="5">
        <f t="shared" si="2"/>
        <v>0.18883377549150501</v>
      </c>
      <c r="G51" s="5"/>
      <c r="H51" s="5">
        <f t="shared" si="4"/>
        <v>-2.9830196812103527E-2</v>
      </c>
    </row>
    <row r="52" spans="1:8">
      <c r="A52" s="179">
        <f t="shared" si="3"/>
        <v>44923</v>
      </c>
      <c r="B52" s="180">
        <v>3.7250300036556501E-2</v>
      </c>
      <c r="C52" s="180">
        <v>3.0847262593279499E-2</v>
      </c>
      <c r="E52" s="5">
        <f t="shared" si="1"/>
        <v>3.4250300036556498E-2</v>
      </c>
      <c r="F52" s="5">
        <f t="shared" si="2"/>
        <v>2.78472625932795E-2</v>
      </c>
      <c r="G52" s="5"/>
      <c r="H52" s="5">
        <f t="shared" si="4"/>
        <v>6.3504138010429152E-3</v>
      </c>
    </row>
    <row r="53" spans="1:8">
      <c r="A53" s="179">
        <f t="shared" si="3"/>
        <v>44954</v>
      </c>
      <c r="B53" s="180">
        <v>-3.3807792603636096E-2</v>
      </c>
      <c r="C53" s="180">
        <v>-1.8297554450621402E-2</v>
      </c>
      <c r="E53" s="5">
        <f t="shared" si="1"/>
        <v>-3.6807792603636098E-2</v>
      </c>
      <c r="F53" s="5">
        <f t="shared" si="2"/>
        <v>-2.1297554450621401E-2</v>
      </c>
      <c r="G53" s="5"/>
      <c r="H53" s="5">
        <f t="shared" si="4"/>
        <v>-1.0756070879055907E-2</v>
      </c>
    </row>
    <row r="54" spans="1:8">
      <c r="A54" s="179">
        <f t="shared" si="3"/>
        <v>44985</v>
      </c>
      <c r="B54" s="180">
        <v>1.7541854403936501E-2</v>
      </c>
      <c r="C54" s="180">
        <v>0.16692286144094601</v>
      </c>
      <c r="E54" s="5">
        <f t="shared" si="1"/>
        <v>1.4541854403936502E-2</v>
      </c>
      <c r="F54" s="5">
        <f t="shared" si="2"/>
        <v>0.163922861440946</v>
      </c>
      <c r="G54" s="5"/>
      <c r="H54" s="5">
        <f t="shared" si="4"/>
        <v>-0.16274300879478676</v>
      </c>
    </row>
    <row r="55" spans="1:8">
      <c r="A55" s="179">
        <f t="shared" si="3"/>
        <v>45013</v>
      </c>
      <c r="B55" s="180">
        <v>3.41110423352858E-2</v>
      </c>
      <c r="C55" s="180">
        <v>8.7808081720470096E-2</v>
      </c>
      <c r="E55" s="5">
        <f t="shared" si="1"/>
        <v>3.1111042335285801E-2</v>
      </c>
      <c r="F55" s="5">
        <f t="shared" si="2"/>
        <v>8.4808081720470094E-2</v>
      </c>
      <c r="G55" s="5"/>
      <c r="H55" s="5">
        <f t="shared" si="4"/>
        <v>-5.9320926986238309E-2</v>
      </c>
    </row>
    <row r="56" spans="1:8">
      <c r="A56" s="179">
        <f t="shared" si="3"/>
        <v>45044</v>
      </c>
      <c r="B56" s="180">
        <v>8.7698268543993096E-2</v>
      </c>
      <c r="C56" s="180">
        <v>1.8998161872748599E-2</v>
      </c>
      <c r="E56" s="5">
        <f t="shared" si="1"/>
        <v>8.4698268543993094E-2</v>
      </c>
      <c r="F56" s="5">
        <f t="shared" si="2"/>
        <v>1.5998161872748599E-2</v>
      </c>
      <c r="G56" s="5"/>
      <c r="H56" s="5">
        <f t="shared" si="4"/>
        <v>6.9806428226784234E-2</v>
      </c>
    </row>
    <row r="57" spans="1:8">
      <c r="A57" s="179">
        <f t="shared" si="3"/>
        <v>45074</v>
      </c>
      <c r="B57" s="180">
        <v>6.2716272016876198E-2</v>
      </c>
      <c r="C57" s="180">
        <v>2.5494705495016499E-2</v>
      </c>
      <c r="E57" s="5">
        <f t="shared" si="1"/>
        <v>5.9716272016876196E-2</v>
      </c>
      <c r="F57" s="5">
        <f t="shared" si="2"/>
        <v>2.24947054950165E-2</v>
      </c>
      <c r="G57" s="5"/>
      <c r="H57" s="5">
        <f t="shared" si="4"/>
        <v>3.7692469558244665E-2</v>
      </c>
    </row>
    <row r="58" spans="1:8">
      <c r="A58" s="179">
        <f t="shared" si="3"/>
        <v>45105</v>
      </c>
      <c r="B58" s="180">
        <v>-7.4996714670177003E-2</v>
      </c>
      <c r="C58" s="180">
        <v>-6.1983278600026198E-2</v>
      </c>
      <c r="E58" s="5">
        <f t="shared" si="1"/>
        <v>-7.7996714670177006E-2</v>
      </c>
      <c r="F58" s="5">
        <f t="shared" si="2"/>
        <v>-6.4983278600026201E-2</v>
      </c>
      <c r="G58" s="5"/>
      <c r="H58" s="5">
        <f t="shared" si="4"/>
        <v>-3.9864246868918513E-3</v>
      </c>
    </row>
    <row r="59" spans="1:8">
      <c r="A59" s="179">
        <f t="shared" si="3"/>
        <v>45135</v>
      </c>
      <c r="B59" s="180">
        <v>3.4914764853626302E-2</v>
      </c>
      <c r="C59" s="180">
        <v>-2.04255249240731E-2</v>
      </c>
      <c r="E59" s="5">
        <f t="shared" si="1"/>
        <v>3.19147648536263E-2</v>
      </c>
      <c r="F59" s="5">
        <f t="shared" si="2"/>
        <v>-2.3425524924073099E-2</v>
      </c>
      <c r="G59" s="5"/>
      <c r="H59" s="5">
        <f t="shared" si="4"/>
        <v>6.0302591088103513E-2</v>
      </c>
    </row>
    <row r="60" spans="1:8">
      <c r="A60" s="179">
        <f t="shared" si="3"/>
        <v>45166</v>
      </c>
      <c r="B60" s="180">
        <v>-0.120810441573471</v>
      </c>
      <c r="C60" s="180">
        <v>3.8559426867563001E-2</v>
      </c>
      <c r="E60" s="5">
        <f t="shared" si="1"/>
        <v>-0.123810441573471</v>
      </c>
      <c r="F60" s="5">
        <f t="shared" si="2"/>
        <v>3.5559426867562999E-2</v>
      </c>
      <c r="G60" s="5"/>
      <c r="H60" s="5">
        <f t="shared" si="4"/>
        <v>-0.16017680888425848</v>
      </c>
    </row>
    <row r="61" spans="1:8">
      <c r="A61" s="179">
        <f t="shared" si="3"/>
        <v>45197</v>
      </c>
      <c r="B61" s="180">
        <v>-2.0262231664763101E-2</v>
      </c>
      <c r="C61" s="180">
        <v>1.142773211254949E-2</v>
      </c>
      <c r="E61" s="5">
        <f t="shared" si="1"/>
        <v>-2.32622316647631E-2</v>
      </c>
      <c r="F61" s="5">
        <f t="shared" si="2"/>
        <v>8.4277321125494908E-3</v>
      </c>
      <c r="G61" s="5"/>
      <c r="H61" s="5">
        <f t="shared" si="4"/>
        <v>-2.9843188290069433E-2</v>
      </c>
    </row>
    <row r="62" spans="1:8">
      <c r="A62" s="179">
        <f t="shared" si="3"/>
        <v>45227</v>
      </c>
      <c r="B62" s="180">
        <v>0.13284128292273001</v>
      </c>
      <c r="C62" s="180">
        <v>5.2237200231539903E-2</v>
      </c>
      <c r="E62" s="5">
        <f t="shared" si="1"/>
        <v>0.12984128292273001</v>
      </c>
      <c r="F62" s="5">
        <f t="shared" si="2"/>
        <v>4.92372002315399E-2</v>
      </c>
      <c r="G62" s="5"/>
      <c r="H62" s="5">
        <f t="shared" si="4"/>
        <v>7.8459336946930983E-2</v>
      </c>
    </row>
    <row r="63" spans="1:8">
      <c r="A63" s="179">
        <f t="shared" si="3"/>
        <v>45258</v>
      </c>
      <c r="B63" s="180">
        <v>4.6901995383704896E-3</v>
      </c>
      <c r="C63" s="180">
        <v>-1.8469465894238399E-3</v>
      </c>
      <c r="E63" s="5">
        <f t="shared" si="1"/>
        <v>1.6901995383704896E-3</v>
      </c>
      <c r="F63" s="5">
        <f t="shared" si="2"/>
        <v>-4.84694658942384E-3</v>
      </c>
      <c r="G63" s="5"/>
      <c r="H63" s="5">
        <f t="shared" si="4"/>
        <v>9.6823007491590833E-3</v>
      </c>
    </row>
    <row r="64" spans="1:8">
      <c r="A64" s="179">
        <f t="shared" si="3"/>
        <v>45288</v>
      </c>
      <c r="B64" s="180">
        <v>7.2509253975176505E-2</v>
      </c>
      <c r="C64" s="180">
        <v>4.45079023149485E-2</v>
      </c>
      <c r="E64" s="5">
        <f t="shared" si="1"/>
        <v>6.9509253975176502E-2</v>
      </c>
      <c r="F64" s="5">
        <f t="shared" si="2"/>
        <v>4.1507902314948497E-2</v>
      </c>
      <c r="G64" s="5"/>
      <c r="H64" s="5">
        <f t="shared" si="4"/>
        <v>2.6612598536326609E-2</v>
      </c>
    </row>
    <row r="65" spans="5:8">
      <c r="F65" s="6"/>
      <c r="G65" s="6"/>
      <c r="H65" s="6"/>
    </row>
    <row r="66" spans="5:8">
      <c r="E66" s="7"/>
      <c r="F66" s="8"/>
      <c r="G66" s="8"/>
      <c r="H66" s="8"/>
    </row>
    <row r="67" spans="5:8">
      <c r="E67" s="9"/>
      <c r="F67" s="10"/>
      <c r="G67" s="10"/>
      <c r="H67" s="10"/>
    </row>
    <row r="68" spans="5:8">
      <c r="E68" s="11"/>
      <c r="F68" s="10"/>
      <c r="G68" s="10"/>
      <c r="H68" s="10"/>
    </row>
    <row r="69" spans="5:8">
      <c r="E69" s="11"/>
      <c r="F69" s="11"/>
      <c r="G69" s="11"/>
      <c r="H69" s="11"/>
    </row>
    <row r="70" spans="5:8">
      <c r="E70" s="11"/>
      <c r="F70" s="10"/>
      <c r="G70" s="10"/>
      <c r="H70" s="10"/>
    </row>
    <row r="71" spans="5:8">
      <c r="E71" s="11"/>
      <c r="F71" s="10"/>
      <c r="G71" s="10"/>
      <c r="H71" s="10"/>
    </row>
    <row r="72" spans="5:8">
      <c r="E72" s="11"/>
      <c r="F72" s="12"/>
      <c r="G72" s="12"/>
      <c r="H72" s="12"/>
    </row>
    <row r="73" spans="5:8">
      <c r="F73" s="6"/>
      <c r="G73" s="6"/>
      <c r="H73" s="6"/>
    </row>
    <row r="74" spans="5:8">
      <c r="F74" s="6"/>
      <c r="G74" s="6"/>
      <c r="H74" s="6"/>
    </row>
    <row r="75" spans="5:8">
      <c r="F75" s="6"/>
      <c r="G75" s="6"/>
      <c r="H75" s="6"/>
    </row>
    <row r="76" spans="5:8">
      <c r="F76" s="6"/>
      <c r="G76" s="6"/>
      <c r="H76" s="6"/>
    </row>
    <row r="77" spans="5:8">
      <c r="F77" s="6"/>
      <c r="G77" s="6"/>
      <c r="H77" s="6"/>
    </row>
    <row r="78" spans="5:8">
      <c r="F78" s="6"/>
      <c r="G78" s="6"/>
      <c r="H78" s="6"/>
    </row>
    <row r="79" spans="5:8">
      <c r="F79" s="6"/>
      <c r="G79" s="6"/>
      <c r="H79" s="6"/>
    </row>
    <row r="80" spans="5:8">
      <c r="F80" s="6"/>
      <c r="G80" s="6"/>
      <c r="H80" s="6"/>
    </row>
    <row r="81" spans="6:8">
      <c r="F81" s="6"/>
      <c r="G81" s="6"/>
      <c r="H81" s="6"/>
    </row>
    <row r="82" spans="6:8">
      <c r="F82" s="6"/>
      <c r="G82" s="6"/>
      <c r="H82" s="6"/>
    </row>
    <row r="83" spans="6:8">
      <c r="F83" s="6"/>
      <c r="G83" s="6"/>
      <c r="H83" s="6"/>
    </row>
    <row r="84" spans="6:8">
      <c r="F84" s="6"/>
      <c r="G84" s="6"/>
      <c r="H84" s="6"/>
    </row>
    <row r="85" spans="6:8">
      <c r="F85" s="6"/>
      <c r="G85" s="6"/>
      <c r="H85" s="6"/>
    </row>
    <row r="86" spans="6:8">
      <c r="F86" s="6"/>
      <c r="G86" s="6"/>
      <c r="H86" s="6"/>
    </row>
    <row r="87" spans="6:8">
      <c r="F87" s="6"/>
      <c r="G87" s="6"/>
      <c r="H87" s="6"/>
    </row>
    <row r="88" spans="6:8">
      <c r="F88" s="6"/>
      <c r="G88" s="6"/>
      <c r="H88" s="6"/>
    </row>
    <row r="89" spans="6:8">
      <c r="F89" s="6"/>
      <c r="G89" s="6"/>
      <c r="H89" s="6"/>
    </row>
    <row r="90" spans="6:8">
      <c r="F90" s="6"/>
      <c r="G90" s="6"/>
      <c r="H90" s="6"/>
    </row>
    <row r="91" spans="6:8">
      <c r="F91" s="6"/>
      <c r="G91" s="6"/>
      <c r="H91" s="6"/>
    </row>
    <row r="92" spans="6:8">
      <c r="F92" s="6"/>
      <c r="G92" s="6"/>
      <c r="H92" s="6"/>
    </row>
    <row r="93" spans="6:8">
      <c r="F93" s="6"/>
      <c r="G93" s="6"/>
      <c r="H93" s="6"/>
    </row>
    <row r="94" spans="6:8">
      <c r="F94" s="6"/>
      <c r="G94" s="6"/>
      <c r="H94" s="6"/>
    </row>
    <row r="95" spans="6:8">
      <c r="F95" s="6"/>
      <c r="G95" s="6"/>
      <c r="H95" s="6"/>
    </row>
    <row r="96" spans="6:8">
      <c r="F96" s="6"/>
      <c r="G96" s="6"/>
      <c r="H96" s="6"/>
    </row>
    <row r="97" spans="6:8">
      <c r="F97" s="6"/>
      <c r="G97" s="6"/>
      <c r="H97" s="6"/>
    </row>
    <row r="98" spans="6:8">
      <c r="F98" s="6"/>
      <c r="G98" s="6"/>
      <c r="H98" s="6"/>
    </row>
    <row r="99" spans="6:8">
      <c r="F99" s="6"/>
      <c r="G99" s="6"/>
      <c r="H99" s="6"/>
    </row>
    <row r="100" spans="6:8">
      <c r="F100" s="6"/>
      <c r="G100" s="6"/>
      <c r="H100" s="6"/>
    </row>
    <row r="101" spans="6:8">
      <c r="F101" s="6"/>
      <c r="G101" s="6"/>
      <c r="H101" s="6"/>
    </row>
    <row r="102" spans="6:8">
      <c r="F102" s="6"/>
      <c r="G102" s="6"/>
      <c r="H102" s="6"/>
    </row>
    <row r="103" spans="6:8">
      <c r="F103" s="6"/>
      <c r="G103" s="6"/>
      <c r="H103" s="6"/>
    </row>
    <row r="104" spans="6:8">
      <c r="F104" s="6"/>
      <c r="G104" s="6"/>
      <c r="H104" s="6"/>
    </row>
    <row r="105" spans="6:8">
      <c r="F105" s="6"/>
      <c r="G105" s="6"/>
      <c r="H105" s="6"/>
    </row>
    <row r="106" spans="6:8">
      <c r="F106" s="6"/>
      <c r="G106" s="6"/>
      <c r="H106" s="6"/>
    </row>
    <row r="107" spans="6:8">
      <c r="F107" s="6"/>
      <c r="G107" s="6"/>
      <c r="H107" s="6"/>
    </row>
    <row r="108" spans="6:8">
      <c r="F108" s="6"/>
      <c r="G108" s="6"/>
      <c r="H108" s="6"/>
    </row>
    <row r="109" spans="6:8">
      <c r="F109" s="6"/>
      <c r="G109" s="6"/>
      <c r="H109" s="6"/>
    </row>
    <row r="110" spans="6:8">
      <c r="F110" s="6"/>
      <c r="G110" s="6"/>
      <c r="H110" s="6"/>
    </row>
    <row r="111" spans="6:8">
      <c r="F111" s="6"/>
      <c r="G111" s="6"/>
      <c r="H111" s="6"/>
    </row>
    <row r="112" spans="6:8">
      <c r="F112" s="6"/>
      <c r="G112" s="6"/>
      <c r="H112" s="6"/>
    </row>
    <row r="113" spans="6:8">
      <c r="F113" s="6"/>
      <c r="G113" s="6"/>
      <c r="H113" s="6"/>
    </row>
    <row r="114" spans="6:8">
      <c r="F114" s="6"/>
      <c r="G114" s="6"/>
      <c r="H114" s="6"/>
    </row>
    <row r="115" spans="6:8">
      <c r="F115" s="6"/>
      <c r="G115" s="6"/>
      <c r="H115" s="6"/>
    </row>
    <row r="116" spans="6:8">
      <c r="F116" s="6"/>
      <c r="G116" s="6"/>
      <c r="H116" s="6"/>
    </row>
    <row r="117" spans="6:8">
      <c r="F117" s="6"/>
      <c r="G117" s="6"/>
      <c r="H117" s="6"/>
    </row>
    <row r="118" spans="6:8">
      <c r="F118" s="6"/>
      <c r="G118" s="6"/>
      <c r="H118" s="6"/>
    </row>
    <row r="119" spans="6:8">
      <c r="F119" s="6"/>
      <c r="G119" s="6"/>
      <c r="H119" s="6"/>
    </row>
    <row r="120" spans="6:8">
      <c r="F120" s="6"/>
      <c r="G120" s="6"/>
      <c r="H120" s="6"/>
    </row>
    <row r="121" spans="6:8">
      <c r="F121" s="6"/>
      <c r="G121" s="6"/>
      <c r="H121" s="6"/>
    </row>
    <row r="122" spans="6:8">
      <c r="F122" s="6"/>
      <c r="G122" s="6"/>
      <c r="H122" s="6"/>
    </row>
    <row r="123" spans="6:8">
      <c r="F123" s="6"/>
      <c r="G123" s="6"/>
      <c r="H123" s="6"/>
    </row>
    <row r="124" spans="6:8">
      <c r="F124" s="6"/>
      <c r="G124" s="6"/>
      <c r="H124" s="6"/>
    </row>
  </sheetData>
  <mergeCells count="2">
    <mergeCell ref="B3:C3"/>
    <mergeCell ref="E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F187-6321-47F4-8B74-B7AE85E4BF39}">
  <dimension ref="A1:E55"/>
  <sheetViews>
    <sheetView workbookViewId="0">
      <selection activeCell="E14" sqref="E14"/>
    </sheetView>
  </sheetViews>
  <sheetFormatPr defaultRowHeight="15"/>
  <cols>
    <col min="2" max="2" width="33.28515625" customWidth="1"/>
    <col min="5" max="5" width="34.42578125" customWidth="1"/>
  </cols>
  <sheetData>
    <row r="1" spans="1:5">
      <c r="B1" s="1" t="s">
        <v>428</v>
      </c>
      <c r="C1" s="129"/>
      <c r="D1" s="129"/>
      <c r="E1" s="96"/>
    </row>
    <row r="2" spans="1:5">
      <c r="B2" s="1"/>
    </row>
    <row r="3" spans="1:5">
      <c r="C3" s="3" t="s">
        <v>439</v>
      </c>
      <c r="D3" s="3" t="s">
        <v>440</v>
      </c>
      <c r="E3" s="134" t="s">
        <v>434</v>
      </c>
    </row>
    <row r="4" spans="1:5">
      <c r="A4" s="127" t="s">
        <v>361</v>
      </c>
      <c r="B4" s="127" t="s">
        <v>413</v>
      </c>
      <c r="C4" s="130" t="s">
        <v>359</v>
      </c>
      <c r="D4" s="127" t="s">
        <v>438</v>
      </c>
      <c r="E4" s="132" t="s">
        <v>360</v>
      </c>
    </row>
    <row r="5" spans="1:5">
      <c r="A5" s="128" t="s">
        <v>362</v>
      </c>
      <c r="B5" s="128" t="s">
        <v>414</v>
      </c>
      <c r="C5" s="131">
        <v>30</v>
      </c>
      <c r="D5">
        <v>106.4</v>
      </c>
      <c r="E5" s="133">
        <v>36.6</v>
      </c>
    </row>
    <row r="6" spans="1:5">
      <c r="A6" s="128" t="s">
        <v>363</v>
      </c>
      <c r="B6" s="128" t="s">
        <v>414</v>
      </c>
      <c r="C6" s="129">
        <v>27.7</v>
      </c>
      <c r="D6">
        <v>108</v>
      </c>
      <c r="E6" s="133">
        <v>48.8</v>
      </c>
    </row>
    <row r="7" spans="1:5">
      <c r="A7" s="128" t="s">
        <v>364</v>
      </c>
      <c r="B7" s="128" t="s">
        <v>414</v>
      </c>
      <c r="C7" s="129">
        <v>26.2</v>
      </c>
      <c r="D7">
        <v>104.7</v>
      </c>
      <c r="E7" s="133">
        <v>64.600000000000009</v>
      </c>
    </row>
    <row r="8" spans="1:5">
      <c r="A8" s="128" t="s">
        <v>365</v>
      </c>
      <c r="B8" s="128" t="s">
        <v>414</v>
      </c>
      <c r="C8" s="129">
        <v>25.8</v>
      </c>
      <c r="D8">
        <v>106.1</v>
      </c>
      <c r="E8" s="133">
        <v>54.900000000000006</v>
      </c>
    </row>
    <row r="9" spans="1:5">
      <c r="A9" s="128" t="s">
        <v>366</v>
      </c>
      <c r="B9" s="128" t="s">
        <v>414</v>
      </c>
      <c r="C9" s="129">
        <v>23.8</v>
      </c>
      <c r="D9">
        <v>105.9</v>
      </c>
      <c r="E9" s="133">
        <v>57.3</v>
      </c>
    </row>
    <row r="10" spans="1:5">
      <c r="A10" s="128" t="s">
        <v>367</v>
      </c>
      <c r="B10" s="128" t="s">
        <v>414</v>
      </c>
      <c r="C10" s="129">
        <v>24.8</v>
      </c>
      <c r="D10">
        <v>104.1</v>
      </c>
      <c r="E10" s="133">
        <v>73.2</v>
      </c>
    </row>
    <row r="11" spans="1:5">
      <c r="A11" s="128" t="s">
        <v>368</v>
      </c>
      <c r="B11" s="128" t="s">
        <v>414</v>
      </c>
      <c r="C11" s="129">
        <v>26.2</v>
      </c>
      <c r="D11">
        <v>102.7</v>
      </c>
      <c r="E11" s="133">
        <v>65.900000000000006</v>
      </c>
    </row>
    <row r="12" spans="1:5">
      <c r="A12" s="128" t="s">
        <v>369</v>
      </c>
      <c r="B12" s="128" t="s">
        <v>414</v>
      </c>
      <c r="C12" s="129">
        <v>23.9</v>
      </c>
      <c r="D12">
        <v>103.1</v>
      </c>
      <c r="E12" s="133">
        <v>69.5</v>
      </c>
    </row>
    <row r="13" spans="1:5">
      <c r="A13" s="128" t="s">
        <v>370</v>
      </c>
      <c r="B13" s="128" t="s">
        <v>414</v>
      </c>
      <c r="C13" s="129">
        <v>21.8</v>
      </c>
      <c r="D13">
        <v>103.8</v>
      </c>
      <c r="E13" s="133">
        <v>70.7</v>
      </c>
    </row>
    <row r="14" spans="1:5">
      <c r="A14" s="128" t="s">
        <v>371</v>
      </c>
      <c r="B14" s="128" t="s">
        <v>414</v>
      </c>
      <c r="C14" s="129">
        <v>21.5</v>
      </c>
      <c r="D14">
        <v>103.7</v>
      </c>
      <c r="E14" s="133">
        <v>65.900000000000006</v>
      </c>
    </row>
    <row r="15" spans="1:5">
      <c r="A15" s="128" t="s">
        <v>372</v>
      </c>
      <c r="B15" s="128" t="s">
        <v>414</v>
      </c>
      <c r="C15" s="131">
        <v>22</v>
      </c>
      <c r="D15">
        <v>103.2</v>
      </c>
      <c r="E15" s="133">
        <v>75.599999999999994</v>
      </c>
    </row>
    <row r="16" spans="1:5">
      <c r="A16" s="128" t="s">
        <v>373</v>
      </c>
      <c r="B16" s="128" t="s">
        <v>414</v>
      </c>
      <c r="C16" s="129">
        <v>23.4</v>
      </c>
      <c r="D16">
        <v>102.7</v>
      </c>
      <c r="E16" s="133">
        <v>75.599999999999994</v>
      </c>
    </row>
    <row r="17" spans="1:5">
      <c r="A17" s="128" t="s">
        <v>374</v>
      </c>
      <c r="B17" s="128" t="s">
        <v>415</v>
      </c>
      <c r="C17" s="129">
        <v>23.9</v>
      </c>
      <c r="D17">
        <v>101.6</v>
      </c>
      <c r="E17" s="133">
        <v>79.3</v>
      </c>
    </row>
    <row r="18" spans="1:5">
      <c r="A18" s="128" t="s">
        <v>375</v>
      </c>
      <c r="B18" s="128" t="s">
        <v>415</v>
      </c>
      <c r="C18" s="129">
        <v>19.600000000000001</v>
      </c>
      <c r="D18">
        <v>99.1</v>
      </c>
      <c r="E18" s="133">
        <v>75.599999999999994</v>
      </c>
    </row>
    <row r="19" spans="1:5">
      <c r="A19" s="128" t="s">
        <v>376</v>
      </c>
      <c r="B19" s="128" t="s">
        <v>415</v>
      </c>
      <c r="C19" s="129">
        <v>22.5</v>
      </c>
      <c r="D19">
        <v>100.1</v>
      </c>
      <c r="E19" s="133">
        <v>69.5</v>
      </c>
    </row>
    <row r="20" spans="1:5">
      <c r="A20" s="128" t="s">
        <v>377</v>
      </c>
      <c r="B20" s="128" t="s">
        <v>415</v>
      </c>
      <c r="C20" s="129">
        <v>22.3</v>
      </c>
      <c r="D20">
        <v>96.3</v>
      </c>
      <c r="E20" s="133">
        <v>76.8</v>
      </c>
    </row>
    <row r="21" spans="1:5">
      <c r="A21" s="128" t="s">
        <v>378</v>
      </c>
      <c r="B21" s="128" t="s">
        <v>415</v>
      </c>
      <c r="C21" s="129">
        <v>19.399999999999999</v>
      </c>
      <c r="D21">
        <v>94.1</v>
      </c>
      <c r="E21" s="133">
        <v>70.7</v>
      </c>
    </row>
    <row r="22" spans="1:5">
      <c r="A22" s="128" t="s">
        <v>379</v>
      </c>
      <c r="B22" s="128" t="s">
        <v>416</v>
      </c>
      <c r="C22" s="129">
        <v>19.899999999999999</v>
      </c>
      <c r="D22">
        <v>92.5</v>
      </c>
      <c r="E22" s="133">
        <v>52.400000000000006</v>
      </c>
    </row>
    <row r="23" spans="1:5">
      <c r="A23" s="128" t="s">
        <v>380</v>
      </c>
      <c r="B23" s="128" t="s">
        <v>417</v>
      </c>
      <c r="C23" s="129">
        <v>15.1</v>
      </c>
      <c r="D23">
        <v>96.2</v>
      </c>
      <c r="E23" s="133">
        <v>47.599999999999994</v>
      </c>
    </row>
    <row r="24" spans="1:5">
      <c r="A24" s="128" t="s">
        <v>381</v>
      </c>
      <c r="B24" s="128" t="s">
        <v>418</v>
      </c>
      <c r="C24" s="129">
        <v>14.2</v>
      </c>
      <c r="D24">
        <v>95.5</v>
      </c>
      <c r="E24" s="133">
        <v>40.200000000000003</v>
      </c>
    </row>
    <row r="25" spans="1:5">
      <c r="A25" s="128" t="s">
        <v>382</v>
      </c>
      <c r="B25" s="128" t="s">
        <v>419</v>
      </c>
      <c r="C25" s="129">
        <v>21.7</v>
      </c>
      <c r="D25">
        <v>95.2</v>
      </c>
      <c r="E25" s="133">
        <v>58.5</v>
      </c>
    </row>
    <row r="26" spans="1:5">
      <c r="A26" s="128" t="s">
        <v>383</v>
      </c>
      <c r="B26" s="128" t="s">
        <v>419</v>
      </c>
      <c r="C26" s="129">
        <v>21.2</v>
      </c>
      <c r="D26">
        <v>92.4</v>
      </c>
      <c r="E26" s="133">
        <v>64.600000000000009</v>
      </c>
    </row>
    <row r="27" spans="1:5">
      <c r="A27" s="128" t="s">
        <v>384</v>
      </c>
      <c r="B27" s="128" t="s">
        <v>420</v>
      </c>
      <c r="C27" s="129">
        <v>26.2</v>
      </c>
      <c r="D27">
        <v>91.1</v>
      </c>
      <c r="E27" s="133">
        <v>68.300000000000011</v>
      </c>
    </row>
    <row r="28" spans="1:5">
      <c r="A28" s="128" t="s">
        <v>385</v>
      </c>
      <c r="B28" s="128" t="s">
        <v>420</v>
      </c>
      <c r="C28" s="129">
        <v>28.3</v>
      </c>
      <c r="D28">
        <v>93.6</v>
      </c>
      <c r="E28" s="133">
        <v>74.400000000000006</v>
      </c>
    </row>
    <row r="29" spans="1:5">
      <c r="A29" s="128" t="s">
        <v>386</v>
      </c>
      <c r="B29" s="128" t="s">
        <v>420</v>
      </c>
      <c r="C29" s="129">
        <v>26.3</v>
      </c>
      <c r="D29">
        <v>91.6</v>
      </c>
      <c r="E29" s="133">
        <v>62</v>
      </c>
    </row>
    <row r="30" spans="1:5">
      <c r="A30" s="128" t="s">
        <v>387</v>
      </c>
      <c r="B30" s="128" t="s">
        <v>420</v>
      </c>
      <c r="C30" s="129">
        <v>29.7</v>
      </c>
      <c r="D30">
        <v>93.3</v>
      </c>
      <c r="E30" s="133">
        <v>81.699999999999989</v>
      </c>
    </row>
    <row r="31" spans="1:5">
      <c r="A31" s="128" t="s">
        <v>388</v>
      </c>
      <c r="B31" s="128" t="s">
        <v>420</v>
      </c>
      <c r="C31" s="129">
        <v>28.7</v>
      </c>
      <c r="D31">
        <v>91.7</v>
      </c>
      <c r="E31" s="133">
        <v>68.300000000000011</v>
      </c>
    </row>
    <row r="32" spans="1:5">
      <c r="A32" s="128" t="s">
        <v>389</v>
      </c>
      <c r="B32" s="128" t="s">
        <v>420</v>
      </c>
      <c r="C32" s="129">
        <v>27.2</v>
      </c>
      <c r="D32">
        <v>92.1</v>
      </c>
      <c r="E32" s="133">
        <v>70.7</v>
      </c>
    </row>
    <row r="33" spans="1:5">
      <c r="A33" s="128" t="s">
        <v>390</v>
      </c>
      <c r="B33" s="128" t="s">
        <v>421</v>
      </c>
      <c r="C33" s="131">
        <v>30</v>
      </c>
      <c r="D33">
        <v>92.5</v>
      </c>
      <c r="E33" s="133">
        <v>61</v>
      </c>
    </row>
    <row r="34" spans="1:5">
      <c r="A34" s="128" t="s">
        <v>391</v>
      </c>
      <c r="B34" s="128" t="s">
        <v>421</v>
      </c>
      <c r="C34" s="131">
        <v>24</v>
      </c>
      <c r="D34">
        <v>92.3</v>
      </c>
      <c r="E34" s="133">
        <v>68.300000000000011</v>
      </c>
    </row>
    <row r="35" spans="1:5">
      <c r="A35" s="128" t="s">
        <v>392</v>
      </c>
      <c r="B35" s="128" t="s">
        <v>421</v>
      </c>
      <c r="C35" s="129">
        <v>27.6</v>
      </c>
      <c r="D35">
        <v>90.8</v>
      </c>
      <c r="E35" s="133">
        <v>41.5</v>
      </c>
    </row>
    <row r="36" spans="1:5">
      <c r="A36" s="128" t="s">
        <v>393</v>
      </c>
      <c r="B36" s="128" t="s">
        <v>421</v>
      </c>
      <c r="C36" s="129">
        <v>35.4</v>
      </c>
      <c r="D36">
        <v>90.9</v>
      </c>
      <c r="E36" s="133">
        <v>54.900000000000006</v>
      </c>
    </row>
    <row r="37" spans="1:5">
      <c r="A37" s="128" t="s">
        <v>394</v>
      </c>
      <c r="B37" s="128" t="s">
        <v>421</v>
      </c>
      <c r="C37" s="129">
        <v>31.6</v>
      </c>
      <c r="D37">
        <v>93.5</v>
      </c>
      <c r="E37" s="133">
        <v>51.2</v>
      </c>
    </row>
    <row r="38" spans="1:5">
      <c r="A38" s="128" t="s">
        <v>395</v>
      </c>
      <c r="B38" s="128" t="s">
        <v>421</v>
      </c>
      <c r="C38" s="129">
        <v>28.3</v>
      </c>
      <c r="D38">
        <v>95.6</v>
      </c>
      <c r="E38" s="133">
        <v>69.5</v>
      </c>
    </row>
    <row r="39" spans="1:5">
      <c r="A39" s="128" t="s">
        <v>396</v>
      </c>
      <c r="B39" s="128" t="s">
        <v>421</v>
      </c>
      <c r="C39" s="129">
        <v>26.8</v>
      </c>
      <c r="D39">
        <v>94.3</v>
      </c>
      <c r="E39" s="133">
        <v>79.3</v>
      </c>
    </row>
    <row r="40" spans="1:5">
      <c r="A40" s="128" t="s">
        <v>397</v>
      </c>
      <c r="B40" s="128" t="s">
        <v>421</v>
      </c>
      <c r="C40" s="131">
        <v>27</v>
      </c>
      <c r="D40">
        <v>92.8</v>
      </c>
      <c r="E40" s="133">
        <v>69.5</v>
      </c>
    </row>
    <row r="41" spans="1:5">
      <c r="A41" s="128" t="s">
        <v>398</v>
      </c>
      <c r="B41" s="128" t="s">
        <v>421</v>
      </c>
      <c r="C41" s="129">
        <v>25.3</v>
      </c>
      <c r="D41">
        <v>90.7</v>
      </c>
      <c r="E41" s="133">
        <v>69.5</v>
      </c>
    </row>
    <row r="42" spans="1:5">
      <c r="A42" s="128" t="s">
        <v>399</v>
      </c>
      <c r="B42" s="128" t="s">
        <v>421</v>
      </c>
      <c r="C42" s="129">
        <v>27.9</v>
      </c>
      <c r="D42">
        <v>90.5</v>
      </c>
      <c r="E42" s="133">
        <v>62.1</v>
      </c>
    </row>
    <row r="43" spans="1:5">
      <c r="A43" s="128" t="s">
        <v>400</v>
      </c>
      <c r="B43" s="128" t="s">
        <v>421</v>
      </c>
      <c r="C43" s="129">
        <v>27.3</v>
      </c>
      <c r="D43">
        <v>94.4</v>
      </c>
      <c r="E43" s="133">
        <v>54.900000000000006</v>
      </c>
    </row>
    <row r="44" spans="1:5">
      <c r="A44" s="128" t="s">
        <v>401</v>
      </c>
      <c r="B44" s="128" t="s">
        <v>422</v>
      </c>
      <c r="C44" s="129">
        <v>17.399999999999999</v>
      </c>
      <c r="D44">
        <v>98.7</v>
      </c>
      <c r="E44" s="133">
        <v>32.9</v>
      </c>
    </row>
    <row r="45" spans="1:5">
      <c r="A45" s="128" t="s">
        <v>402</v>
      </c>
      <c r="B45" s="128" t="s">
        <v>423</v>
      </c>
      <c r="C45" s="131">
        <v>12</v>
      </c>
      <c r="D45">
        <v>94</v>
      </c>
      <c r="E45" s="133">
        <v>25.6</v>
      </c>
    </row>
    <row r="46" spans="1:5">
      <c r="A46" s="128" t="s">
        <v>403</v>
      </c>
      <c r="B46" s="128" t="s">
        <v>421</v>
      </c>
      <c r="C46" s="129">
        <v>17.600000000000001</v>
      </c>
      <c r="D46">
        <v>95.6</v>
      </c>
      <c r="E46" s="133">
        <v>20.7</v>
      </c>
    </row>
    <row r="47" spans="1:5">
      <c r="A47" s="128" t="s">
        <v>404</v>
      </c>
      <c r="B47" s="128" t="s">
        <v>424</v>
      </c>
      <c r="C47" s="129">
        <v>15.6</v>
      </c>
      <c r="D47">
        <v>98.5</v>
      </c>
      <c r="E47" s="133">
        <v>31.7</v>
      </c>
    </row>
    <row r="48" spans="1:5">
      <c r="A48" s="128" t="s">
        <v>405</v>
      </c>
      <c r="B48" s="128" t="s">
        <v>425</v>
      </c>
      <c r="C48" s="129">
        <v>16.100000000000001</v>
      </c>
      <c r="D48">
        <v>100.3</v>
      </c>
      <c r="E48" s="133">
        <v>42.699999999999996</v>
      </c>
    </row>
    <row r="49" spans="1:5">
      <c r="A49" s="128" t="s">
        <v>406</v>
      </c>
      <c r="B49" s="128" t="s">
        <v>426</v>
      </c>
      <c r="C49" s="129">
        <v>27.4</v>
      </c>
      <c r="D49">
        <v>103.2</v>
      </c>
      <c r="E49" s="133">
        <v>45.1</v>
      </c>
    </row>
    <row r="50" spans="1:5">
      <c r="A50" s="128" t="s">
        <v>407</v>
      </c>
      <c r="B50" s="128" t="s">
        <v>427</v>
      </c>
      <c r="C50" s="129">
        <v>26.1</v>
      </c>
      <c r="D50">
        <v>100.9</v>
      </c>
      <c r="E50" s="133">
        <v>73.2</v>
      </c>
    </row>
    <row r="51" spans="1:5">
      <c r="A51" s="128" t="s">
        <v>408</v>
      </c>
      <c r="B51" s="128" t="s">
        <v>426</v>
      </c>
      <c r="C51" s="131">
        <v>25</v>
      </c>
      <c r="D51">
        <v>98.7</v>
      </c>
      <c r="E51" s="133">
        <v>58.3</v>
      </c>
    </row>
    <row r="52" spans="1:5">
      <c r="A52" s="128" t="s">
        <v>409</v>
      </c>
      <c r="B52" s="128" t="s">
        <v>426</v>
      </c>
      <c r="C52" s="129">
        <v>30.3</v>
      </c>
      <c r="D52">
        <v>100.1</v>
      </c>
      <c r="E52" s="133">
        <v>40.200000000000003</v>
      </c>
    </row>
    <row r="53" spans="1:5">
      <c r="A53" s="128" t="s">
        <v>410</v>
      </c>
      <c r="B53" s="128" t="s">
        <v>426</v>
      </c>
      <c r="C53" s="129">
        <v>28.9</v>
      </c>
      <c r="D53">
        <v>101.3</v>
      </c>
      <c r="E53" s="133">
        <v>52.400000000000006</v>
      </c>
    </row>
    <row r="54" spans="1:5">
      <c r="A54" s="128" t="s">
        <v>411</v>
      </c>
      <c r="B54" s="128" t="s">
        <v>426</v>
      </c>
      <c r="C54" s="129">
        <v>25.7</v>
      </c>
      <c r="D54">
        <v>100.9</v>
      </c>
      <c r="E54" s="133">
        <v>57.3</v>
      </c>
    </row>
    <row r="55" spans="1:5">
      <c r="A55" s="128" t="s">
        <v>412</v>
      </c>
      <c r="B55" s="128" t="s">
        <v>426</v>
      </c>
      <c r="C55" s="129">
        <v>24.4</v>
      </c>
      <c r="D55">
        <v>97.6</v>
      </c>
      <c r="E55" s="133">
        <v>61.5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7549-B409-40AA-BD9F-3A543A4FE961}">
  <dimension ref="A1:J24"/>
  <sheetViews>
    <sheetView topLeftCell="A9" zoomScale="170" zoomScaleNormal="170" workbookViewId="0">
      <selection activeCell="D26" sqref="D26"/>
    </sheetView>
  </sheetViews>
  <sheetFormatPr defaultRowHeight="15"/>
  <cols>
    <col min="2" max="2" width="18" bestFit="1" customWidth="1"/>
    <col min="3" max="3" width="12.85546875" bestFit="1" customWidth="1"/>
    <col min="4" max="4" width="14.5703125" bestFit="1" customWidth="1"/>
    <col min="5" max="5" width="10.28515625" bestFit="1" customWidth="1"/>
    <col min="6" max="6" width="9.5703125" bestFit="1" customWidth="1"/>
    <col min="7" max="7" width="13.42578125" bestFit="1" customWidth="1"/>
    <col min="8" max="8" width="11.5703125" bestFit="1" customWidth="1"/>
    <col min="9" max="9" width="11.28515625" bestFit="1" customWidth="1"/>
    <col min="10" max="10" width="11.5703125" bestFit="1" customWidth="1"/>
  </cols>
  <sheetData>
    <row r="1" spans="1:7" ht="21">
      <c r="A1" s="194" t="s">
        <v>1361</v>
      </c>
      <c r="B1" s="195"/>
      <c r="C1" s="195"/>
      <c r="D1" s="195"/>
      <c r="E1" s="195"/>
    </row>
    <row r="6" spans="1:7">
      <c r="B6" t="s">
        <v>113</v>
      </c>
    </row>
    <row r="7" spans="1:7" ht="15.75" thickBot="1"/>
    <row r="8" spans="1:7">
      <c r="B8" s="22" t="s">
        <v>114</v>
      </c>
      <c r="C8" s="22"/>
    </row>
    <row r="9" spans="1:7">
      <c r="B9" t="s">
        <v>115</v>
      </c>
      <c r="C9" s="2">
        <v>0.3324485275410628</v>
      </c>
    </row>
    <row r="10" spans="1:7">
      <c r="B10" t="s">
        <v>116</v>
      </c>
      <c r="C10" s="2">
        <v>0.11052202346422078</v>
      </c>
    </row>
    <row r="11" spans="1:7">
      <c r="B11" t="s">
        <v>117</v>
      </c>
      <c r="C11" s="2">
        <v>7.3460441108563312E-2</v>
      </c>
    </row>
    <row r="12" spans="1:7">
      <c r="B12" t="s">
        <v>118</v>
      </c>
      <c r="C12" s="2">
        <v>14.232532832958867</v>
      </c>
    </row>
    <row r="13" spans="1:7" ht="15.75" thickBot="1">
      <c r="B13" s="20" t="s">
        <v>119</v>
      </c>
      <c r="C13" s="20">
        <v>51</v>
      </c>
    </row>
    <row r="15" spans="1:7" ht="15.75" thickBot="1">
      <c r="B15" t="s">
        <v>120</v>
      </c>
    </row>
    <row r="16" spans="1:7">
      <c r="B16" s="21"/>
      <c r="C16" s="21" t="s">
        <v>121</v>
      </c>
      <c r="D16" s="21" t="s">
        <v>122</v>
      </c>
      <c r="E16" s="21" t="s">
        <v>123</v>
      </c>
      <c r="F16" s="21" t="s">
        <v>124</v>
      </c>
      <c r="G16" s="21" t="s">
        <v>125</v>
      </c>
    </row>
    <row r="17" spans="2:10">
      <c r="B17" t="s">
        <v>126</v>
      </c>
      <c r="C17">
        <v>2</v>
      </c>
      <c r="D17" s="2">
        <v>1208.1455376591075</v>
      </c>
      <c r="E17" s="2">
        <v>604.07276882955375</v>
      </c>
      <c r="F17" s="2">
        <v>2.9821183133415117</v>
      </c>
      <c r="G17" s="2">
        <v>6.0151267925487188E-2</v>
      </c>
    </row>
    <row r="18" spans="2:10">
      <c r="B18" t="s">
        <v>127</v>
      </c>
      <c r="C18">
        <v>48</v>
      </c>
      <c r="D18" s="2">
        <v>9723.1195603801043</v>
      </c>
      <c r="E18" s="2">
        <v>202.56499084125218</v>
      </c>
      <c r="F18" s="2"/>
      <c r="G18" s="2"/>
    </row>
    <row r="19" spans="2:10" ht="15.75" thickBot="1">
      <c r="B19" s="20" t="s">
        <v>7</v>
      </c>
      <c r="C19" s="20">
        <v>50</v>
      </c>
      <c r="D19" s="106">
        <v>10931.265098039212</v>
      </c>
      <c r="E19" s="106"/>
      <c r="F19" s="106"/>
      <c r="G19" s="106"/>
    </row>
    <row r="20" spans="2:10" ht="15.75" thickBot="1"/>
    <row r="21" spans="2:10">
      <c r="B21" s="21"/>
      <c r="C21" s="21" t="s">
        <v>128</v>
      </c>
      <c r="D21" s="21" t="s">
        <v>118</v>
      </c>
      <c r="E21" s="21" t="s">
        <v>129</v>
      </c>
      <c r="F21" s="21" t="s">
        <v>130</v>
      </c>
      <c r="G21" s="21" t="s">
        <v>131</v>
      </c>
      <c r="H21" s="21" t="s">
        <v>132</v>
      </c>
      <c r="I21" s="23"/>
      <c r="J21" s="23"/>
    </row>
    <row r="22" spans="2:10">
      <c r="B22" t="s">
        <v>133</v>
      </c>
      <c r="C22" s="13">
        <v>40.691994450218942</v>
      </c>
      <c r="D22" s="2">
        <v>40.806921295196439</v>
      </c>
      <c r="E22" s="2">
        <v>0.99718364332986265</v>
      </c>
      <c r="F22" s="2">
        <v>0.32367599484598941</v>
      </c>
      <c r="G22" s="2">
        <v>-41.35581985753943</v>
      </c>
      <c r="H22" s="2">
        <v>122.73980875797731</v>
      </c>
      <c r="I22" s="2"/>
      <c r="J22" s="2"/>
    </row>
    <row r="23" spans="2:10">
      <c r="B23" t="s">
        <v>134</v>
      </c>
      <c r="C23" s="13">
        <v>1.0128194884961681</v>
      </c>
      <c r="D23" s="2">
        <v>0.41874165046422612</v>
      </c>
      <c r="E23" s="2">
        <v>2.418721632713952</v>
      </c>
      <c r="F23" s="2">
        <v>1.94165075427928E-2</v>
      </c>
      <c r="G23" s="2">
        <v>0.17088297160785815</v>
      </c>
      <c r="H23" s="2">
        <v>1.854756005384478</v>
      </c>
      <c r="I23" s="2"/>
      <c r="J23" s="2"/>
    </row>
    <row r="24" spans="2:10" ht="15.75" thickBot="1">
      <c r="B24" s="20" t="s">
        <v>650</v>
      </c>
      <c r="C24" s="290">
        <v>-5.8185684023561654E-2</v>
      </c>
      <c r="D24" s="106">
        <v>0.39613395415061625</v>
      </c>
      <c r="E24" s="106">
        <v>-0.14688385939630552</v>
      </c>
      <c r="F24" s="106">
        <v>0.88383889688201456</v>
      </c>
      <c r="G24" s="106">
        <v>-0.85466638091391434</v>
      </c>
      <c r="H24" s="106">
        <v>0.73829501286679111</v>
      </c>
      <c r="I24" s="2"/>
      <c r="J2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6DE7-7A7C-4EDC-A6CD-BF7F4B2DE455}">
  <dimension ref="A1:H21"/>
  <sheetViews>
    <sheetView workbookViewId="0">
      <selection sqref="A1:E1"/>
    </sheetView>
  </sheetViews>
  <sheetFormatPr defaultRowHeight="15"/>
  <cols>
    <col min="1" max="1" width="10.5703125" bestFit="1" customWidth="1"/>
    <col min="2" max="2" width="11.42578125" customWidth="1"/>
    <col min="3" max="3" width="10.42578125" bestFit="1" customWidth="1"/>
    <col min="7" max="7" width="17.5703125" customWidth="1"/>
  </cols>
  <sheetData>
    <row r="1" spans="1:8" ht="21">
      <c r="A1" s="194" t="s">
        <v>592</v>
      </c>
      <c r="B1" s="195"/>
      <c r="C1" s="195"/>
      <c r="D1" s="195"/>
      <c r="E1" s="195"/>
    </row>
    <row r="2" spans="1:8">
      <c r="E2" s="295"/>
      <c r="F2" s="296"/>
    </row>
    <row r="3" spans="1:8">
      <c r="A3" s="150" t="s">
        <v>163</v>
      </c>
      <c r="B3" s="148" t="s">
        <v>0</v>
      </c>
      <c r="C3" s="148" t="s">
        <v>1</v>
      </c>
      <c r="E3" s="3"/>
      <c r="F3" s="3"/>
      <c r="H3" s="3"/>
    </row>
    <row r="4" spans="1:8">
      <c r="A4" s="179">
        <v>45686</v>
      </c>
      <c r="B4" s="182">
        <v>2.66491685871066E-2</v>
      </c>
      <c r="C4" s="182">
        <v>2.3251451798530299E-3</v>
      </c>
      <c r="D4" s="2"/>
      <c r="E4" s="2"/>
      <c r="F4" s="2"/>
      <c r="G4" s="2"/>
      <c r="H4" s="2"/>
    </row>
    <row r="5" spans="1:8">
      <c r="A5" s="179">
        <v>45714</v>
      </c>
      <c r="B5" s="182">
        <v>-7.9993111119980503E-2</v>
      </c>
      <c r="C5" s="182">
        <v>-0.18285430765304</v>
      </c>
      <c r="D5" s="2"/>
      <c r="E5" s="2"/>
      <c r="F5" s="2"/>
      <c r="G5" s="2"/>
      <c r="H5" s="2"/>
    </row>
    <row r="6" spans="1:8">
      <c r="A6" s="179">
        <v>45747</v>
      </c>
      <c r="B6" s="182">
        <v>0.12781874616733399</v>
      </c>
      <c r="C6" s="182">
        <v>7.7511807811569897E-2</v>
      </c>
      <c r="D6" s="2"/>
      <c r="E6" s="2"/>
      <c r="F6" s="2"/>
      <c r="G6" s="2"/>
      <c r="H6" s="2"/>
    </row>
    <row r="7" spans="1:8">
      <c r="A7" s="179">
        <v>45777</v>
      </c>
      <c r="B7" s="182">
        <v>4.30954365242011E-2</v>
      </c>
      <c r="C7" s="182">
        <v>-0.123367742221906</v>
      </c>
      <c r="D7" s="2"/>
      <c r="E7" s="2"/>
      <c r="F7" s="2"/>
      <c r="G7" s="2"/>
      <c r="H7" s="2"/>
    </row>
    <row r="8" spans="1:8">
      <c r="A8" s="179">
        <v>45805</v>
      </c>
      <c r="B8" s="182">
        <v>4.9127124826307102E-3</v>
      </c>
      <c r="C8" s="182">
        <v>-5.4880200659160501E-3</v>
      </c>
      <c r="D8" s="2"/>
      <c r="E8" s="2"/>
      <c r="F8" s="2"/>
      <c r="G8" s="2"/>
      <c r="H8" s="2"/>
    </row>
    <row r="9" spans="1:8">
      <c r="A9" s="179">
        <v>45838</v>
      </c>
      <c r="B9" s="182">
        <v>-1.49670290589293E-2</v>
      </c>
      <c r="C9" s="182">
        <v>0.18919986086454399</v>
      </c>
      <c r="D9" s="2"/>
      <c r="E9" s="2"/>
      <c r="F9" s="2"/>
      <c r="G9" s="2"/>
      <c r="H9" s="2"/>
    </row>
    <row r="10" spans="1:8">
      <c r="A10" s="179">
        <v>45868</v>
      </c>
      <c r="B10" s="182">
        <v>6.4728517382665898E-2</v>
      </c>
      <c r="C10" s="182">
        <v>-4.9386820408811101E-2</v>
      </c>
      <c r="D10" s="2"/>
      <c r="E10" s="2"/>
      <c r="F10" s="2"/>
      <c r="G10" s="2"/>
      <c r="H10" s="2"/>
    </row>
    <row r="11" spans="1:8">
      <c r="A11" s="179">
        <v>45900</v>
      </c>
      <c r="B11" s="182">
        <v>4.9579659557048199E-3</v>
      </c>
      <c r="C11" s="182">
        <v>9.2515097626366199E-2</v>
      </c>
      <c r="D11" s="2"/>
      <c r="E11" s="2"/>
      <c r="F11" s="2"/>
      <c r="G11" s="1"/>
      <c r="H11" s="2"/>
    </row>
    <row r="12" spans="1:8">
      <c r="A12" s="179">
        <v>45930</v>
      </c>
      <c r="B12" s="182">
        <v>-6.7552166575601202E-2</v>
      </c>
      <c r="C12" s="182">
        <v>1.5531905153964401E-2</v>
      </c>
      <c r="E12" s="2"/>
      <c r="F12" s="2"/>
      <c r="H12" s="2"/>
    </row>
    <row r="13" spans="1:8">
      <c r="A13" s="179">
        <v>45959</v>
      </c>
      <c r="B13" s="182">
        <v>4.5291651401516399E-2</v>
      </c>
      <c r="C13" s="182">
        <v>0.25277600549802298</v>
      </c>
      <c r="E13" s="2"/>
      <c r="F13" s="2"/>
      <c r="H13" s="2"/>
    </row>
    <row r="14" spans="1:8">
      <c r="A14" s="179">
        <v>45991</v>
      </c>
      <c r="B14" s="182">
        <v>-3.9738062631339097E-2</v>
      </c>
      <c r="C14" s="182">
        <v>-0.13370681790633401</v>
      </c>
      <c r="E14" s="2"/>
      <c r="F14" s="2"/>
      <c r="H14" s="2"/>
    </row>
    <row r="15" spans="1:8">
      <c r="A15" s="179">
        <v>46021</v>
      </c>
      <c r="B15" s="182">
        <v>8.0197903391152098E-2</v>
      </c>
      <c r="C15" s="182">
        <v>-0.15019302883947899</v>
      </c>
      <c r="E15" s="2"/>
      <c r="F15" s="2"/>
      <c r="H15" s="2"/>
    </row>
    <row r="17" spans="1:8">
      <c r="A17" t="s">
        <v>174</v>
      </c>
      <c r="B17" s="27">
        <f>STDEVP(B4:B15)</f>
        <v>5.8601806070021835E-2</v>
      </c>
      <c r="C17" s="27">
        <f>STDEVP(C4:C15)</f>
        <v>0.13103654248057442</v>
      </c>
    </row>
    <row r="18" spans="1:8">
      <c r="A18" t="s">
        <v>593</v>
      </c>
      <c r="B18" s="27">
        <f>COVAR(B4:B15,C4:C15)</f>
        <v>1.4664290054495568E-3</v>
      </c>
      <c r="C18" s="5"/>
      <c r="H18" s="16"/>
    </row>
    <row r="20" spans="1:8">
      <c r="A20" t="s">
        <v>594</v>
      </c>
      <c r="B20" s="27">
        <f>B18/(B17*C17)</f>
        <v>0.19096668798888022</v>
      </c>
      <c r="C20" t="s">
        <v>595</v>
      </c>
    </row>
    <row r="21" spans="1:8">
      <c r="A21" t="s">
        <v>594</v>
      </c>
      <c r="B21" s="27">
        <f>CORREL(B4:B15,C4:C15)</f>
        <v>0.19096668798888022</v>
      </c>
      <c r="C21" t="s">
        <v>596</v>
      </c>
    </row>
  </sheetData>
  <mergeCells count="1"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K64"/>
  <sheetViews>
    <sheetView workbookViewId="0">
      <selection activeCell="G27" sqref="G27"/>
    </sheetView>
  </sheetViews>
  <sheetFormatPr defaultRowHeight="15"/>
  <cols>
    <col min="1" max="1" width="10.5703125" bestFit="1" customWidth="1"/>
    <col min="5" max="5" width="9.85546875" customWidth="1"/>
    <col min="8" max="8" width="12.140625" bestFit="1" customWidth="1"/>
  </cols>
  <sheetData>
    <row r="1" spans="1:11" ht="21">
      <c r="A1" s="194" t="s">
        <v>612</v>
      </c>
      <c r="B1" s="195"/>
      <c r="C1" s="195"/>
      <c r="D1" s="195"/>
      <c r="E1" s="195"/>
      <c r="F1" s="195"/>
      <c r="G1" s="195"/>
      <c r="H1" s="195"/>
    </row>
    <row r="3" spans="1:11">
      <c r="E3" s="1" t="s">
        <v>28</v>
      </c>
      <c r="K3" s="1" t="s">
        <v>28</v>
      </c>
    </row>
    <row r="4" spans="1:11">
      <c r="A4" s="147"/>
      <c r="B4" s="150" t="s">
        <v>305</v>
      </c>
      <c r="C4" s="150" t="s">
        <v>29</v>
      </c>
      <c r="E4" s="1" t="s">
        <v>17</v>
      </c>
      <c r="I4" s="1" t="s">
        <v>305</v>
      </c>
      <c r="J4" s="1" t="s">
        <v>29</v>
      </c>
      <c r="K4" s="1" t="s">
        <v>17</v>
      </c>
    </row>
    <row r="5" spans="1:11">
      <c r="A5" s="193" t="s">
        <v>102</v>
      </c>
      <c r="B5" s="161">
        <v>0.117586485</v>
      </c>
      <c r="C5" s="161">
        <v>0.10369608600000001</v>
      </c>
      <c r="E5" s="13">
        <f t="shared" ref="E5:E36" si="0">0.6*B5+0.4*C5</f>
        <v>0.11203032540000002</v>
      </c>
      <c r="H5" s="1" t="s">
        <v>30</v>
      </c>
      <c r="I5">
        <f>AVERAGE(B5:B64)</f>
        <v>0.10000000001666667</v>
      </c>
      <c r="J5">
        <f>AVERAGE(C5:C64)</f>
        <v>0.15000000005000005</v>
      </c>
      <c r="K5">
        <f>AVERAGE(E5:E64)</f>
        <v>0.12000000003000003</v>
      </c>
    </row>
    <row r="6" spans="1:11">
      <c r="A6" s="193" t="s">
        <v>103</v>
      </c>
      <c r="B6" s="161">
        <v>6.8241819999999998E-3</v>
      </c>
      <c r="C6" s="161">
        <v>0.40329940199999997</v>
      </c>
      <c r="E6" s="13">
        <f t="shared" si="0"/>
        <v>0.16541427</v>
      </c>
      <c r="H6" s="1" t="s">
        <v>310</v>
      </c>
      <c r="I6">
        <f>STDEVP(B5:B64)</f>
        <v>0.25000000005973283</v>
      </c>
      <c r="J6">
        <f>STDEVP(C5:C64)</f>
        <v>0.29999999860609566</v>
      </c>
      <c r="K6">
        <f>STDEVP(E5:E64)</f>
        <v>9.0000002758120215E-2</v>
      </c>
    </row>
    <row r="7" spans="1:11">
      <c r="A7" s="193" t="s">
        <v>104</v>
      </c>
      <c r="B7" s="161">
        <v>-0.14639169799999999</v>
      </c>
      <c r="C7" s="161">
        <v>0.62387681800000006</v>
      </c>
      <c r="E7" s="13">
        <f t="shared" si="0"/>
        <v>0.16171570840000005</v>
      </c>
    </row>
    <row r="8" spans="1:11">
      <c r="A8" s="193" t="s">
        <v>105</v>
      </c>
      <c r="B8" s="161">
        <v>0.29974835700000002</v>
      </c>
      <c r="C8" s="161">
        <v>3.0552741000000001E-2</v>
      </c>
      <c r="E8" s="13">
        <f t="shared" si="0"/>
        <v>0.19207011060000001</v>
      </c>
      <c r="H8" s="1" t="s">
        <v>306</v>
      </c>
      <c r="I8">
        <f>COVAR(C5:C64,B5:B64)</f>
        <v>-5.99999987093238E-2</v>
      </c>
    </row>
    <row r="9" spans="1:11">
      <c r="A9" s="193" t="s">
        <v>106</v>
      </c>
      <c r="B9" s="161">
        <v>0.31348680099999998</v>
      </c>
      <c r="C9" s="161">
        <v>0.221439529</v>
      </c>
      <c r="E9" s="13">
        <f t="shared" si="0"/>
        <v>0.27666789219999999</v>
      </c>
      <c r="H9" s="1" t="s">
        <v>594</v>
      </c>
      <c r="I9">
        <f>CORREL(B5:B64,C5:C64)</f>
        <v>-0.79999998631691704</v>
      </c>
    </row>
    <row r="10" spans="1:11">
      <c r="A10" s="193" t="s">
        <v>107</v>
      </c>
      <c r="B10" s="161">
        <v>0.27756297099999999</v>
      </c>
      <c r="C10" s="161">
        <v>-0.13290755000000001</v>
      </c>
      <c r="E10" s="13">
        <f t="shared" si="0"/>
        <v>0.11337476259999998</v>
      </c>
    </row>
    <row r="11" spans="1:11">
      <c r="A11" s="193" t="s">
        <v>108</v>
      </c>
      <c r="B11" s="161">
        <v>-2.0673421000000001E-2</v>
      </c>
      <c r="C11" s="161">
        <v>-0.210354233</v>
      </c>
      <c r="E11" s="13">
        <f t="shared" si="0"/>
        <v>-9.6545745799999999E-2</v>
      </c>
    </row>
    <row r="12" spans="1:11">
      <c r="A12" s="193" t="s">
        <v>109</v>
      </c>
      <c r="B12" s="161">
        <v>0.319342232</v>
      </c>
      <c r="C12" s="161">
        <v>9.3193076999999999E-2</v>
      </c>
      <c r="E12" s="13">
        <f t="shared" si="0"/>
        <v>0.22888257000000001</v>
      </c>
    </row>
    <row r="13" spans="1:11">
      <c r="A13" s="193" t="s">
        <v>110</v>
      </c>
      <c r="B13" s="161">
        <v>0.11660581</v>
      </c>
      <c r="C13" s="161">
        <v>9.1658452000000001E-2</v>
      </c>
      <c r="E13" s="13">
        <f t="shared" si="0"/>
        <v>0.1066268668</v>
      </c>
    </row>
    <row r="14" spans="1:11">
      <c r="A14" s="193" t="s">
        <v>111</v>
      </c>
      <c r="B14" s="161">
        <v>-2.2183410000000001E-2</v>
      </c>
      <c r="C14" s="161">
        <v>0.46275893200000001</v>
      </c>
      <c r="E14" s="13">
        <f t="shared" si="0"/>
        <v>0.17179352680000001</v>
      </c>
    </row>
    <row r="15" spans="1:11">
      <c r="A15" s="193" t="s">
        <v>112</v>
      </c>
      <c r="B15" s="161">
        <v>-0.29067029900000002</v>
      </c>
      <c r="C15" s="161">
        <v>0.61356153700000005</v>
      </c>
      <c r="E15" s="13">
        <f t="shared" si="0"/>
        <v>7.1022435400000028E-2</v>
      </c>
    </row>
    <row r="16" spans="1:11">
      <c r="A16" s="193" t="s">
        <v>522</v>
      </c>
      <c r="B16" s="161">
        <v>0.15697865499999999</v>
      </c>
      <c r="C16" s="161">
        <v>-3.9048933000000001E-2</v>
      </c>
      <c r="E16" s="13">
        <f t="shared" si="0"/>
        <v>7.8567619799999988E-2</v>
      </c>
    </row>
    <row r="17" spans="1:5">
      <c r="A17" s="193" t="s">
        <v>523</v>
      </c>
      <c r="B17" s="161">
        <v>0.39658987299999998</v>
      </c>
      <c r="C17" s="161">
        <v>-0.21863875099999999</v>
      </c>
      <c r="E17" s="13">
        <f t="shared" si="0"/>
        <v>0.15049842339999997</v>
      </c>
    </row>
    <row r="18" spans="1:5">
      <c r="A18" s="193" t="s">
        <v>524</v>
      </c>
      <c r="B18" s="161">
        <v>0.43457290199999998</v>
      </c>
      <c r="C18" s="161">
        <v>-0.41991041699999998</v>
      </c>
      <c r="E18" s="13">
        <f t="shared" si="0"/>
        <v>9.2779574399999981E-2</v>
      </c>
    </row>
    <row r="19" spans="1:5">
      <c r="A19" s="193" t="s">
        <v>525</v>
      </c>
      <c r="B19" s="161">
        <v>-0.25434117099999998</v>
      </c>
      <c r="C19" s="161">
        <v>0.76978298999999994</v>
      </c>
      <c r="E19" s="13">
        <f t="shared" si="0"/>
        <v>0.15530849340000003</v>
      </c>
    </row>
    <row r="20" spans="1:5">
      <c r="A20" s="193" t="s">
        <v>526</v>
      </c>
      <c r="B20" s="161">
        <v>-0.16169873200000001</v>
      </c>
      <c r="C20" s="161">
        <v>0.63322589600000001</v>
      </c>
      <c r="E20" s="13">
        <f t="shared" si="0"/>
        <v>0.15627111920000003</v>
      </c>
    </row>
    <row r="21" spans="1:5">
      <c r="A21" s="193" t="s">
        <v>527</v>
      </c>
      <c r="B21" s="161">
        <v>0.36522408299999998</v>
      </c>
      <c r="C21" s="161">
        <v>-0.18041431099999999</v>
      </c>
      <c r="E21" s="13">
        <f t="shared" si="0"/>
        <v>0.1469687254</v>
      </c>
    </row>
    <row r="22" spans="1:5">
      <c r="A22" s="193" t="s">
        <v>528</v>
      </c>
      <c r="B22" s="161">
        <v>-0.22451317000000001</v>
      </c>
      <c r="C22" s="161">
        <v>0.47018422399999998</v>
      </c>
      <c r="E22" s="13">
        <f t="shared" si="0"/>
        <v>5.336578760000002E-2</v>
      </c>
    </row>
    <row r="23" spans="1:5">
      <c r="A23" s="193" t="s">
        <v>529</v>
      </c>
      <c r="B23" s="161">
        <v>0.192953454</v>
      </c>
      <c r="C23" s="161">
        <v>-6.8234647999999995E-2</v>
      </c>
      <c r="E23" s="13">
        <f t="shared" si="0"/>
        <v>8.8478213199999989E-2</v>
      </c>
    </row>
    <row r="24" spans="1:5">
      <c r="A24" s="193" t="s">
        <v>530</v>
      </c>
      <c r="B24" s="161">
        <v>0.13466734599999999</v>
      </c>
      <c r="C24" s="161">
        <v>1.8155261999999998E-2</v>
      </c>
      <c r="E24" s="13">
        <f t="shared" si="0"/>
        <v>8.8062512400000001E-2</v>
      </c>
    </row>
    <row r="25" spans="1:5">
      <c r="A25" s="193" t="s">
        <v>531</v>
      </c>
      <c r="B25" s="161">
        <v>0.10101940099999999</v>
      </c>
      <c r="C25" s="161">
        <v>-5.3513907999999999E-2</v>
      </c>
      <c r="E25" s="13">
        <f t="shared" si="0"/>
        <v>3.9206077399999997E-2</v>
      </c>
    </row>
    <row r="26" spans="1:5">
      <c r="A26" s="193" t="s">
        <v>275</v>
      </c>
      <c r="B26" s="161">
        <v>-8.4352969E-2</v>
      </c>
      <c r="C26" s="161">
        <v>0.33278632400000002</v>
      </c>
      <c r="E26" s="13">
        <f t="shared" si="0"/>
        <v>8.2502748200000003E-2</v>
      </c>
    </row>
    <row r="27" spans="1:5">
      <c r="A27" s="193" t="s">
        <v>276</v>
      </c>
      <c r="B27" s="161">
        <v>-0.202686475</v>
      </c>
      <c r="C27" s="161">
        <v>0.43628544699999999</v>
      </c>
      <c r="E27" s="13">
        <f t="shared" si="0"/>
        <v>5.29022938E-2</v>
      </c>
    </row>
    <row r="28" spans="1:5">
      <c r="A28" s="193" t="s">
        <v>277</v>
      </c>
      <c r="B28" s="161">
        <v>0.36757846599999999</v>
      </c>
      <c r="C28" s="161">
        <v>-0.40374377099999997</v>
      </c>
      <c r="E28" s="13">
        <f t="shared" si="0"/>
        <v>5.9049571200000012E-2</v>
      </c>
    </row>
    <row r="29" spans="1:5">
      <c r="A29" s="193" t="s">
        <v>532</v>
      </c>
      <c r="B29" s="161">
        <v>-0.29671025400000001</v>
      </c>
      <c r="C29" s="161">
        <v>0.52933676299999999</v>
      </c>
      <c r="E29" s="13">
        <f t="shared" si="0"/>
        <v>3.3708552800000013E-2</v>
      </c>
    </row>
    <row r="30" spans="1:5">
      <c r="A30" s="193" t="s">
        <v>533</v>
      </c>
      <c r="B30" s="161">
        <v>0.59021893700000005</v>
      </c>
      <c r="C30" s="161">
        <v>9.3243874000000004E-2</v>
      </c>
      <c r="E30" s="13">
        <f t="shared" si="0"/>
        <v>0.3914289118</v>
      </c>
    </row>
    <row r="31" spans="1:5">
      <c r="A31" s="193" t="s">
        <v>534</v>
      </c>
      <c r="B31" s="161">
        <v>-0.13263935399999999</v>
      </c>
      <c r="C31" s="161">
        <v>0.17079849699999999</v>
      </c>
      <c r="E31" s="13">
        <f t="shared" si="0"/>
        <v>-1.1264213599999989E-2</v>
      </c>
    </row>
    <row r="32" spans="1:5">
      <c r="A32" s="193" t="s">
        <v>535</v>
      </c>
      <c r="B32" s="161">
        <v>-1.3244495E-2</v>
      </c>
      <c r="C32" s="161">
        <v>0.57829021999999997</v>
      </c>
      <c r="E32" s="13">
        <f t="shared" si="0"/>
        <v>0.223369391</v>
      </c>
    </row>
    <row r="33" spans="1:5">
      <c r="A33" s="193" t="s">
        <v>536</v>
      </c>
      <c r="B33" s="161">
        <v>-6.0763892999999999E-2</v>
      </c>
      <c r="C33" s="161">
        <v>0.25525890299999998</v>
      </c>
      <c r="E33" s="13">
        <f t="shared" si="0"/>
        <v>6.5645225400000007E-2</v>
      </c>
    </row>
    <row r="34" spans="1:5">
      <c r="A34" s="193" t="s">
        <v>537</v>
      </c>
      <c r="B34" s="161">
        <v>0.20468884600000001</v>
      </c>
      <c r="C34" s="161">
        <v>1.5718797E-2</v>
      </c>
      <c r="E34" s="13">
        <f t="shared" si="0"/>
        <v>0.12910082640000001</v>
      </c>
    </row>
    <row r="35" spans="1:5">
      <c r="A35" s="193" t="s">
        <v>538</v>
      </c>
      <c r="B35" s="161">
        <v>0.19045624899999999</v>
      </c>
      <c r="C35" s="161">
        <v>-0.14595819500000001</v>
      </c>
      <c r="E35" s="13">
        <f t="shared" si="0"/>
        <v>5.5890471399999975E-2</v>
      </c>
    </row>
    <row r="36" spans="1:5">
      <c r="A36" s="193" t="s">
        <v>539</v>
      </c>
      <c r="B36" s="161">
        <v>-0.31248391199999997</v>
      </c>
      <c r="C36" s="161">
        <v>0.50294087099999996</v>
      </c>
      <c r="E36" s="13">
        <f t="shared" si="0"/>
        <v>1.3686001199999992E-2</v>
      </c>
    </row>
    <row r="37" spans="1:5">
      <c r="A37" s="193" t="s">
        <v>540</v>
      </c>
      <c r="B37" s="161">
        <v>-5.3498503000000003E-2</v>
      </c>
      <c r="C37" s="161">
        <v>0.619292077</v>
      </c>
      <c r="E37" s="13">
        <f t="shared" ref="E37:E64" si="1">0.6*B37+0.4*C37</f>
        <v>0.21561772900000001</v>
      </c>
    </row>
    <row r="38" spans="1:5">
      <c r="A38" s="193" t="s">
        <v>278</v>
      </c>
      <c r="B38" s="161">
        <v>9.1400445999999996E-2</v>
      </c>
      <c r="C38" s="161">
        <v>-5.4211720000000001E-3</v>
      </c>
      <c r="E38" s="13">
        <f t="shared" si="1"/>
        <v>5.2671798800000003E-2</v>
      </c>
    </row>
    <row r="39" spans="1:5">
      <c r="A39" s="193" t="s">
        <v>279</v>
      </c>
      <c r="B39" s="161">
        <v>-0.30026227</v>
      </c>
      <c r="C39" s="161">
        <v>0.175109616</v>
      </c>
      <c r="E39" s="13">
        <f t="shared" si="1"/>
        <v>-0.11011351559999999</v>
      </c>
    </row>
    <row r="40" spans="1:5">
      <c r="A40" s="193" t="s">
        <v>280</v>
      </c>
      <c r="B40" s="161">
        <v>0.268354221</v>
      </c>
      <c r="C40" s="161">
        <v>-0.14470369499999999</v>
      </c>
      <c r="E40" s="13">
        <f t="shared" si="1"/>
        <v>0.10313105460000001</v>
      </c>
    </row>
    <row r="41" spans="1:5">
      <c r="A41" s="193" t="s">
        <v>541</v>
      </c>
      <c r="B41" s="161">
        <v>0.356623144</v>
      </c>
      <c r="C41" s="161">
        <v>-0.204985536</v>
      </c>
      <c r="E41" s="13">
        <f t="shared" si="1"/>
        <v>0.13197967199999999</v>
      </c>
    </row>
    <row r="42" spans="1:5">
      <c r="A42" s="193" t="s">
        <v>542</v>
      </c>
      <c r="B42" s="161">
        <v>0.18043472099999999</v>
      </c>
      <c r="C42" s="161">
        <v>0.233082175</v>
      </c>
      <c r="E42" s="13">
        <f t="shared" si="1"/>
        <v>0.20149370259999999</v>
      </c>
    </row>
    <row r="43" spans="1:5">
      <c r="A43" s="193" t="s">
        <v>543</v>
      </c>
      <c r="B43" s="161">
        <v>7.3504081999999998E-2</v>
      </c>
      <c r="C43" s="161">
        <v>3.4168245E-2</v>
      </c>
      <c r="E43" s="13">
        <f t="shared" si="1"/>
        <v>5.7769747199999999E-2</v>
      </c>
    </row>
    <row r="44" spans="1:5">
      <c r="A44" s="193" t="s">
        <v>544</v>
      </c>
      <c r="B44" s="161">
        <v>-5.5073361000000001E-2</v>
      </c>
      <c r="C44" s="161">
        <v>0.23506360800000001</v>
      </c>
      <c r="E44" s="13">
        <f t="shared" si="1"/>
        <v>6.0981426600000006E-2</v>
      </c>
    </row>
    <row r="45" spans="1:5">
      <c r="A45" s="193" t="s">
        <v>545</v>
      </c>
      <c r="B45" s="161">
        <v>0.49659418799999999</v>
      </c>
      <c r="C45" s="161">
        <v>0.148712029</v>
      </c>
      <c r="E45" s="13">
        <f t="shared" si="1"/>
        <v>0.35744132439999998</v>
      </c>
    </row>
    <row r="46" spans="1:5">
      <c r="A46" s="193" t="s">
        <v>546</v>
      </c>
      <c r="B46" s="161">
        <v>0.11878820700000001</v>
      </c>
      <c r="C46" s="161">
        <v>0.18020557700000001</v>
      </c>
      <c r="E46" s="13">
        <f t="shared" si="1"/>
        <v>0.14335515500000001</v>
      </c>
    </row>
    <row r="47" spans="1:5">
      <c r="A47" s="193" t="s">
        <v>547</v>
      </c>
      <c r="B47" s="161">
        <v>8.3840690999999995E-2</v>
      </c>
      <c r="C47" s="161">
        <v>0.34484469499999998</v>
      </c>
      <c r="E47" s="13">
        <f t="shared" si="1"/>
        <v>0.18824229259999997</v>
      </c>
    </row>
    <row r="48" spans="1:5">
      <c r="A48" s="193" t="s">
        <v>548</v>
      </c>
      <c r="B48" s="161">
        <v>0.19940633899999999</v>
      </c>
      <c r="C48" s="161">
        <v>1.3524311000000001E-2</v>
      </c>
      <c r="E48" s="13">
        <f t="shared" si="1"/>
        <v>0.12505352779999998</v>
      </c>
    </row>
    <row r="49" spans="1:5">
      <c r="A49" s="193" t="s">
        <v>549</v>
      </c>
      <c r="B49" s="161">
        <v>0.324580857</v>
      </c>
      <c r="C49" s="161">
        <v>-2.2814109999999999E-2</v>
      </c>
      <c r="E49" s="13">
        <f t="shared" si="1"/>
        <v>0.18562287020000001</v>
      </c>
    </row>
    <row r="50" spans="1:5">
      <c r="A50" s="193" t="s">
        <v>281</v>
      </c>
      <c r="B50" s="161">
        <v>-0.46380985299999999</v>
      </c>
      <c r="C50" s="161">
        <v>0.79171014399999995</v>
      </c>
      <c r="E50" s="13">
        <f t="shared" si="1"/>
        <v>3.8398145800000005E-2</v>
      </c>
    </row>
    <row r="51" spans="1:5">
      <c r="A51" s="193" t="s">
        <v>282</v>
      </c>
      <c r="B51" s="161">
        <v>-1.5139067000000001E-2</v>
      </c>
      <c r="C51" s="161">
        <v>0.16857073</v>
      </c>
      <c r="E51" s="13">
        <f t="shared" si="1"/>
        <v>5.83448518E-2</v>
      </c>
    </row>
    <row r="52" spans="1:5">
      <c r="A52" s="193" t="s">
        <v>283</v>
      </c>
      <c r="B52" s="161">
        <v>-6.4932987999999997E-2</v>
      </c>
      <c r="C52" s="161">
        <v>0.453739962</v>
      </c>
      <c r="E52" s="13">
        <f t="shared" si="1"/>
        <v>0.14253619200000001</v>
      </c>
    </row>
    <row r="53" spans="1:5">
      <c r="A53" s="193" t="s">
        <v>600</v>
      </c>
      <c r="B53" s="161">
        <v>2.692611E-2</v>
      </c>
      <c r="C53" s="161">
        <v>0.214082458</v>
      </c>
      <c r="E53" s="13">
        <f t="shared" si="1"/>
        <v>0.10178864920000001</v>
      </c>
    </row>
    <row r="54" spans="1:5">
      <c r="A54" s="193" t="s">
        <v>601</v>
      </c>
      <c r="B54" s="161">
        <v>0.39013889600000001</v>
      </c>
      <c r="C54" s="161">
        <v>-0.138253283</v>
      </c>
      <c r="E54" s="13">
        <f t="shared" si="1"/>
        <v>0.17878202439999999</v>
      </c>
    </row>
    <row r="55" spans="1:5">
      <c r="A55" s="193" t="s">
        <v>602</v>
      </c>
      <c r="B55" s="161">
        <v>0.18171194299999999</v>
      </c>
      <c r="C55" s="161">
        <v>0.31058307000000002</v>
      </c>
      <c r="E55" s="13">
        <f t="shared" si="1"/>
        <v>0.23326039380000002</v>
      </c>
    </row>
    <row r="56" spans="1:5">
      <c r="A56" s="193" t="s">
        <v>603</v>
      </c>
      <c r="B56" s="161">
        <v>-5.8170200999999998E-2</v>
      </c>
      <c r="C56" s="161">
        <v>8.1931592999999997E-2</v>
      </c>
      <c r="E56" s="13">
        <f t="shared" si="1"/>
        <v>-2.1294833999999929E-3</v>
      </c>
    </row>
    <row r="57" spans="1:5">
      <c r="A57" s="193" t="s">
        <v>604</v>
      </c>
      <c r="B57" s="161">
        <v>-0.192837751</v>
      </c>
      <c r="C57" s="161">
        <v>0.52882361499999997</v>
      </c>
      <c r="E57" s="13">
        <f t="shared" si="1"/>
        <v>9.5826795400000012E-2</v>
      </c>
    </row>
    <row r="58" spans="1:5">
      <c r="A58" s="193" t="s">
        <v>605</v>
      </c>
      <c r="B58" s="161">
        <v>0.44183393100000001</v>
      </c>
      <c r="C58" s="161">
        <v>-0.21393094800000001</v>
      </c>
      <c r="E58" s="13">
        <f t="shared" si="1"/>
        <v>0.17952797939999998</v>
      </c>
    </row>
    <row r="59" spans="1:5">
      <c r="A59" s="193" t="s">
        <v>606</v>
      </c>
      <c r="B59" s="161">
        <v>0.617778139</v>
      </c>
      <c r="C59" s="161">
        <v>-0.33543939</v>
      </c>
      <c r="E59" s="13">
        <f t="shared" si="1"/>
        <v>0.23649112739999997</v>
      </c>
    </row>
    <row r="60" spans="1:5">
      <c r="A60" s="193" t="s">
        <v>607</v>
      </c>
      <c r="B60" s="161">
        <v>0.51247905100000002</v>
      </c>
      <c r="C60" s="161">
        <v>-0.25898987000000001</v>
      </c>
      <c r="E60" s="13">
        <f t="shared" si="1"/>
        <v>0.20389148260000001</v>
      </c>
    </row>
    <row r="61" spans="1:5">
      <c r="A61" s="193" t="s">
        <v>608</v>
      </c>
      <c r="B61" s="161">
        <v>0.18111939499999999</v>
      </c>
      <c r="C61" s="161">
        <v>-4.9110372999999999E-2</v>
      </c>
      <c r="E61" s="13">
        <f t="shared" si="1"/>
        <v>8.9027487799999985E-2</v>
      </c>
    </row>
    <row r="62" spans="1:5">
      <c r="A62" s="193" t="s">
        <v>609</v>
      </c>
      <c r="B62" s="161">
        <v>-1.8631393E-2</v>
      </c>
      <c r="C62" s="161">
        <v>0.30488451300000002</v>
      </c>
      <c r="E62" s="13">
        <f t="shared" si="1"/>
        <v>0.11077496940000002</v>
      </c>
    </row>
    <row r="63" spans="1:5">
      <c r="A63" s="193" t="s">
        <v>610</v>
      </c>
      <c r="B63" s="161">
        <v>0.47176059799999998</v>
      </c>
      <c r="C63" s="161">
        <v>-0.28394094199999997</v>
      </c>
      <c r="E63" s="13">
        <f t="shared" si="1"/>
        <v>0.16947998199999997</v>
      </c>
    </row>
    <row r="64" spans="1:5">
      <c r="A64" s="193" t="s">
        <v>611</v>
      </c>
      <c r="B64" s="161">
        <v>-0.15767136800000001</v>
      </c>
      <c r="C64" s="161">
        <v>0.241940979</v>
      </c>
      <c r="E64" s="13">
        <f t="shared" si="1"/>
        <v>2.1735708000000104E-3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2A48-918D-4C4D-B13D-82D665C47CEF}">
  <dimension ref="A1:F23"/>
  <sheetViews>
    <sheetView workbookViewId="0">
      <selection activeCell="H1" sqref="H1"/>
    </sheetView>
  </sheetViews>
  <sheetFormatPr defaultRowHeight="15"/>
  <cols>
    <col min="5" max="5" width="12.5703125" bestFit="1" customWidth="1"/>
  </cols>
  <sheetData>
    <row r="1" spans="1:6" ht="21">
      <c r="A1" s="194" t="s">
        <v>623</v>
      </c>
      <c r="B1" s="194"/>
      <c r="C1" s="194"/>
      <c r="D1" s="194"/>
      <c r="E1" s="194"/>
      <c r="F1" s="197"/>
    </row>
    <row r="4" spans="1:6">
      <c r="B4" s="1"/>
      <c r="C4" s="1"/>
      <c r="D4" s="1" t="s">
        <v>615</v>
      </c>
      <c r="E4" s="1" t="s">
        <v>616</v>
      </c>
    </row>
    <row r="5" spans="1:6" ht="20.25">
      <c r="B5" s="198" t="s">
        <v>613</v>
      </c>
      <c r="C5" s="198" t="s">
        <v>614</v>
      </c>
      <c r="D5" s="198" t="s">
        <v>618</v>
      </c>
      <c r="E5" s="198" t="s">
        <v>619</v>
      </c>
      <c r="F5" s="198" t="s">
        <v>617</v>
      </c>
    </row>
    <row r="6" spans="1:6">
      <c r="B6" s="4">
        <v>0.2</v>
      </c>
      <c r="C6" s="4">
        <v>0.3</v>
      </c>
      <c r="D6" s="4">
        <f>C6/B6</f>
        <v>1.4999999999999998</v>
      </c>
      <c r="E6" s="4">
        <v>0.1</v>
      </c>
      <c r="F6" s="4">
        <f>D6*E6</f>
        <v>0.15</v>
      </c>
    </row>
    <row r="8" spans="1:6">
      <c r="B8" s="295" t="s">
        <v>289</v>
      </c>
      <c r="C8" s="295"/>
      <c r="D8" s="1" t="s">
        <v>17</v>
      </c>
    </row>
    <row r="9" spans="1:6">
      <c r="B9" s="3" t="s">
        <v>0</v>
      </c>
      <c r="C9" s="3" t="s">
        <v>305</v>
      </c>
      <c r="D9" s="1" t="s">
        <v>16</v>
      </c>
    </row>
    <row r="10" spans="1:6">
      <c r="B10">
        <v>-0.30000000000000004</v>
      </c>
      <c r="C10">
        <v>1.3</v>
      </c>
      <c r="D10" s="13">
        <f t="shared" ref="D10:D23" si="0">SQRT((C10*$B$6)^2+(B10*$C$6)^2+2*C10*B10*$B$6*$C$6*$E$6)</f>
        <v>0.26649577857819812</v>
      </c>
    </row>
    <row r="11" spans="1:6">
      <c r="B11">
        <v>-0.19999999999999996</v>
      </c>
      <c r="C11">
        <v>1.2</v>
      </c>
      <c r="D11" s="13">
        <f t="shared" si="0"/>
        <v>0.24149534156997729</v>
      </c>
    </row>
    <row r="12" spans="1:6">
      <c r="B12">
        <v>-9.9999999999999867E-2</v>
      </c>
      <c r="C12">
        <v>1.0999999999999999</v>
      </c>
      <c r="D12" s="13">
        <f t="shared" si="0"/>
        <v>0.21904337470008078</v>
      </c>
    </row>
    <row r="13" spans="1:6">
      <c r="B13">
        <v>0</v>
      </c>
      <c r="C13">
        <v>0.99999999999999989</v>
      </c>
      <c r="D13" s="13">
        <f t="shared" si="0"/>
        <v>0.19999999999999998</v>
      </c>
    </row>
    <row r="14" spans="1:6">
      <c r="B14">
        <v>0.10000000000000009</v>
      </c>
      <c r="C14">
        <v>0.89999999999999991</v>
      </c>
      <c r="D14" s="13">
        <f t="shared" si="0"/>
        <v>0.18541844568434931</v>
      </c>
    </row>
    <row r="15" spans="1:6">
      <c r="B15">
        <v>0.20000000000000007</v>
      </c>
      <c r="C15">
        <v>0.79999999999999993</v>
      </c>
      <c r="D15" s="13">
        <f t="shared" si="0"/>
        <v>0.17640861656959958</v>
      </c>
    </row>
    <row r="16" spans="1:6">
      <c r="B16">
        <v>0.30000000000000004</v>
      </c>
      <c r="C16">
        <v>0.7</v>
      </c>
      <c r="D16" s="13">
        <f t="shared" si="0"/>
        <v>0.17383900597967072</v>
      </c>
    </row>
    <row r="17" spans="2:4">
      <c r="B17">
        <v>0.4</v>
      </c>
      <c r="C17">
        <v>0.6</v>
      </c>
      <c r="D17" s="13">
        <f t="shared" si="0"/>
        <v>0.1779887636902959</v>
      </c>
    </row>
    <row r="18" spans="2:4">
      <c r="B18">
        <v>0.5</v>
      </c>
      <c r="C18">
        <v>0.5</v>
      </c>
      <c r="D18" s="13">
        <f t="shared" si="0"/>
        <v>0.18841443681416772</v>
      </c>
    </row>
    <row r="19" spans="2:4">
      <c r="B19">
        <v>0.6</v>
      </c>
      <c r="C19">
        <v>0.4</v>
      </c>
      <c r="D19" s="13">
        <f t="shared" si="0"/>
        <v>0.20415680248279752</v>
      </c>
    </row>
    <row r="20" spans="2:4">
      <c r="B20">
        <v>0.7</v>
      </c>
      <c r="C20">
        <v>0.30000000000000004</v>
      </c>
      <c r="D20" s="13">
        <f t="shared" si="0"/>
        <v>0.22409819276379717</v>
      </c>
    </row>
    <row r="21" spans="2:4">
      <c r="B21">
        <v>0.8</v>
      </c>
      <c r="C21">
        <v>0.2</v>
      </c>
      <c r="D21" s="13">
        <f t="shared" si="0"/>
        <v>0.2472245942457991</v>
      </c>
    </row>
    <row r="22" spans="2:4">
      <c r="B22">
        <v>0.9</v>
      </c>
      <c r="C22">
        <v>0.1</v>
      </c>
      <c r="D22" s="13">
        <f t="shared" si="0"/>
        <v>0.27272696969680132</v>
      </c>
    </row>
    <row r="23" spans="2:4">
      <c r="B23">
        <v>1</v>
      </c>
      <c r="C23">
        <v>0</v>
      </c>
      <c r="D23" s="13">
        <f t="shared" si="0"/>
        <v>0.3</v>
      </c>
    </row>
  </sheetData>
  <sortState xmlns:xlrd2="http://schemas.microsoft.com/office/spreadsheetml/2017/richdata2" ref="B10:D23">
    <sortCondition ref="B10:B23"/>
  </sortState>
  <mergeCells count="1">
    <mergeCell ref="B8:C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1F0-82AE-42DF-A66A-D9269B1CA3DD}">
  <dimension ref="A1:K70"/>
  <sheetViews>
    <sheetView workbookViewId="0">
      <selection activeCell="H16" sqref="H16"/>
    </sheetView>
  </sheetViews>
  <sheetFormatPr defaultRowHeight="15"/>
  <cols>
    <col min="1" max="1" width="9.42578125" bestFit="1" customWidth="1"/>
    <col min="2" max="2" width="9" bestFit="1" customWidth="1"/>
    <col min="3" max="3" width="12.42578125" bestFit="1" customWidth="1"/>
    <col min="4" max="4" width="2.42578125" customWidth="1"/>
    <col min="5" max="5" width="13.42578125" bestFit="1" customWidth="1"/>
    <col min="7" max="7" width="10.28515625" customWidth="1"/>
    <col min="10" max="10" width="1.5703125" customWidth="1"/>
  </cols>
  <sheetData>
    <row r="1" spans="1:11" ht="21">
      <c r="A1" s="194" t="s">
        <v>624</v>
      </c>
      <c r="B1" s="194"/>
      <c r="C1" s="194"/>
      <c r="D1" s="194"/>
      <c r="E1" s="194"/>
    </row>
    <row r="4" spans="1:11">
      <c r="A4" s="200" t="s">
        <v>163</v>
      </c>
      <c r="B4" s="200" t="s">
        <v>17</v>
      </c>
      <c r="C4" s="200" t="s">
        <v>349</v>
      </c>
      <c r="E4" s="1" t="s">
        <v>345</v>
      </c>
      <c r="H4" s="1" t="s">
        <v>17</v>
      </c>
      <c r="I4" s="1" t="s">
        <v>349</v>
      </c>
      <c r="K4" s="1" t="s">
        <v>345</v>
      </c>
    </row>
    <row r="5" spans="1:11">
      <c r="A5" s="201" t="s">
        <v>90</v>
      </c>
      <c r="B5" s="202">
        <v>0.14779057376074001</v>
      </c>
      <c r="C5" s="202">
        <v>0.35454501874261701</v>
      </c>
      <c r="E5" s="13">
        <f>0.99*B5+0.01*C5</f>
        <v>0.14985811821055878</v>
      </c>
      <c r="G5" t="s">
        <v>16</v>
      </c>
      <c r="H5" s="36">
        <f>STDEVP(B5:B64)</f>
        <v>0.19190323731318401</v>
      </c>
      <c r="I5" s="36">
        <f>STDEVP(C5:C64)</f>
        <v>0.25608271770763047</v>
      </c>
      <c r="J5" s="36"/>
      <c r="K5" s="36">
        <f>STDEVP(E5:E64)</f>
        <v>0.1911822261944105</v>
      </c>
    </row>
    <row r="6" spans="1:11">
      <c r="A6" s="201" t="s">
        <v>91</v>
      </c>
      <c r="B6" s="202">
        <v>0.41079298769533001</v>
      </c>
      <c r="C6" s="202">
        <v>0.28513815415883598</v>
      </c>
      <c r="E6" s="13">
        <f t="shared" ref="E6:E64" si="0">0.99*B6+0.01*C6</f>
        <v>0.40953643935996509</v>
      </c>
      <c r="G6" t="s">
        <v>346</v>
      </c>
      <c r="H6" s="36">
        <f>SLOPE(C5:C64,B5:B64)</f>
        <v>0.6172588196669182</v>
      </c>
      <c r="I6" s="36"/>
      <c r="J6" s="36"/>
      <c r="K6" s="36"/>
    </row>
    <row r="7" spans="1:11">
      <c r="A7" s="201" t="s">
        <v>92</v>
      </c>
      <c r="B7" s="202">
        <v>3.3807791469913501E-2</v>
      </c>
      <c r="C7" s="202">
        <v>0.14759764886212901</v>
      </c>
      <c r="E7" s="13">
        <f t="shared" si="0"/>
        <v>3.4945690043835659E-2</v>
      </c>
      <c r="G7" s="113" t="s">
        <v>347</v>
      </c>
      <c r="H7" s="114">
        <f>(H6-1)</f>
        <v>-0.3827411803330818</v>
      </c>
    </row>
    <row r="8" spans="1:11">
      <c r="A8" s="201" t="s">
        <v>93</v>
      </c>
      <c r="B8" s="202">
        <v>0.42801921413294503</v>
      </c>
      <c r="C8" s="202">
        <v>0.60887754023160601</v>
      </c>
      <c r="E8" s="13">
        <f t="shared" si="0"/>
        <v>0.42982779739393162</v>
      </c>
      <c r="G8" s="113" t="s">
        <v>348</v>
      </c>
      <c r="H8" s="114">
        <f>(K5/H5-1)*100</f>
        <v>-0.37571597481538266</v>
      </c>
    </row>
    <row r="9" spans="1:11">
      <c r="A9" s="201" t="s">
        <v>94</v>
      </c>
      <c r="B9" s="202">
        <v>0.114914186796089</v>
      </c>
      <c r="C9" s="202">
        <v>2.5788411522462199E-2</v>
      </c>
      <c r="E9" s="13">
        <f t="shared" si="0"/>
        <v>0.11402292904335273</v>
      </c>
    </row>
    <row r="10" spans="1:11">
      <c r="A10" s="201" t="s">
        <v>95</v>
      </c>
      <c r="B10" s="202">
        <v>-3.1344360954488601E-2</v>
      </c>
      <c r="C10" s="202">
        <v>9.64496370264738E-2</v>
      </c>
      <c r="E10" s="13">
        <f t="shared" si="0"/>
        <v>-3.0066420974678976E-2</v>
      </c>
    </row>
    <row r="11" spans="1:11">
      <c r="A11" s="201" t="s">
        <v>96</v>
      </c>
      <c r="B11" s="202">
        <v>-0.146000144506851</v>
      </c>
      <c r="C11" s="202">
        <v>0.40140694638388902</v>
      </c>
      <c r="E11" s="13">
        <f t="shared" si="0"/>
        <v>-0.14052607359794361</v>
      </c>
    </row>
    <row r="12" spans="1:11">
      <c r="A12" s="201" t="s">
        <v>97</v>
      </c>
      <c r="B12" s="202">
        <v>-0.21802808362343401</v>
      </c>
      <c r="C12" s="202">
        <v>-0.26545707031966997</v>
      </c>
      <c r="E12" s="13">
        <f t="shared" si="0"/>
        <v>-0.21850237349039636</v>
      </c>
    </row>
    <row r="13" spans="1:11">
      <c r="A13" s="201" t="s">
        <v>98</v>
      </c>
      <c r="B13" s="202">
        <v>7.2664952585980297E-3</v>
      </c>
      <c r="C13" s="202">
        <v>-0.117335058884524</v>
      </c>
      <c r="E13" s="13">
        <f t="shared" si="0"/>
        <v>6.020479717166809E-3</v>
      </c>
    </row>
    <row r="14" spans="1:11">
      <c r="A14" s="201" t="s">
        <v>99</v>
      </c>
      <c r="B14" s="202">
        <v>-0.23025951700552399</v>
      </c>
      <c r="C14" s="202">
        <v>3.12483054036122E-2</v>
      </c>
      <c r="E14" s="13">
        <f t="shared" si="0"/>
        <v>-0.22764443878143265</v>
      </c>
    </row>
    <row r="15" spans="1:11">
      <c r="A15" s="201" t="s">
        <v>100</v>
      </c>
      <c r="B15" s="202">
        <v>0.26759385157791998</v>
      </c>
      <c r="C15" s="202">
        <v>0.64356539714772698</v>
      </c>
      <c r="E15" s="13">
        <f t="shared" si="0"/>
        <v>0.27135356703361807</v>
      </c>
    </row>
    <row r="16" spans="1:11">
      <c r="A16" s="201" t="s">
        <v>101</v>
      </c>
      <c r="B16" s="202">
        <v>-9.8600119133915198E-2</v>
      </c>
      <c r="C16" s="202">
        <v>0.31707277751331098</v>
      </c>
      <c r="E16" s="13">
        <f t="shared" si="0"/>
        <v>-9.4443390167442937E-2</v>
      </c>
    </row>
    <row r="17" spans="1:5">
      <c r="A17" s="201" t="s">
        <v>102</v>
      </c>
      <c r="B17" s="202">
        <v>4.1698874314898403E-2</v>
      </c>
      <c r="C17" s="202">
        <v>3.3398378147864498E-2</v>
      </c>
      <c r="E17" s="13">
        <f t="shared" si="0"/>
        <v>4.1615869353228058E-2</v>
      </c>
    </row>
    <row r="18" spans="1:5">
      <c r="A18" s="201" t="s">
        <v>103</v>
      </c>
      <c r="B18" s="202">
        <v>-2.67255263775542E-3</v>
      </c>
      <c r="C18" s="202">
        <v>-0.161893142844063</v>
      </c>
      <c r="E18" s="13">
        <f t="shared" si="0"/>
        <v>-4.2647585398184959E-3</v>
      </c>
    </row>
    <row r="19" spans="1:5">
      <c r="A19" s="201" t="s">
        <v>104</v>
      </c>
      <c r="B19" s="202">
        <v>-2.4730886074678798E-2</v>
      </c>
      <c r="C19" s="202">
        <v>4.4474112909399698E-2</v>
      </c>
      <c r="E19" s="13">
        <f t="shared" si="0"/>
        <v>-2.4038836084838013E-2</v>
      </c>
    </row>
    <row r="20" spans="1:5">
      <c r="A20" s="201" t="s">
        <v>105</v>
      </c>
      <c r="B20" s="202">
        <v>0.28788117665434498</v>
      </c>
      <c r="C20" s="202">
        <v>-0.102325937603856</v>
      </c>
      <c r="E20" s="13">
        <f t="shared" si="0"/>
        <v>0.28397910551176297</v>
      </c>
    </row>
    <row r="21" spans="1:5">
      <c r="A21" s="201" t="s">
        <v>106</v>
      </c>
      <c r="B21" s="202">
        <v>-5.6143361113555099E-2</v>
      </c>
      <c r="C21" s="202">
        <v>0.268325944678313</v>
      </c>
      <c r="E21" s="13">
        <f t="shared" si="0"/>
        <v>-5.2898668055636415E-2</v>
      </c>
    </row>
    <row r="22" spans="1:5">
      <c r="A22" s="201" t="s">
        <v>107</v>
      </c>
      <c r="B22" s="202">
        <v>3.44462132356846E-2</v>
      </c>
      <c r="C22" s="202">
        <v>0.52369316410535105</v>
      </c>
      <c r="E22" s="13">
        <f t="shared" si="0"/>
        <v>3.9338682744381265E-2</v>
      </c>
    </row>
    <row r="23" spans="1:5">
      <c r="A23" s="201" t="s">
        <v>108</v>
      </c>
      <c r="B23" s="202">
        <v>-0.157295954901956</v>
      </c>
      <c r="C23" s="202">
        <v>0.39490791603292502</v>
      </c>
      <c r="E23" s="13">
        <f t="shared" si="0"/>
        <v>-0.15177391619260719</v>
      </c>
    </row>
    <row r="24" spans="1:5">
      <c r="A24" s="201" t="s">
        <v>109</v>
      </c>
      <c r="B24" s="202">
        <v>-5.3004312622296899E-2</v>
      </c>
      <c r="C24" s="202">
        <v>-0.201434732106401</v>
      </c>
      <c r="E24" s="13">
        <f t="shared" si="0"/>
        <v>-5.4488616817137937E-2</v>
      </c>
    </row>
    <row r="25" spans="1:5">
      <c r="A25" s="201" t="s">
        <v>110</v>
      </c>
      <c r="B25" s="202">
        <v>0.22603562749538</v>
      </c>
      <c r="C25" s="202">
        <v>0.40400889155115699</v>
      </c>
      <c r="E25" s="13">
        <f t="shared" si="0"/>
        <v>0.22781536013593778</v>
      </c>
    </row>
    <row r="26" spans="1:5">
      <c r="A26" s="201" t="s">
        <v>111</v>
      </c>
      <c r="B26" s="202">
        <v>4.0252654207976801E-2</v>
      </c>
      <c r="C26" s="202">
        <v>0.18679039420917801</v>
      </c>
      <c r="E26" s="13">
        <f t="shared" si="0"/>
        <v>4.1718031607988815E-2</v>
      </c>
    </row>
    <row r="27" spans="1:5">
      <c r="A27" s="201" t="s">
        <v>112</v>
      </c>
      <c r="B27" s="202">
        <v>-0.20730031893133299</v>
      </c>
      <c r="C27" s="202">
        <v>-0.18271581254688701</v>
      </c>
      <c r="E27" s="13">
        <f t="shared" si="0"/>
        <v>-0.20705447386748854</v>
      </c>
    </row>
    <row r="28" spans="1:5">
      <c r="A28" s="201" t="s">
        <v>522</v>
      </c>
      <c r="B28" s="202">
        <v>0.19118633614310901</v>
      </c>
      <c r="C28" s="202">
        <v>-6.78831790791467E-3</v>
      </c>
      <c r="E28" s="13">
        <f t="shared" si="0"/>
        <v>0.18920658960259876</v>
      </c>
    </row>
    <row r="29" spans="1:5">
      <c r="A29" s="201" t="s">
        <v>523</v>
      </c>
      <c r="B29" s="202">
        <v>-0.110174885915319</v>
      </c>
      <c r="C29" s="202">
        <v>0.42083703235637099</v>
      </c>
      <c r="E29" s="13">
        <f t="shared" si="0"/>
        <v>-0.1048647667326021</v>
      </c>
    </row>
    <row r="30" spans="1:5">
      <c r="A30" s="201" t="s">
        <v>524</v>
      </c>
      <c r="B30" s="202">
        <v>8.8166068771034695E-2</v>
      </c>
      <c r="C30" s="202">
        <v>0.32098099933817298</v>
      </c>
      <c r="E30" s="13">
        <f t="shared" si="0"/>
        <v>9.0494218076706073E-2</v>
      </c>
    </row>
    <row r="31" spans="1:5">
      <c r="A31" s="201" t="s">
        <v>525</v>
      </c>
      <c r="B31" s="202">
        <v>9.6613800148954002E-2</v>
      </c>
      <c r="C31" s="202">
        <v>-3.9532712489806401E-2</v>
      </c>
      <c r="E31" s="13">
        <f t="shared" si="0"/>
        <v>9.5252335022566401E-2</v>
      </c>
    </row>
    <row r="32" spans="1:5">
      <c r="A32" s="201" t="s">
        <v>526</v>
      </c>
      <c r="B32" s="202">
        <v>0.37691425945356899</v>
      </c>
      <c r="C32" s="202">
        <v>0.43754096873100901</v>
      </c>
      <c r="E32" s="13">
        <f t="shared" si="0"/>
        <v>0.37752052654634338</v>
      </c>
    </row>
    <row r="33" spans="1:5">
      <c r="A33" s="201" t="s">
        <v>527</v>
      </c>
      <c r="B33" s="202">
        <v>-5.9928752057871799E-2</v>
      </c>
      <c r="C33" s="202">
        <v>-2.40215542539754E-2</v>
      </c>
      <c r="E33" s="13">
        <f t="shared" si="0"/>
        <v>-5.9569680079832835E-2</v>
      </c>
    </row>
    <row r="34" spans="1:5">
      <c r="A34" s="201" t="s">
        <v>528</v>
      </c>
      <c r="B34" s="202">
        <v>0.28763386259592699</v>
      </c>
      <c r="C34" s="202">
        <v>0.230112597077756</v>
      </c>
      <c r="E34" s="13">
        <f t="shared" si="0"/>
        <v>0.28705864994074531</v>
      </c>
    </row>
    <row r="35" spans="1:5">
      <c r="A35" s="201" t="s">
        <v>529</v>
      </c>
      <c r="B35" s="202">
        <v>7.3559768230894102E-3</v>
      </c>
      <c r="C35" s="202">
        <v>7.2710907852201898E-2</v>
      </c>
      <c r="E35" s="13">
        <f t="shared" si="0"/>
        <v>8.0095261333805352E-3</v>
      </c>
    </row>
    <row r="36" spans="1:5">
      <c r="A36" s="201" t="s">
        <v>530</v>
      </c>
      <c r="B36" s="202">
        <v>-0.225868562211686</v>
      </c>
      <c r="C36" s="202">
        <v>-4.1446388282875397E-2</v>
      </c>
      <c r="E36" s="13">
        <f t="shared" si="0"/>
        <v>-0.22402434047239789</v>
      </c>
    </row>
    <row r="37" spans="1:5">
      <c r="A37" s="201" t="s">
        <v>531</v>
      </c>
      <c r="B37" s="202">
        <v>0.40901502213890101</v>
      </c>
      <c r="C37" s="202">
        <v>0.34468573192849</v>
      </c>
      <c r="E37" s="13">
        <f t="shared" si="0"/>
        <v>0.40837172923679688</v>
      </c>
    </row>
    <row r="38" spans="1:5">
      <c r="A38" s="201" t="s">
        <v>275</v>
      </c>
      <c r="B38" s="202">
        <v>0.23654089264908601</v>
      </c>
      <c r="C38" s="202">
        <v>0.11039775645384001</v>
      </c>
      <c r="E38" s="13">
        <f t="shared" si="0"/>
        <v>0.23527946128713353</v>
      </c>
    </row>
    <row r="39" spans="1:5">
      <c r="A39" s="201" t="s">
        <v>276</v>
      </c>
      <c r="B39" s="202">
        <v>5.5370202906335701E-2</v>
      </c>
      <c r="C39" s="202">
        <v>0.34971775393417998</v>
      </c>
      <c r="E39" s="13">
        <f t="shared" si="0"/>
        <v>5.831367841661414E-2</v>
      </c>
    </row>
    <row r="40" spans="1:5">
      <c r="A40" s="201" t="s">
        <v>277</v>
      </c>
      <c r="B40" s="202">
        <v>0.37381162132596801</v>
      </c>
      <c r="C40" s="202">
        <v>0.20048213465991399</v>
      </c>
      <c r="E40" s="13">
        <f t="shared" si="0"/>
        <v>0.37207832645930744</v>
      </c>
    </row>
    <row r="41" spans="1:5">
      <c r="A41" s="201" t="s">
        <v>532</v>
      </c>
      <c r="B41" s="202">
        <v>0.32334526074595499</v>
      </c>
      <c r="C41" s="202">
        <v>8.2629487685110706E-2</v>
      </c>
      <c r="E41" s="13">
        <f t="shared" si="0"/>
        <v>0.32093810301534653</v>
      </c>
    </row>
    <row r="42" spans="1:5">
      <c r="A42" s="201" t="s">
        <v>533</v>
      </c>
      <c r="B42" s="202">
        <v>-0.138535316444584</v>
      </c>
      <c r="C42" s="202">
        <v>-0.62142578472920995</v>
      </c>
      <c r="E42" s="13">
        <f t="shared" si="0"/>
        <v>-0.14336422112743025</v>
      </c>
    </row>
    <row r="43" spans="1:5">
      <c r="A43" s="201" t="s">
        <v>534</v>
      </c>
      <c r="B43" s="202">
        <v>6.8291182408476897E-2</v>
      </c>
      <c r="C43" s="202">
        <v>0.245857666619719</v>
      </c>
      <c r="E43" s="13">
        <f t="shared" si="0"/>
        <v>7.0066847250589315E-2</v>
      </c>
    </row>
    <row r="44" spans="1:5">
      <c r="A44" s="201" t="s">
        <v>535</v>
      </c>
      <c r="B44" s="202">
        <v>-0.177387745457046</v>
      </c>
      <c r="C44" s="202">
        <v>0.36260653786647001</v>
      </c>
      <c r="E44" s="13">
        <f t="shared" si="0"/>
        <v>-0.17198780262381083</v>
      </c>
    </row>
    <row r="45" spans="1:5">
      <c r="A45" s="201" t="s">
        <v>536</v>
      </c>
      <c r="B45" s="202">
        <v>0.122039398166194</v>
      </c>
      <c r="C45" s="202">
        <v>0.11143046136957099</v>
      </c>
      <c r="E45" s="13">
        <f t="shared" si="0"/>
        <v>0.12193330879822777</v>
      </c>
    </row>
    <row r="46" spans="1:5">
      <c r="A46" s="201" t="s">
        <v>537</v>
      </c>
      <c r="B46" s="202">
        <v>0.22660084098355199</v>
      </c>
      <c r="C46" s="202">
        <v>0.66712724736639495</v>
      </c>
      <c r="E46" s="13">
        <f t="shared" si="0"/>
        <v>0.23100610504738042</v>
      </c>
    </row>
    <row r="47" spans="1:5">
      <c r="A47" s="201" t="s">
        <v>538</v>
      </c>
      <c r="B47" s="202">
        <v>-8.38131308601512E-2</v>
      </c>
      <c r="C47" s="202">
        <v>-1.8908897254841499E-3</v>
      </c>
      <c r="E47" s="13">
        <f t="shared" si="0"/>
        <v>-8.2993908448804526E-2</v>
      </c>
    </row>
    <row r="48" spans="1:5">
      <c r="A48" s="201" t="s">
        <v>539</v>
      </c>
      <c r="B48" s="202">
        <v>0.27320257559918898</v>
      </c>
      <c r="C48" s="202">
        <v>0.44494127993739202</v>
      </c>
      <c r="E48" s="13">
        <f t="shared" si="0"/>
        <v>0.27491996264257101</v>
      </c>
    </row>
    <row r="49" spans="1:5">
      <c r="A49" s="201" t="s">
        <v>540</v>
      </c>
      <c r="B49" s="202">
        <v>0.102392753876205</v>
      </c>
      <c r="C49" s="202">
        <v>1.01794081939838E-2</v>
      </c>
      <c r="E49" s="13">
        <f t="shared" si="0"/>
        <v>0.10147062041938278</v>
      </c>
    </row>
    <row r="50" spans="1:5">
      <c r="A50" s="201" t="s">
        <v>278</v>
      </c>
      <c r="B50" s="202">
        <v>0.25458604210187902</v>
      </c>
      <c r="C50" s="202">
        <v>0.16217466591497001</v>
      </c>
      <c r="E50" s="13">
        <f t="shared" si="0"/>
        <v>0.25366192834000995</v>
      </c>
    </row>
    <row r="51" spans="1:5">
      <c r="A51" s="201" t="s">
        <v>279</v>
      </c>
      <c r="B51" s="202">
        <v>-4.3853369797160903E-2</v>
      </c>
      <c r="C51" s="202">
        <v>1.7306928263581999E-2</v>
      </c>
      <c r="E51" s="13">
        <f t="shared" si="0"/>
        <v>-4.3241766816553472E-2</v>
      </c>
    </row>
    <row r="52" spans="1:5">
      <c r="A52" s="201" t="s">
        <v>280</v>
      </c>
      <c r="B52" s="202">
        <v>-0.16714264397992601</v>
      </c>
      <c r="C52" s="202">
        <v>0.185454514481532</v>
      </c>
      <c r="E52" s="13">
        <f t="shared" si="0"/>
        <v>-0.16361667239531144</v>
      </c>
    </row>
    <row r="53" spans="1:5">
      <c r="A53" s="201" t="s">
        <v>541</v>
      </c>
      <c r="B53" s="202">
        <v>0.17859728967209701</v>
      </c>
      <c r="C53" s="202">
        <v>0.26866465080886798</v>
      </c>
      <c r="E53" s="13">
        <f t="shared" si="0"/>
        <v>0.17949796328346471</v>
      </c>
    </row>
    <row r="54" spans="1:5">
      <c r="A54" s="201" t="s">
        <v>542</v>
      </c>
      <c r="B54" s="202">
        <v>6.6478537535203303E-2</v>
      </c>
      <c r="C54" s="202">
        <v>0.217522019682764</v>
      </c>
      <c r="E54" s="13">
        <f t="shared" si="0"/>
        <v>6.7988972356678917E-2</v>
      </c>
    </row>
    <row r="55" spans="1:5">
      <c r="A55" s="201" t="s">
        <v>543</v>
      </c>
      <c r="B55" s="202">
        <v>-0.155013471486215</v>
      </c>
      <c r="C55" s="202">
        <v>-0.18471127053943001</v>
      </c>
      <c r="E55" s="13">
        <f t="shared" si="0"/>
        <v>-0.15531044947674716</v>
      </c>
    </row>
    <row r="56" spans="1:5">
      <c r="A56" s="201" t="s">
        <v>544</v>
      </c>
      <c r="B56" s="202">
        <v>-6.3924641205299906E-2</v>
      </c>
      <c r="C56" s="202">
        <v>0.154703736216945</v>
      </c>
      <c r="E56" s="13">
        <f t="shared" si="0"/>
        <v>-6.1738357431077459E-2</v>
      </c>
    </row>
    <row r="57" spans="1:5">
      <c r="A57" s="201" t="s">
        <v>545</v>
      </c>
      <c r="B57" s="202">
        <v>0.13687503709495</v>
      </c>
      <c r="C57" s="202">
        <v>0.12527889872973799</v>
      </c>
      <c r="E57" s="13">
        <f t="shared" si="0"/>
        <v>0.13675907571129789</v>
      </c>
    </row>
    <row r="58" spans="1:5">
      <c r="A58" s="201" t="s">
        <v>546</v>
      </c>
      <c r="B58" s="202">
        <v>0.38353444426587302</v>
      </c>
      <c r="C58" s="202">
        <v>0.73905650015120095</v>
      </c>
      <c r="E58" s="13">
        <f t="shared" si="0"/>
        <v>0.38708966482472629</v>
      </c>
    </row>
    <row r="59" spans="1:5">
      <c r="A59" s="201" t="s">
        <v>547</v>
      </c>
      <c r="B59" s="202">
        <v>0.124377952368771</v>
      </c>
      <c r="C59" s="202">
        <v>0.28032108734759698</v>
      </c>
      <c r="E59" s="13">
        <f t="shared" si="0"/>
        <v>0.12593738371855925</v>
      </c>
    </row>
    <row r="60" spans="1:5">
      <c r="A60" s="201" t="s">
        <v>548</v>
      </c>
      <c r="B60" s="202">
        <v>-0.166393497420461</v>
      </c>
      <c r="C60" s="202">
        <v>-0.35869173610298</v>
      </c>
      <c r="E60" s="13">
        <f t="shared" si="0"/>
        <v>-0.1683164798072862</v>
      </c>
    </row>
    <row r="61" spans="1:5">
      <c r="A61" s="201" t="s">
        <v>549</v>
      </c>
      <c r="B61" s="202">
        <v>0.46757332587980699</v>
      </c>
      <c r="C61" s="202">
        <v>4.92917846842508E-2</v>
      </c>
      <c r="E61" s="13">
        <f t="shared" si="0"/>
        <v>0.46339051046785146</v>
      </c>
    </row>
    <row r="62" spans="1:5">
      <c r="A62" s="201" t="s">
        <v>281</v>
      </c>
      <c r="B62" s="202">
        <v>0.117670330258579</v>
      </c>
      <c r="C62" s="202">
        <v>0.123204938084916</v>
      </c>
      <c r="E62" s="13">
        <f t="shared" si="0"/>
        <v>0.11772567633684236</v>
      </c>
    </row>
    <row r="63" spans="1:5">
      <c r="A63" s="201" t="s">
        <v>282</v>
      </c>
      <c r="B63" s="202">
        <v>-7.5233580338717798E-2</v>
      </c>
      <c r="C63" s="202">
        <v>0.26971073214094299</v>
      </c>
      <c r="E63" s="13">
        <f t="shared" si="0"/>
        <v>-7.1784137213921184E-2</v>
      </c>
    </row>
    <row r="64" spans="1:5">
      <c r="A64" s="201" t="s">
        <v>283</v>
      </c>
      <c r="B64" s="202">
        <v>0.36605110838703903</v>
      </c>
      <c r="C64" s="202">
        <v>0.48246030564947801</v>
      </c>
      <c r="E64" s="13">
        <f t="shared" si="0"/>
        <v>0.36721520035966343</v>
      </c>
    </row>
    <row r="70" spans="2:2">
      <c r="B70" t="s">
        <v>620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J63"/>
  <sheetViews>
    <sheetView workbookViewId="0">
      <selection activeCell="D21" sqref="D21"/>
    </sheetView>
  </sheetViews>
  <sheetFormatPr defaultRowHeight="15"/>
  <cols>
    <col min="1" max="1" width="10.5703125" bestFit="1" customWidth="1"/>
    <col min="2" max="2" width="10.28515625" bestFit="1" customWidth="1"/>
    <col min="3" max="3" width="12.5703125" customWidth="1"/>
    <col min="5" max="5" width="3.85546875" customWidth="1"/>
    <col min="6" max="6" width="17.5703125" customWidth="1"/>
    <col min="7" max="7" width="6.140625" bestFit="1" customWidth="1"/>
  </cols>
  <sheetData>
    <row r="1" spans="1:8" ht="21">
      <c r="A1" s="194" t="s">
        <v>625</v>
      </c>
      <c r="B1" s="194"/>
      <c r="C1" s="194"/>
      <c r="D1" s="194"/>
      <c r="E1" s="194"/>
      <c r="F1" s="194"/>
    </row>
    <row r="3" spans="1:8">
      <c r="A3" s="201"/>
      <c r="B3" s="200" t="s">
        <v>41</v>
      </c>
      <c r="C3" s="200" t="s">
        <v>42</v>
      </c>
    </row>
    <row r="4" spans="1:8">
      <c r="A4" s="201" t="s">
        <v>90</v>
      </c>
      <c r="B4" s="202">
        <v>3.8104906678199768E-2</v>
      </c>
      <c r="C4" s="202">
        <v>6.9725781679153442E-2</v>
      </c>
      <c r="F4" s="100" t="s">
        <v>35</v>
      </c>
      <c r="G4" s="13">
        <f>INTERCEPT(B4:B63,C4:C63)</f>
        <v>6.4455388364133091E-3</v>
      </c>
    </row>
    <row r="5" spans="1:8">
      <c r="A5" s="201" t="s">
        <v>91</v>
      </c>
      <c r="B5" s="202">
        <v>-7.290109246969223E-2</v>
      </c>
      <c r="C5" s="202">
        <v>-6.5278708934783936E-2</v>
      </c>
      <c r="F5" s="100" t="s">
        <v>36</v>
      </c>
      <c r="G5" s="13">
        <f>SLOPE(B4:B63,C4:C63)</f>
        <v>0.5831371501864836</v>
      </c>
    </row>
    <row r="6" spans="1:8">
      <c r="A6" s="201" t="s">
        <v>92</v>
      </c>
      <c r="B6" s="202">
        <v>-9.7216635942459106E-2</v>
      </c>
      <c r="C6" s="202">
        <v>-0.13238756358623505</v>
      </c>
      <c r="G6" s="13"/>
    </row>
    <row r="7" spans="1:8">
      <c r="A7" s="201" t="s">
        <v>93</v>
      </c>
      <c r="B7" s="202">
        <v>0.14204816520214081</v>
      </c>
      <c r="C7" s="202">
        <v>0.158999964594841</v>
      </c>
      <c r="G7" s="13"/>
    </row>
    <row r="8" spans="1:8">
      <c r="A8" s="201" t="s">
        <v>94</v>
      </c>
      <c r="B8" s="202">
        <v>7.8636355698108673E-2</v>
      </c>
      <c r="C8" s="202">
        <v>6.4468756318092346E-2</v>
      </c>
      <c r="F8" s="1" t="s">
        <v>43</v>
      </c>
      <c r="G8" s="13">
        <f>G5^2*VARP(C4:C63)</f>
        <v>2.0368156776472833E-3</v>
      </c>
    </row>
    <row r="9" spans="1:8">
      <c r="A9" s="201" t="s">
        <v>95</v>
      </c>
      <c r="B9" s="202">
        <v>7.0316031575202942E-2</v>
      </c>
      <c r="C9" s="202">
        <v>-1.0791596956551075E-2</v>
      </c>
      <c r="F9" s="1" t="s">
        <v>44</v>
      </c>
      <c r="G9" s="13">
        <f>VARP(B4:B63)</f>
        <v>4.1855469347289644E-3</v>
      </c>
    </row>
    <row r="10" spans="1:8">
      <c r="A10" s="201" t="s">
        <v>96</v>
      </c>
      <c r="B10" s="202">
        <v>5.9416592121124268E-2</v>
      </c>
      <c r="C10" s="202">
        <v>4.9292974174022675E-2</v>
      </c>
    </row>
    <row r="11" spans="1:8">
      <c r="A11" s="201" t="s">
        <v>97</v>
      </c>
      <c r="B11" s="202">
        <v>0.1113557294011116</v>
      </c>
      <c r="C11" s="202">
        <v>9.5151104032993317E-2</v>
      </c>
      <c r="G11" s="136">
        <f>G8/G9</f>
        <v>0.48663071025368337</v>
      </c>
      <c r="H11" t="s">
        <v>45</v>
      </c>
    </row>
    <row r="12" spans="1:8">
      <c r="A12" s="201" t="s">
        <v>98</v>
      </c>
      <c r="B12" s="202">
        <v>-4.8735585063695908E-2</v>
      </c>
      <c r="C12" s="202">
        <v>-0.10059958696365356</v>
      </c>
      <c r="G12" s="136">
        <f>1-G11</f>
        <v>0.51336928974631668</v>
      </c>
      <c r="H12" t="s">
        <v>46</v>
      </c>
    </row>
    <row r="13" spans="1:8">
      <c r="A13" s="201" t="s">
        <v>99</v>
      </c>
      <c r="B13" s="202">
        <v>-4.3217279016971588E-2</v>
      </c>
      <c r="C13" s="202">
        <v>0.10269515216350555</v>
      </c>
    </row>
    <row r="14" spans="1:8">
      <c r="A14" s="201" t="s">
        <v>100</v>
      </c>
      <c r="B14" s="202">
        <v>0.12530620396137238</v>
      </c>
      <c r="C14" s="202">
        <v>8.5569694638252258E-2</v>
      </c>
    </row>
    <row r="15" spans="1:8">
      <c r="A15" s="201" t="s">
        <v>101</v>
      </c>
      <c r="B15" s="202">
        <v>5.7107396423816681E-2</v>
      </c>
      <c r="C15" s="202">
        <v>-1.0031975107267499E-3</v>
      </c>
    </row>
    <row r="16" spans="1:8">
      <c r="A16" s="201" t="s">
        <v>102</v>
      </c>
      <c r="B16" s="202">
        <v>-7.0381318219006062E-3</v>
      </c>
      <c r="C16" s="202">
        <v>4.2632810771465302E-2</v>
      </c>
    </row>
    <row r="17" spans="1:10">
      <c r="A17" s="201" t="s">
        <v>103</v>
      </c>
      <c r="B17" s="202">
        <v>1.4802198857069016E-2</v>
      </c>
      <c r="C17" s="202">
        <v>0.10646509379148483</v>
      </c>
    </row>
    <row r="18" spans="1:10">
      <c r="A18" s="201" t="s">
        <v>104</v>
      </c>
      <c r="B18" s="202">
        <v>7.3469569906592369E-3</v>
      </c>
      <c r="C18" s="202">
        <v>2.0084962248802185E-2</v>
      </c>
    </row>
    <row r="19" spans="1:10">
      <c r="A19" s="201" t="s">
        <v>105</v>
      </c>
      <c r="B19" s="202">
        <v>5.1465906202793121E-2</v>
      </c>
      <c r="C19" s="202">
        <v>0.14107982814311981</v>
      </c>
    </row>
    <row r="20" spans="1:10">
      <c r="A20" s="201" t="s">
        <v>106</v>
      </c>
      <c r="B20" s="202">
        <v>-1.2362719513475895E-2</v>
      </c>
      <c r="C20" s="202">
        <v>1.4234534464776516E-3</v>
      </c>
    </row>
    <row r="21" spans="1:10">
      <c r="A21" s="201" t="s">
        <v>107</v>
      </c>
      <c r="B21" s="202">
        <v>7.2730712592601776E-2</v>
      </c>
      <c r="C21" s="202">
        <v>3.6039602011442184E-2</v>
      </c>
    </row>
    <row r="22" spans="1:10">
      <c r="A22" s="201" t="s">
        <v>108</v>
      </c>
      <c r="B22" s="202">
        <v>3.3703647553920746E-2</v>
      </c>
      <c r="C22" s="202">
        <v>0.10350602865219116</v>
      </c>
    </row>
    <row r="23" spans="1:10">
      <c r="A23" s="201" t="s">
        <v>109</v>
      </c>
      <c r="B23" s="202">
        <v>3.5103470087051392E-2</v>
      </c>
      <c r="C23" s="202">
        <v>7.4009165167808533E-2</v>
      </c>
      <c r="I23" s="98"/>
    </row>
    <row r="24" spans="1:10">
      <c r="A24" s="201" t="s">
        <v>110</v>
      </c>
      <c r="B24" s="202">
        <v>-5.7427309453487396E-2</v>
      </c>
      <c r="C24" s="202">
        <v>-7.6169230043888092E-2</v>
      </c>
      <c r="I24" s="98"/>
      <c r="J24" s="39"/>
    </row>
    <row r="25" spans="1:10">
      <c r="A25" s="201" t="s">
        <v>111</v>
      </c>
      <c r="B25" s="202">
        <v>8.191082626581192E-2</v>
      </c>
      <c r="C25" s="202">
        <v>0.10749869048595428</v>
      </c>
    </row>
    <row r="26" spans="1:10">
      <c r="A26" s="201" t="s">
        <v>112</v>
      </c>
      <c r="B26" s="202">
        <v>3.1163623556494713E-2</v>
      </c>
      <c r="C26" s="202">
        <v>-4.1531000286340714E-2</v>
      </c>
    </row>
    <row r="27" spans="1:10">
      <c r="A27" s="201" t="s">
        <v>522</v>
      </c>
      <c r="B27" s="202">
        <v>2.5243384763598442E-2</v>
      </c>
      <c r="C27" s="202">
        <v>2.0821398124098778E-2</v>
      </c>
    </row>
    <row r="28" spans="1:10">
      <c r="A28" s="201" t="s">
        <v>523</v>
      </c>
      <c r="B28" s="202">
        <v>-7.8377030789852142E-2</v>
      </c>
      <c r="C28" s="202">
        <v>-6.5918996930122375E-2</v>
      </c>
    </row>
    <row r="29" spans="1:10">
      <c r="A29" s="201" t="s">
        <v>524</v>
      </c>
      <c r="B29" s="202">
        <v>-4.3456651270389557E-2</v>
      </c>
      <c r="C29" s="202">
        <v>-1.8218951299786568E-3</v>
      </c>
    </row>
    <row r="30" spans="1:10">
      <c r="A30" s="201" t="s">
        <v>525</v>
      </c>
      <c r="B30" s="202">
        <v>3.2797917723655701E-2</v>
      </c>
      <c r="C30" s="202">
        <v>2.9694946482777596E-2</v>
      </c>
    </row>
    <row r="31" spans="1:10">
      <c r="A31" s="201" t="s">
        <v>526</v>
      </c>
      <c r="B31" s="202">
        <v>-0.11832500249147415</v>
      </c>
      <c r="C31" s="202">
        <v>-0.1794668585062027</v>
      </c>
    </row>
    <row r="32" spans="1:10">
      <c r="A32" s="201" t="s">
        <v>527</v>
      </c>
      <c r="B32" s="202">
        <v>-1.6612216830253601E-2</v>
      </c>
      <c r="C32" s="202">
        <v>-3.0452990904450417E-3</v>
      </c>
    </row>
    <row r="33" spans="1:3">
      <c r="A33" s="201" t="s">
        <v>528</v>
      </c>
      <c r="B33" s="202">
        <v>-9.4030790030956268E-2</v>
      </c>
      <c r="C33" s="202">
        <v>-4.2184554040431976E-2</v>
      </c>
    </row>
    <row r="34" spans="1:3">
      <c r="A34" s="201" t="s">
        <v>529</v>
      </c>
      <c r="B34" s="202">
        <v>0.13367027044296265</v>
      </c>
      <c r="C34" s="202">
        <v>6.7518323659896851E-2</v>
      </c>
    </row>
    <row r="35" spans="1:3">
      <c r="A35" s="201" t="s">
        <v>530</v>
      </c>
      <c r="B35" s="202">
        <v>-5.6510027498006821E-2</v>
      </c>
      <c r="C35" s="202">
        <v>-6.9635473191738129E-2</v>
      </c>
    </row>
    <row r="36" spans="1:3">
      <c r="A36" s="201" t="s">
        <v>531</v>
      </c>
      <c r="B36" s="202">
        <v>-0.11780263483524323</v>
      </c>
      <c r="C36" s="202">
        <v>-0.11615227907896042</v>
      </c>
    </row>
    <row r="37" spans="1:3">
      <c r="A37" s="201" t="s">
        <v>275</v>
      </c>
      <c r="B37" s="202">
        <v>7.4275359511375427E-2</v>
      </c>
      <c r="C37" s="202">
        <v>-1.19184460490942E-2</v>
      </c>
    </row>
    <row r="38" spans="1:3">
      <c r="A38" s="201" t="s">
        <v>276</v>
      </c>
      <c r="B38" s="202">
        <v>5.3724981844425201E-2</v>
      </c>
      <c r="C38" s="202">
        <v>6.8564124405384064E-2</v>
      </c>
    </row>
    <row r="39" spans="1:3">
      <c r="A39" s="201" t="s">
        <v>277</v>
      </c>
      <c r="B39" s="202">
        <v>-7.9490713775157928E-2</v>
      </c>
      <c r="C39" s="202">
        <v>-0.12634909152984619</v>
      </c>
    </row>
    <row r="40" spans="1:3">
      <c r="A40" s="201" t="s">
        <v>532</v>
      </c>
      <c r="B40" s="202">
        <v>9.6960023045539856E-2</v>
      </c>
      <c r="C40" s="202">
        <v>0.1202538013458252</v>
      </c>
    </row>
    <row r="41" spans="1:3">
      <c r="A41" s="201" t="s">
        <v>533</v>
      </c>
      <c r="B41" s="202">
        <v>4.9660089425742626E-3</v>
      </c>
      <c r="C41" s="202">
        <v>-8.8830426335334778E-2</v>
      </c>
    </row>
    <row r="42" spans="1:3">
      <c r="A42" s="201" t="s">
        <v>534</v>
      </c>
      <c r="B42" s="202">
        <v>9.6903346478939056E-2</v>
      </c>
      <c r="C42" s="202">
        <v>0.15178777277469635</v>
      </c>
    </row>
    <row r="43" spans="1:3">
      <c r="A43" s="201" t="s">
        <v>535</v>
      </c>
      <c r="B43" s="202">
        <v>-2.8796426486223936E-3</v>
      </c>
      <c r="C43" s="202">
        <v>3.4801822155714035E-2</v>
      </c>
    </row>
    <row r="44" spans="1:3">
      <c r="A44" s="201" t="s">
        <v>536</v>
      </c>
      <c r="B44" s="202">
        <v>8.4608234465122223E-2</v>
      </c>
      <c r="C44" s="202">
        <v>0.14468051493167877</v>
      </c>
    </row>
    <row r="45" spans="1:3">
      <c r="A45" s="201" t="s">
        <v>537</v>
      </c>
      <c r="B45" s="202">
        <v>6.2261797487735748E-2</v>
      </c>
      <c r="C45" s="202">
        <v>-2.5799673050642014E-2</v>
      </c>
    </row>
    <row r="46" spans="1:3">
      <c r="A46" s="201" t="s">
        <v>538</v>
      </c>
      <c r="B46" s="202">
        <v>2.8609538450837135E-2</v>
      </c>
      <c r="C46" s="202">
        <v>0.10877196490764618</v>
      </c>
    </row>
    <row r="47" spans="1:3">
      <c r="A47" s="201" t="s">
        <v>539</v>
      </c>
      <c r="B47" s="202">
        <v>-2.1833276376128197E-2</v>
      </c>
      <c r="C47" s="202">
        <v>2.5994552299380302E-2</v>
      </c>
    </row>
    <row r="48" spans="1:3">
      <c r="A48" s="201" t="s">
        <v>540</v>
      </c>
      <c r="B48" s="202">
        <v>-6.5407775342464447E-2</v>
      </c>
      <c r="C48" s="202">
        <v>-3.8995355367660522E-2</v>
      </c>
    </row>
    <row r="49" spans="1:3">
      <c r="A49" s="201" t="s">
        <v>278</v>
      </c>
      <c r="B49" s="202">
        <v>-1.7112571746110916E-2</v>
      </c>
      <c r="C49" s="202">
        <v>-5.1811087876558304E-2</v>
      </c>
    </row>
    <row r="50" spans="1:3">
      <c r="A50" s="201" t="s">
        <v>279</v>
      </c>
      <c r="B50" s="202">
        <v>0.13298188149929047</v>
      </c>
      <c r="C50" s="202">
        <v>6.8101197481155396E-2</v>
      </c>
    </row>
    <row r="51" spans="1:3">
      <c r="A51" s="201" t="s">
        <v>280</v>
      </c>
      <c r="B51" s="202">
        <v>4.9270831048488617E-2</v>
      </c>
      <c r="C51" s="202">
        <v>5.4025530815124512E-2</v>
      </c>
    </row>
    <row r="52" spans="1:3">
      <c r="A52" s="201" t="s">
        <v>541</v>
      </c>
      <c r="B52" s="202">
        <v>2.0475214347243309E-2</v>
      </c>
      <c r="C52" s="202">
        <v>2.9350966215133667E-3</v>
      </c>
    </row>
    <row r="53" spans="1:3">
      <c r="A53" s="201" t="s">
        <v>542</v>
      </c>
      <c r="B53" s="202">
        <v>4.8348836600780487E-2</v>
      </c>
      <c r="C53" s="202">
        <v>-1.1705919168889523E-2</v>
      </c>
    </row>
    <row r="54" spans="1:3">
      <c r="A54" s="201" t="s">
        <v>543</v>
      </c>
      <c r="B54" s="202">
        <v>1.5081498771905899E-2</v>
      </c>
      <c r="C54" s="202">
        <v>9.0062007308006287E-2</v>
      </c>
    </row>
    <row r="55" spans="1:3">
      <c r="A55" s="201" t="s">
        <v>544</v>
      </c>
      <c r="B55" s="202">
        <v>-5.6471019983291626E-2</v>
      </c>
      <c r="C55" s="202">
        <v>7.8513264656066895E-2</v>
      </c>
    </row>
    <row r="56" spans="1:3">
      <c r="A56" s="201" t="s">
        <v>545</v>
      </c>
      <c r="B56" s="202">
        <v>8.0609574913978577E-2</v>
      </c>
      <c r="C56" s="202">
        <v>5.9712503105401993E-2</v>
      </c>
    </row>
    <row r="57" spans="1:3">
      <c r="A57" s="201" t="s">
        <v>546</v>
      </c>
      <c r="B57" s="202">
        <v>7.9950697720050812E-2</v>
      </c>
      <c r="C57" s="202">
        <v>5.7101413607597351E-2</v>
      </c>
    </row>
    <row r="58" spans="1:3">
      <c r="A58" s="201" t="s">
        <v>547</v>
      </c>
      <c r="B58" s="202">
        <v>-1.4880619943141937E-2</v>
      </c>
      <c r="C58" s="202">
        <v>-5.8248702436685562E-2</v>
      </c>
    </row>
    <row r="59" spans="1:3">
      <c r="A59" s="201" t="s">
        <v>548</v>
      </c>
      <c r="B59" s="202">
        <v>1.0492703877389431E-2</v>
      </c>
      <c r="C59" s="202">
        <v>-4.7569014132022858E-2</v>
      </c>
    </row>
    <row r="60" spans="1:3">
      <c r="A60" s="201" t="s">
        <v>549</v>
      </c>
      <c r="B60" s="202">
        <v>2.3463159799575806E-2</v>
      </c>
      <c r="C60" s="202">
        <v>1.6342276707291603E-2</v>
      </c>
    </row>
    <row r="61" spans="1:3">
      <c r="A61" s="201" t="s">
        <v>281</v>
      </c>
      <c r="B61" s="202">
        <v>-7.1950345300137997E-3</v>
      </c>
      <c r="C61" s="202">
        <v>3.1715370714664459E-2</v>
      </c>
    </row>
    <row r="62" spans="1:3">
      <c r="A62" s="201" t="s">
        <v>282</v>
      </c>
      <c r="B62" s="202">
        <v>6.860727071762085E-2</v>
      </c>
      <c r="C62" s="202">
        <v>-1.2623479589819908E-2</v>
      </c>
    </row>
    <row r="63" spans="1:3">
      <c r="A63" s="201" t="s">
        <v>283</v>
      </c>
      <c r="B63" s="202">
        <v>5.248498055152595E-4</v>
      </c>
      <c r="C63" s="202">
        <v>0.12163365632295609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J68"/>
  <sheetViews>
    <sheetView workbookViewId="0">
      <selection activeCell="L7" sqref="L7"/>
    </sheetView>
  </sheetViews>
  <sheetFormatPr defaultRowHeight="15"/>
  <cols>
    <col min="2" max="2" width="7.42578125" bestFit="1" customWidth="1"/>
    <col min="6" max="6" width="2.85546875" customWidth="1"/>
  </cols>
  <sheetData>
    <row r="1" spans="1:10" ht="21">
      <c r="A1" s="194" t="s">
        <v>626</v>
      </c>
      <c r="B1" s="194"/>
      <c r="C1" s="194"/>
      <c r="D1" s="194"/>
      <c r="E1" s="194"/>
      <c r="F1" s="194"/>
      <c r="G1" s="194"/>
      <c r="H1" s="194"/>
      <c r="I1" s="194"/>
    </row>
    <row r="3" spans="1:10">
      <c r="B3" s="297" t="s">
        <v>6</v>
      </c>
      <c r="C3" s="297"/>
      <c r="D3" s="297"/>
      <c r="E3" s="297"/>
    </row>
    <row r="4" spans="1:10">
      <c r="B4" s="200" t="s">
        <v>0</v>
      </c>
      <c r="C4" s="200" t="s">
        <v>1</v>
      </c>
      <c r="D4" s="200" t="s">
        <v>2</v>
      </c>
      <c r="E4" s="200" t="s">
        <v>284</v>
      </c>
    </row>
    <row r="5" spans="1:10">
      <c r="A5" s="1"/>
      <c r="B5" s="201">
        <v>0.3</v>
      </c>
      <c r="C5" s="201">
        <v>0.4</v>
      </c>
      <c r="D5" s="201">
        <v>0.2</v>
      </c>
      <c r="E5" s="201">
        <f>1-SUM(B5:D5)</f>
        <v>0.10000000000000009</v>
      </c>
    </row>
    <row r="6" spans="1:10">
      <c r="A6" s="1"/>
    </row>
    <row r="7" spans="1:10">
      <c r="A7" s="1"/>
      <c r="B7" s="295" t="s">
        <v>165</v>
      </c>
      <c r="C7" s="295"/>
      <c r="D7" s="295"/>
      <c r="E7" s="295"/>
    </row>
    <row r="8" spans="1:10">
      <c r="A8" s="201"/>
      <c r="B8" s="200" t="s">
        <v>0</v>
      </c>
      <c r="C8" s="200" t="s">
        <v>1</v>
      </c>
      <c r="D8" s="200" t="s">
        <v>2</v>
      </c>
      <c r="E8" s="200" t="s">
        <v>284</v>
      </c>
      <c r="G8" s="1" t="s">
        <v>17</v>
      </c>
      <c r="I8" s="1" t="s">
        <v>621</v>
      </c>
      <c r="J8" s="1" t="s">
        <v>16</v>
      </c>
    </row>
    <row r="9" spans="1:10">
      <c r="A9" s="201" t="s">
        <v>90</v>
      </c>
      <c r="B9" s="202">
        <v>4.7746403768711601E-2</v>
      </c>
      <c r="C9" s="202">
        <v>2.3983598019761899E-2</v>
      </c>
      <c r="D9" s="202">
        <v>6.16964450752297E-2</v>
      </c>
      <c r="E9" s="202">
        <v>-6.0126418749018397E-2</v>
      </c>
      <c r="G9" s="13">
        <f t="shared" ref="G9:G40" si="0">SUMPRODUCT($B$5:$E$5,B9:E9)</f>
        <v>3.0244007478662335E-2</v>
      </c>
      <c r="I9">
        <f>_xlfn.VAR.P(G9:G68)</f>
        <v>2.627153820584587E-3</v>
      </c>
      <c r="J9">
        <f>SQRT(I9)</f>
        <v>5.1255768656655487E-2</v>
      </c>
    </row>
    <row r="10" spans="1:10">
      <c r="A10" s="201" t="s">
        <v>91</v>
      </c>
      <c r="B10" s="202">
        <v>0.13377804564668</v>
      </c>
      <c r="C10" s="202">
        <v>8.3606234552071598E-2</v>
      </c>
      <c r="D10" s="202">
        <v>-5.0609577233732802E-3</v>
      </c>
      <c r="E10" s="202">
        <v>1.1709111738542799E-2</v>
      </c>
      <c r="G10" s="13">
        <f t="shared" si="0"/>
        <v>7.3734627144012257E-2</v>
      </c>
    </row>
    <row r="11" spans="1:10">
      <c r="A11" s="201" t="s">
        <v>92</v>
      </c>
      <c r="B11" s="202">
        <v>4.8689558775611201E-2</v>
      </c>
      <c r="C11" s="202">
        <v>-5.3561450448209903E-2</v>
      </c>
      <c r="D11" s="202">
        <v>2.99754186311968E-2</v>
      </c>
      <c r="E11" s="202">
        <v>-3.35374898130141E-4</v>
      </c>
      <c r="G11" s="13">
        <f t="shared" si="0"/>
        <v>-8.5616631017425542E-4</v>
      </c>
    </row>
    <row r="12" spans="1:10">
      <c r="A12" s="201" t="s">
        <v>93</v>
      </c>
      <c r="B12" s="202">
        <v>-6.9522777878212001E-5</v>
      </c>
      <c r="C12" s="202">
        <v>5.86202862760744E-2</v>
      </c>
      <c r="D12" s="202">
        <v>1.9490324713444199E-2</v>
      </c>
      <c r="E12" s="202">
        <v>-2.7181231351792502E-2</v>
      </c>
      <c r="G12" s="13">
        <f t="shared" si="0"/>
        <v>2.4607199484575883E-2</v>
      </c>
    </row>
    <row r="13" spans="1:10">
      <c r="A13" s="201" t="s">
        <v>94</v>
      </c>
      <c r="B13" s="202">
        <v>6.7807309512063499E-2</v>
      </c>
      <c r="C13" s="202">
        <v>6.0541295677034097E-2</v>
      </c>
      <c r="D13" s="202">
        <v>-6.6263127603027105E-2</v>
      </c>
      <c r="E13" s="202">
        <v>-5.5536526465738402E-2</v>
      </c>
      <c r="G13" s="13">
        <f t="shared" si="0"/>
        <v>2.5752432957253418E-2</v>
      </c>
    </row>
    <row r="14" spans="1:10">
      <c r="A14" s="201" t="s">
        <v>95</v>
      </c>
      <c r="B14" s="202">
        <v>-5.7213875833608603E-2</v>
      </c>
      <c r="C14" s="202">
        <v>-0.113617485185197</v>
      </c>
      <c r="D14" s="202">
        <v>-1.5656695569378501E-2</v>
      </c>
      <c r="E14" s="202">
        <v>-5.1914659545268301E-3</v>
      </c>
      <c r="G14" s="13">
        <f t="shared" si="0"/>
        <v>-6.6261642533489762E-2</v>
      </c>
    </row>
    <row r="15" spans="1:10">
      <c r="A15" s="201" t="s">
        <v>96</v>
      </c>
      <c r="B15" s="202">
        <v>3.27035552944984E-2</v>
      </c>
      <c r="C15" s="202">
        <v>-8.8786523477403408E-3</v>
      </c>
      <c r="D15" s="202">
        <v>4.2332064081507997E-2</v>
      </c>
      <c r="E15" s="202">
        <v>-5.1832606214159402E-2</v>
      </c>
      <c r="G15" s="13">
        <f t="shared" si="0"/>
        <v>9.5427578441390389E-3</v>
      </c>
    </row>
    <row r="16" spans="1:10">
      <c r="A16" s="201" t="s">
        <v>97</v>
      </c>
      <c r="B16" s="202">
        <v>0.106999762251848</v>
      </c>
      <c r="C16" s="202">
        <v>-8.00482339408062E-3</v>
      </c>
      <c r="D16" s="202">
        <v>-7.94142647822218E-2</v>
      </c>
      <c r="E16" s="202">
        <v>-4.1390041272620803E-2</v>
      </c>
      <c r="G16" s="13">
        <f t="shared" si="0"/>
        <v>8.8761422342157024E-3</v>
      </c>
    </row>
    <row r="17" spans="1:9">
      <c r="A17" s="201" t="s">
        <v>98</v>
      </c>
      <c r="B17" s="202">
        <v>-6.0243945975822E-2</v>
      </c>
      <c r="C17" s="202">
        <v>4.8168645199623099E-2</v>
      </c>
      <c r="D17" s="202">
        <v>-2.5988068611345502E-2</v>
      </c>
      <c r="E17" s="202">
        <v>-5.2303014304847899E-3</v>
      </c>
      <c r="G17" s="13">
        <f t="shared" si="0"/>
        <v>-4.5263695782149409E-3</v>
      </c>
    </row>
    <row r="18" spans="1:9">
      <c r="A18" s="201" t="s">
        <v>99</v>
      </c>
      <c r="B18" s="202">
        <v>9.6807487240683998E-2</v>
      </c>
      <c r="C18" s="202">
        <v>-1.9538481866689699E-2</v>
      </c>
      <c r="D18" s="202">
        <v>-7.7103599095943703E-3</v>
      </c>
      <c r="E18" s="202">
        <v>-0.166253352658772</v>
      </c>
      <c r="G18" s="13">
        <f t="shared" si="0"/>
        <v>3.0594461777332278E-3</v>
      </c>
      <c r="I18" s="1"/>
    </row>
    <row r="19" spans="1:9">
      <c r="A19" s="201" t="s">
        <v>100</v>
      </c>
      <c r="B19" s="202">
        <v>2.0277951072523202E-2</v>
      </c>
      <c r="C19" s="202">
        <v>0.14835648008223201</v>
      </c>
      <c r="D19" s="202">
        <v>7.1669726269013995E-2</v>
      </c>
      <c r="E19" s="202">
        <v>-9.27578247793963E-2</v>
      </c>
      <c r="G19" s="13">
        <f t="shared" si="0"/>
        <v>7.0484140130512921E-2</v>
      </c>
    </row>
    <row r="20" spans="1:9">
      <c r="A20" s="201" t="s">
        <v>101</v>
      </c>
      <c r="B20" s="202">
        <v>-1.52458326845807E-2</v>
      </c>
      <c r="C20" s="202">
        <v>9.1633851489976992E-3</v>
      </c>
      <c r="D20" s="202">
        <v>3.3913992649186799E-2</v>
      </c>
      <c r="E20" s="202">
        <v>-3.9339168002106198E-2</v>
      </c>
      <c r="G20" s="13">
        <f t="shared" si="0"/>
        <v>1.9404859838516066E-3</v>
      </c>
    </row>
    <row r="21" spans="1:9">
      <c r="A21" s="201" t="s">
        <v>102</v>
      </c>
      <c r="B21" s="202">
        <v>-1.0636302528655101E-2</v>
      </c>
      <c r="C21" s="202">
        <v>4.7012628044018699E-2</v>
      </c>
      <c r="D21" s="202">
        <v>1.0789614556340201E-2</v>
      </c>
      <c r="E21" s="202">
        <v>-7.3352560204376596E-2</v>
      </c>
      <c r="G21" s="13">
        <f t="shared" si="0"/>
        <v>1.0436827349841322E-2</v>
      </c>
    </row>
    <row r="22" spans="1:9">
      <c r="A22" s="201" t="s">
        <v>103</v>
      </c>
      <c r="B22" s="202">
        <v>6.8184988380074099E-2</v>
      </c>
      <c r="C22" s="202">
        <v>-1.7751152412137899E-2</v>
      </c>
      <c r="D22" s="202">
        <v>-5.0703921739340102E-2</v>
      </c>
      <c r="E22" s="202">
        <v>-0.12017490690120899</v>
      </c>
      <c r="G22" s="13">
        <f t="shared" si="0"/>
        <v>-8.8032394888218641E-3</v>
      </c>
    </row>
    <row r="23" spans="1:9">
      <c r="A23" s="201" t="s">
        <v>104</v>
      </c>
      <c r="B23" s="202">
        <v>-5.80511067106474E-2</v>
      </c>
      <c r="C23" s="202">
        <v>-1.29385860208083E-2</v>
      </c>
      <c r="D23" s="202">
        <v>-2.6366851597274601E-2</v>
      </c>
      <c r="E23" s="202">
        <v>-4.4649067862533601E-2</v>
      </c>
      <c r="G23" s="13">
        <f t="shared" si="0"/>
        <v>-3.232904352722582E-2</v>
      </c>
    </row>
    <row r="24" spans="1:9">
      <c r="A24" s="201" t="s">
        <v>105</v>
      </c>
      <c r="B24" s="202">
        <v>-1.5019350717845501E-2</v>
      </c>
      <c r="C24" s="202">
        <v>4.6330347875034199E-2</v>
      </c>
      <c r="D24" s="202">
        <v>-1.09506414287447E-3</v>
      </c>
      <c r="E24" s="202">
        <v>4.3768339010464598E-2</v>
      </c>
      <c r="G24" s="13">
        <f t="shared" si="0"/>
        <v>1.8184155007131601E-2</v>
      </c>
    </row>
    <row r="25" spans="1:9">
      <c r="A25" s="201" t="s">
        <v>106</v>
      </c>
      <c r="B25" s="202">
        <v>0.13512385595337401</v>
      </c>
      <c r="C25" s="202">
        <v>8.4095106693512396E-3</v>
      </c>
      <c r="D25" s="202">
        <v>-8.5718979523074796E-3</v>
      </c>
      <c r="E25" s="202">
        <v>7.10751037361007E-4</v>
      </c>
      <c r="G25" s="13">
        <f t="shared" si="0"/>
        <v>4.2257656567027298E-2</v>
      </c>
    </row>
    <row r="26" spans="1:9">
      <c r="A26" s="201" t="s">
        <v>107</v>
      </c>
      <c r="B26" s="202">
        <v>-9.4180635930681406E-3</v>
      </c>
      <c r="C26" s="202">
        <v>5.4176974685832401E-2</v>
      </c>
      <c r="D26" s="202">
        <v>5.3684529489028403E-2</v>
      </c>
      <c r="E26" s="202">
        <v>-2.4801091419947699E-2</v>
      </c>
      <c r="G26" s="13">
        <f t="shared" si="0"/>
        <v>2.710216755222343E-2</v>
      </c>
    </row>
    <row r="27" spans="1:9">
      <c r="A27" s="201" t="s">
        <v>108</v>
      </c>
      <c r="B27" s="202">
        <v>2.7983009612315601E-2</v>
      </c>
      <c r="C27" s="202">
        <v>4.65595153778589E-2</v>
      </c>
      <c r="D27" s="202">
        <v>9.2193841019322098E-2</v>
      </c>
      <c r="E27" s="202">
        <v>1.46951982460921E-3</v>
      </c>
      <c r="G27" s="13">
        <f t="shared" si="0"/>
        <v>4.5604429221163582E-2</v>
      </c>
    </row>
    <row r="28" spans="1:9">
      <c r="A28" s="201" t="s">
        <v>109</v>
      </c>
      <c r="B28" s="202">
        <v>0.20042229199345901</v>
      </c>
      <c r="C28" s="202">
        <v>6.8577992538515195E-2</v>
      </c>
      <c r="D28" s="202">
        <v>-1.35611879732246E-2</v>
      </c>
      <c r="E28" s="202">
        <v>-5.0623705817781597E-2</v>
      </c>
      <c r="G28" s="13">
        <f t="shared" si="0"/>
        <v>7.9783276437020698E-2</v>
      </c>
    </row>
    <row r="29" spans="1:9">
      <c r="A29" s="201" t="s">
        <v>110</v>
      </c>
      <c r="B29" s="202">
        <v>-8.3028869169447603E-3</v>
      </c>
      <c r="C29" s="202">
        <v>7.5065556431532501E-3</v>
      </c>
      <c r="D29" s="202">
        <v>4.3920831815893499E-2</v>
      </c>
      <c r="E29" s="202">
        <v>-0.119195587365908</v>
      </c>
      <c r="G29" s="13">
        <f t="shared" si="0"/>
        <v>-2.6236361912342389E-3</v>
      </c>
    </row>
    <row r="30" spans="1:9">
      <c r="A30" s="201" t="s">
        <v>111</v>
      </c>
      <c r="B30" s="202">
        <v>-3.0477636608424299E-2</v>
      </c>
      <c r="C30" s="202">
        <v>-2.66093726757138E-2</v>
      </c>
      <c r="D30" s="202">
        <v>-1.8043453897218301E-2</v>
      </c>
      <c r="E30" s="202">
        <v>-0.105402950700576</v>
      </c>
      <c r="G30" s="13">
        <f t="shared" si="0"/>
        <v>-3.3936025902314079E-2</v>
      </c>
    </row>
    <row r="31" spans="1:9">
      <c r="A31" s="201" t="s">
        <v>112</v>
      </c>
      <c r="B31" s="202">
        <v>-0.18119753568915301</v>
      </c>
      <c r="C31" s="202">
        <v>1.39954485371078E-2</v>
      </c>
      <c r="D31" s="202">
        <v>5.7476102059610496E-3</v>
      </c>
      <c r="E31" s="202">
        <v>-0.25742582289952498</v>
      </c>
      <c r="G31" s="13">
        <f t="shared" si="0"/>
        <v>-7.3354141540663081E-2</v>
      </c>
    </row>
    <row r="32" spans="1:9">
      <c r="A32" s="201" t="s">
        <v>522</v>
      </c>
      <c r="B32" s="202">
        <v>-0.116698237536439</v>
      </c>
      <c r="C32" s="202">
        <v>-0.119206261082009</v>
      </c>
      <c r="D32" s="202">
        <v>-4.3202618285775603E-2</v>
      </c>
      <c r="E32" s="202">
        <v>1.07218833998782E-2</v>
      </c>
      <c r="G32" s="13">
        <f t="shared" si="0"/>
        <v>-9.0260311010902608E-2</v>
      </c>
    </row>
    <row r="33" spans="1:7">
      <c r="A33" s="201" t="s">
        <v>523</v>
      </c>
      <c r="B33" s="202">
        <v>5.5153715712633999E-2</v>
      </c>
      <c r="C33" s="202">
        <v>5.3605619002455002E-2</v>
      </c>
      <c r="D33" s="202">
        <v>1.7054239870882299E-2</v>
      </c>
      <c r="E33" s="202">
        <v>0.34213988678103102</v>
      </c>
      <c r="G33" s="13">
        <f t="shared" si="0"/>
        <v>7.5613198967051792E-2</v>
      </c>
    </row>
    <row r="34" spans="1:7">
      <c r="A34" s="201" t="s">
        <v>524</v>
      </c>
      <c r="B34" s="202">
        <v>4.47766373519679E-2</v>
      </c>
      <c r="C34" s="202">
        <v>2.1902139806061E-2</v>
      </c>
      <c r="D34" s="202">
        <v>1.18364338710947E-2</v>
      </c>
      <c r="E34" s="202">
        <v>6.3543302659148496E-2</v>
      </c>
      <c r="G34" s="13">
        <f t="shared" si="0"/>
        <v>3.0915464168148565E-2</v>
      </c>
    </row>
    <row r="35" spans="1:7">
      <c r="A35" s="201" t="s">
        <v>525</v>
      </c>
      <c r="B35" s="202">
        <v>9.7025546195032106E-2</v>
      </c>
      <c r="C35" s="202">
        <v>0.106976123430523</v>
      </c>
      <c r="D35" s="202">
        <v>-1.60404139370703E-2</v>
      </c>
      <c r="E35" s="202">
        <v>-3.7479889448296E-2</v>
      </c>
      <c r="G35" s="13">
        <f t="shared" si="0"/>
        <v>6.494204149847517E-2</v>
      </c>
    </row>
    <row r="36" spans="1:7">
      <c r="A36" s="201" t="s">
        <v>526</v>
      </c>
      <c r="B36" s="202">
        <v>5.6436227927869599E-2</v>
      </c>
      <c r="C36" s="202">
        <v>1.4000239804132101E-2</v>
      </c>
      <c r="D36" s="202">
        <v>0.23363054198875899</v>
      </c>
      <c r="E36" s="202">
        <v>1.8017934528891302E-2</v>
      </c>
      <c r="G36" s="13">
        <f t="shared" si="0"/>
        <v>7.105886615065464E-2</v>
      </c>
    </row>
    <row r="37" spans="1:7">
      <c r="A37" s="201" t="s">
        <v>527</v>
      </c>
      <c r="B37" s="202">
        <v>-0.124212968736785</v>
      </c>
      <c r="C37" s="202">
        <v>-2.15980754763575E-2</v>
      </c>
      <c r="D37" s="202">
        <v>-3.59933320455696E-2</v>
      </c>
      <c r="E37" s="202">
        <v>-7.1779765325261702E-2</v>
      </c>
      <c r="G37" s="13">
        <f t="shared" si="0"/>
        <v>-6.0279763753218606E-2</v>
      </c>
    </row>
    <row r="38" spans="1:7">
      <c r="A38" s="201" t="s">
        <v>528</v>
      </c>
      <c r="B38" s="202">
        <v>0.130519113189659</v>
      </c>
      <c r="C38" s="202">
        <v>0.103013204063035</v>
      </c>
      <c r="D38" s="202">
        <v>5.7558316016280399E-2</v>
      </c>
      <c r="E38" s="202">
        <v>0.113358624413162</v>
      </c>
      <c r="G38" s="13">
        <f t="shared" si="0"/>
        <v>0.10320854122668399</v>
      </c>
    </row>
    <row r="39" spans="1:7">
      <c r="A39" s="201" t="s">
        <v>529</v>
      </c>
      <c r="B39" s="202">
        <v>7.6394545932954194E-2</v>
      </c>
      <c r="C39" s="202">
        <v>4.3026077353929097E-2</v>
      </c>
      <c r="D39" s="202">
        <v>3.0475873400542301E-2</v>
      </c>
      <c r="E39" s="202">
        <v>-4.7618313561493099E-3</v>
      </c>
      <c r="G39" s="13">
        <f t="shared" si="0"/>
        <v>4.5747786265951419E-2</v>
      </c>
    </row>
    <row r="40" spans="1:7">
      <c r="A40" s="201" t="s">
        <v>530</v>
      </c>
      <c r="B40" s="202">
        <v>-1.6461184885826499E-2</v>
      </c>
      <c r="C40" s="202">
        <v>7.1770474964687206E-2</v>
      </c>
      <c r="D40" s="202">
        <v>-4.02070050875405E-2</v>
      </c>
      <c r="E40" s="202">
        <v>-0.21052628182244601</v>
      </c>
      <c r="G40" s="13">
        <f t="shared" si="0"/>
        <v>-5.3241946796257836E-3</v>
      </c>
    </row>
    <row r="41" spans="1:7">
      <c r="A41" s="201" t="s">
        <v>531</v>
      </c>
      <c r="B41" s="202">
        <v>7.2961525913540798E-2</v>
      </c>
      <c r="C41" s="202">
        <v>-2.2560953672651301E-2</v>
      </c>
      <c r="D41" s="202">
        <v>-5.0560965915737298E-2</v>
      </c>
      <c r="E41" s="202">
        <v>8.4807694710703804E-2</v>
      </c>
      <c r="G41" s="13">
        <f t="shared" ref="G41:G68" si="1">SUMPRODUCT($B$5:$E$5,B41:E41)</f>
        <v>1.1232652592924644E-2</v>
      </c>
    </row>
    <row r="42" spans="1:7">
      <c r="A42" s="201" t="s">
        <v>275</v>
      </c>
      <c r="B42" s="202">
        <v>0.110684500124604</v>
      </c>
      <c r="C42" s="202">
        <v>3.3478529838269697E-2</v>
      </c>
      <c r="D42" s="202">
        <v>-3.06933495504657E-3</v>
      </c>
      <c r="E42" s="202">
        <v>0.116331055737003</v>
      </c>
      <c r="G42" s="13">
        <f t="shared" si="1"/>
        <v>5.7616000555380076E-2</v>
      </c>
    </row>
    <row r="43" spans="1:7">
      <c r="A43" s="201" t="s">
        <v>276</v>
      </c>
      <c r="B43" s="202">
        <v>7.7554248325560904E-2</v>
      </c>
      <c r="C43" s="202">
        <v>9.0874909554722206E-3</v>
      </c>
      <c r="D43" s="202">
        <v>0.16671800337652501</v>
      </c>
      <c r="E43" s="202">
        <v>0.12925872526555199</v>
      </c>
      <c r="G43" s="13">
        <f t="shared" si="1"/>
        <v>7.3170744081717365E-2</v>
      </c>
    </row>
    <row r="44" spans="1:7">
      <c r="A44" s="201" t="s">
        <v>277</v>
      </c>
      <c r="B44" s="202">
        <v>9.8783686831878006E-2</v>
      </c>
      <c r="C44" s="202">
        <v>-1.9645786681929601E-2</v>
      </c>
      <c r="D44" s="202">
        <v>-4.0133835825286297E-2</v>
      </c>
      <c r="E44" s="202">
        <v>-8.8627114889550003E-3</v>
      </c>
      <c r="G44" s="13">
        <f t="shared" si="1"/>
        <v>1.2863753062838799E-2</v>
      </c>
    </row>
    <row r="45" spans="1:7">
      <c r="A45" s="201" t="s">
        <v>532</v>
      </c>
      <c r="B45" s="202">
        <v>5.4009854880235499E-2</v>
      </c>
      <c r="C45" s="202">
        <v>3.9466388891509399E-2</v>
      </c>
      <c r="D45" s="202">
        <v>-4.3697760567315003E-2</v>
      </c>
      <c r="E45" s="202">
        <v>0.11559146409024899</v>
      </c>
      <c r="G45" s="13">
        <f t="shared" si="1"/>
        <v>3.4809106316236314E-2</v>
      </c>
    </row>
    <row r="46" spans="1:7">
      <c r="A46" s="201" t="s">
        <v>533</v>
      </c>
      <c r="B46" s="202">
        <v>-0.11470141556911601</v>
      </c>
      <c r="C46" s="202">
        <v>-7.78581860668906E-2</v>
      </c>
      <c r="D46" s="202">
        <v>-0.14937456725760101</v>
      </c>
      <c r="E46" s="202">
        <v>-0.12610438845279801</v>
      </c>
      <c r="G46" s="13">
        <f t="shared" si="1"/>
        <v>-0.10803905139429104</v>
      </c>
    </row>
    <row r="47" spans="1:7">
      <c r="A47" s="201" t="s">
        <v>534</v>
      </c>
      <c r="B47" s="202">
        <v>-6.9761487127212904E-2</v>
      </c>
      <c r="C47" s="202">
        <v>1.4192371553624201E-2</v>
      </c>
      <c r="D47" s="202">
        <v>-0.17892055060558101</v>
      </c>
      <c r="E47" s="202">
        <v>-0.269495916246487</v>
      </c>
      <c r="G47" s="13">
        <f t="shared" si="1"/>
        <v>-7.7985199262479113E-2</v>
      </c>
    </row>
    <row r="48" spans="1:7">
      <c r="A48" s="201" t="s">
        <v>535</v>
      </c>
      <c r="B48" s="202">
        <v>0.155373768458485</v>
      </c>
      <c r="C48" s="202">
        <v>6.5100971341629302E-2</v>
      </c>
      <c r="D48" s="202">
        <v>0.119565250871634</v>
      </c>
      <c r="E48" s="202">
        <v>-0.14357681202622499</v>
      </c>
      <c r="G48" s="13">
        <f t="shared" si="1"/>
        <v>8.2207888045901512E-2</v>
      </c>
    </row>
    <row r="49" spans="1:7">
      <c r="A49" s="201" t="s">
        <v>536</v>
      </c>
      <c r="B49" s="202">
        <v>8.5094130176433094E-2</v>
      </c>
      <c r="C49" s="202">
        <v>1.8052802809223799E-2</v>
      </c>
      <c r="D49" s="202">
        <v>8.4604728587908795E-2</v>
      </c>
      <c r="E49" s="202">
        <v>-3.3823586851549903E-2</v>
      </c>
      <c r="G49" s="13">
        <f t="shared" si="1"/>
        <v>4.6287947209046221E-2</v>
      </c>
    </row>
    <row r="50" spans="1:7">
      <c r="A50" s="201" t="s">
        <v>537</v>
      </c>
      <c r="B50" s="202">
        <v>0.14738619907365999</v>
      </c>
      <c r="C50" s="202">
        <v>-1.7051981586522099E-2</v>
      </c>
      <c r="D50" s="202">
        <v>-4.9360620331548803E-2</v>
      </c>
      <c r="E50" s="202">
        <v>4.1132457349578003E-2</v>
      </c>
      <c r="G50" s="13">
        <f t="shared" si="1"/>
        <v>3.1636188756137204E-2</v>
      </c>
    </row>
    <row r="51" spans="1:7">
      <c r="A51" s="201" t="s">
        <v>538</v>
      </c>
      <c r="B51" s="202">
        <v>0.165131706757632</v>
      </c>
      <c r="C51" s="202">
        <v>7.5921685053586693E-2</v>
      </c>
      <c r="D51" s="202">
        <v>4.8695186092293397E-2</v>
      </c>
      <c r="E51" s="202">
        <v>-0.111273894487302</v>
      </c>
      <c r="G51" s="13">
        <f t="shared" si="1"/>
        <v>7.8519833818452761E-2</v>
      </c>
    </row>
    <row r="52" spans="1:7">
      <c r="A52" s="201" t="s">
        <v>539</v>
      </c>
      <c r="B52" s="202">
        <v>0.21656943435350701</v>
      </c>
      <c r="C52" s="202">
        <v>6.79814010963945E-2</v>
      </c>
      <c r="D52" s="202">
        <v>0.12767224528887799</v>
      </c>
      <c r="E52" s="202">
        <v>4.4481166954133997E-2</v>
      </c>
      <c r="G52" s="13">
        <f t="shared" si="1"/>
        <v>0.12214595649779891</v>
      </c>
    </row>
    <row r="53" spans="1:7">
      <c r="A53" s="201" t="s">
        <v>540</v>
      </c>
      <c r="B53" s="202">
        <v>-0.102526385179405</v>
      </c>
      <c r="C53" s="202">
        <v>2.1112535584511299E-2</v>
      </c>
      <c r="D53" s="202">
        <v>-5.9073281069057099E-2</v>
      </c>
      <c r="E53" s="202">
        <v>-1.5725990952103201E-2</v>
      </c>
      <c r="G53" s="13">
        <f t="shared" si="1"/>
        <v>-3.5700156629038721E-2</v>
      </c>
    </row>
    <row r="54" spans="1:7">
      <c r="A54" s="201" t="s">
        <v>278</v>
      </c>
      <c r="B54" s="202">
        <v>-6.0012111987417002E-2</v>
      </c>
      <c r="C54" s="202">
        <v>9.3161355671388998E-3</v>
      </c>
      <c r="D54" s="202">
        <v>-2.2807880313444599E-2</v>
      </c>
      <c r="E54" s="202">
        <v>0.19101119796129601</v>
      </c>
      <c r="G54" s="13">
        <f t="shared" si="1"/>
        <v>2.6236436407115621E-4</v>
      </c>
    </row>
    <row r="55" spans="1:7">
      <c r="A55" s="201" t="s">
        <v>279</v>
      </c>
      <c r="B55" s="202">
        <v>9.5493221871386896E-2</v>
      </c>
      <c r="C55" s="202">
        <v>9.5492502616044694E-2</v>
      </c>
      <c r="D55" s="202">
        <v>0.220700985623389</v>
      </c>
      <c r="E55" s="202">
        <v>0.37196780108279498</v>
      </c>
      <c r="G55" s="13">
        <f t="shared" si="1"/>
        <v>0.14818194484079128</v>
      </c>
    </row>
    <row r="56" spans="1:7">
      <c r="A56" s="201" t="s">
        <v>280</v>
      </c>
      <c r="B56" s="202">
        <v>0.114573703379239</v>
      </c>
      <c r="C56" s="202">
        <v>-1.3070738112839301E-2</v>
      </c>
      <c r="D56" s="202">
        <v>0.224106475238152</v>
      </c>
      <c r="E56" s="202">
        <v>6.1879676588078698E-2</v>
      </c>
      <c r="G56" s="13">
        <f t="shared" si="1"/>
        <v>8.0153078475074246E-2</v>
      </c>
    </row>
    <row r="57" spans="1:7">
      <c r="A57" s="201" t="s">
        <v>541</v>
      </c>
      <c r="B57" s="202">
        <v>-5.5014693523658198E-3</v>
      </c>
      <c r="C57" s="202">
        <v>-6.4626569574508103E-2</v>
      </c>
      <c r="D57" s="202">
        <v>-7.1807015303930993E-2</v>
      </c>
      <c r="E57" s="202">
        <v>-1.11109930020373E-2</v>
      </c>
      <c r="G57" s="13">
        <f t="shared" si="1"/>
        <v>-4.2973570996502918E-2</v>
      </c>
    </row>
    <row r="58" spans="1:7">
      <c r="A58" s="201" t="s">
        <v>542</v>
      </c>
      <c r="B58" s="202">
        <v>-7.9712022321922094E-2</v>
      </c>
      <c r="C58" s="202">
        <v>-5.8951938926356098E-2</v>
      </c>
      <c r="D58" s="202">
        <v>0.124100584791713</v>
      </c>
      <c r="E58" s="202">
        <v>0.17415722285204799</v>
      </c>
      <c r="G58" s="13">
        <f t="shared" si="1"/>
        <v>-5.258543023571649E-3</v>
      </c>
    </row>
    <row r="59" spans="1:7">
      <c r="A59" s="201" t="s">
        <v>543</v>
      </c>
      <c r="B59" s="202">
        <v>7.33948380004031E-3</v>
      </c>
      <c r="C59" s="202">
        <v>6.4894401088011505E-2</v>
      </c>
      <c r="D59" s="202">
        <v>-2.3910226270640898E-2</v>
      </c>
      <c r="E59" s="202">
        <v>4.7821508196961397E-2</v>
      </c>
      <c r="G59" s="13">
        <f t="shared" si="1"/>
        <v>2.8159711140784662E-2</v>
      </c>
    </row>
    <row r="60" spans="1:7">
      <c r="A60" s="201" t="s">
        <v>544</v>
      </c>
      <c r="B60" s="202">
        <v>7.6217867876094303E-2</v>
      </c>
      <c r="C60" s="202">
        <v>5.7895502827861899E-2</v>
      </c>
      <c r="D60" s="202">
        <v>8.1291998984842299E-3</v>
      </c>
      <c r="E60" s="202">
        <v>-7.6165205322783602E-4</v>
      </c>
      <c r="G60" s="13">
        <f t="shared" si="1"/>
        <v>4.7573236268347113E-2</v>
      </c>
    </row>
    <row r="61" spans="1:7">
      <c r="A61" s="201" t="s">
        <v>545</v>
      </c>
      <c r="B61" s="202">
        <v>-5.0497112485784201E-2</v>
      </c>
      <c r="C61" s="202">
        <v>1.6608928543756198E-2</v>
      </c>
      <c r="D61" s="202">
        <v>-3.9619450632749201E-2</v>
      </c>
      <c r="E61" s="202">
        <v>7.1646367787835702E-2</v>
      </c>
      <c r="G61" s="13">
        <f t="shared" si="1"/>
        <v>-9.2648156759990441E-3</v>
      </c>
    </row>
    <row r="62" spans="1:7">
      <c r="A62" s="201" t="s">
        <v>546</v>
      </c>
      <c r="B62" s="202">
        <v>9.9109263617794402E-2</v>
      </c>
      <c r="C62" s="202">
        <v>4.5998859671114299E-2</v>
      </c>
      <c r="D62" s="202">
        <v>-1.61208492718572E-2</v>
      </c>
      <c r="E62" s="202">
        <v>-4.1945700554474302E-2</v>
      </c>
      <c r="G62" s="13">
        <f t="shared" si="1"/>
        <v>4.0713583043965169E-2</v>
      </c>
    </row>
    <row r="63" spans="1:7">
      <c r="A63" s="201" t="s">
        <v>547</v>
      </c>
      <c r="B63" s="202">
        <v>6.4982466865385197E-2</v>
      </c>
      <c r="C63" s="202">
        <v>8.8092484993528494E-2</v>
      </c>
      <c r="D63" s="202">
        <v>1.42231321569791E-3</v>
      </c>
      <c r="E63" s="202">
        <v>-3.7890060763510001E-2</v>
      </c>
      <c r="G63" s="13">
        <f t="shared" si="1"/>
        <v>5.1227190623815533E-2</v>
      </c>
    </row>
    <row r="64" spans="1:7">
      <c r="A64" s="201" t="s">
        <v>548</v>
      </c>
      <c r="B64" s="202">
        <v>4.2489223629632603E-2</v>
      </c>
      <c r="C64" s="202">
        <v>5.9969237119459597E-2</v>
      </c>
      <c r="D64" s="202">
        <v>2.9996583633323699E-2</v>
      </c>
      <c r="E64" s="202">
        <v>1.7471072105045501E-2</v>
      </c>
      <c r="G64" s="13">
        <f t="shared" si="1"/>
        <v>4.4480885873842912E-2</v>
      </c>
    </row>
    <row r="65" spans="1:7">
      <c r="A65" s="201" t="s">
        <v>549</v>
      </c>
      <c r="B65" s="202">
        <v>-6.8036609609392604E-2</v>
      </c>
      <c r="C65" s="202">
        <v>-1.34799505176412E-2</v>
      </c>
      <c r="D65" s="202">
        <v>-6.6905706997421294E-2</v>
      </c>
      <c r="E65" s="202">
        <v>-2.1818485782456602E-2</v>
      </c>
      <c r="G65" s="13">
        <f t="shared" si="1"/>
        <v>-4.1365953067604183E-2</v>
      </c>
    </row>
    <row r="66" spans="1:7">
      <c r="A66" s="201" t="s">
        <v>281</v>
      </c>
      <c r="B66" s="202">
        <v>5.86572494711586E-2</v>
      </c>
      <c r="C66" s="202">
        <v>9.5660851631581695E-2</v>
      </c>
      <c r="D66" s="202">
        <v>-5.9106724483560299E-4</v>
      </c>
      <c r="E66" s="202">
        <v>1.7858913677741999E-2</v>
      </c>
      <c r="G66" s="13">
        <f t="shared" si="1"/>
        <v>5.7529193412787345E-2</v>
      </c>
    </row>
    <row r="67" spans="1:7">
      <c r="A67" s="201" t="s">
        <v>282</v>
      </c>
      <c r="B67" s="202">
        <v>0.105081838416622</v>
      </c>
      <c r="C67" s="202">
        <v>9.7326718735154499E-2</v>
      </c>
      <c r="D67" s="202">
        <v>-0.14295861111181299</v>
      </c>
      <c r="E67" s="202">
        <v>-9.4211918072426695E-2</v>
      </c>
      <c r="G67" s="13">
        <f t="shared" si="1"/>
        <v>3.2442324989443126E-2</v>
      </c>
    </row>
    <row r="68" spans="1:7">
      <c r="A68" s="201" t="s">
        <v>283</v>
      </c>
      <c r="B68" s="202">
        <v>7.8039861481089795E-2</v>
      </c>
      <c r="C68" s="202">
        <v>4.5478107687502503E-2</v>
      </c>
      <c r="D68" s="202">
        <v>7.6121457859940497E-2</v>
      </c>
      <c r="E68" s="202">
        <v>-2.1800475367568998E-3</v>
      </c>
      <c r="G68" s="13">
        <f t="shared" si="1"/>
        <v>5.6609488337640339E-2</v>
      </c>
    </row>
  </sheetData>
  <mergeCells count="2">
    <mergeCell ref="B7:E7"/>
    <mergeCell ref="B3:E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8BCB-43EF-4DD9-AB93-F2D45DB93D8D}">
  <dimension ref="A1:L68"/>
  <sheetViews>
    <sheetView workbookViewId="0">
      <selection activeCell="M31" sqref="M31"/>
    </sheetView>
  </sheetViews>
  <sheetFormatPr defaultRowHeight="15"/>
  <cols>
    <col min="2" max="2" width="7.42578125" bestFit="1" customWidth="1"/>
    <col min="6" max="6" width="2.85546875" customWidth="1"/>
    <col min="9" max="9" width="11.28515625" customWidth="1"/>
    <col min="10" max="12" width="9.42578125" bestFit="1" customWidth="1"/>
  </cols>
  <sheetData>
    <row r="1" spans="1:12" ht="21">
      <c r="A1" s="194" t="s">
        <v>627</v>
      </c>
      <c r="B1" s="194"/>
      <c r="C1" s="194"/>
      <c r="D1" s="194"/>
      <c r="E1" s="194"/>
      <c r="F1" s="194"/>
      <c r="G1" s="194"/>
      <c r="H1" s="194"/>
      <c r="I1" s="194"/>
      <c r="J1" s="194"/>
    </row>
    <row r="3" spans="1:12">
      <c r="B3" s="297" t="s">
        <v>6</v>
      </c>
      <c r="C3" s="297"/>
      <c r="D3" s="297"/>
      <c r="E3" s="297"/>
    </row>
    <row r="4" spans="1:12">
      <c r="B4" s="203" t="s">
        <v>0</v>
      </c>
      <c r="C4" s="203" t="s">
        <v>1</v>
      </c>
      <c r="D4" s="203" t="s">
        <v>2</v>
      </c>
      <c r="E4" s="203" t="s">
        <v>284</v>
      </c>
    </row>
    <row r="5" spans="1:12">
      <c r="A5" s="1"/>
      <c r="B5" s="201">
        <v>0.3</v>
      </c>
      <c r="C5" s="201">
        <v>0.4</v>
      </c>
      <c r="D5" s="201">
        <v>0.2</v>
      </c>
      <c r="E5" s="201">
        <f>1-SUM(B5:D5)</f>
        <v>0.10000000000000009</v>
      </c>
    </row>
    <row r="7" spans="1:12">
      <c r="B7" s="295" t="s">
        <v>165</v>
      </c>
      <c r="C7" s="295"/>
      <c r="D7" s="295"/>
      <c r="E7" s="295"/>
    </row>
    <row r="8" spans="1:12">
      <c r="A8" s="201"/>
      <c r="B8" s="200" t="s">
        <v>0</v>
      </c>
      <c r="C8" s="200" t="s">
        <v>1</v>
      </c>
      <c r="D8" s="200" t="s">
        <v>2</v>
      </c>
      <c r="E8" s="200" t="s">
        <v>284</v>
      </c>
      <c r="G8" s="1" t="s">
        <v>17</v>
      </c>
      <c r="I8" s="200" t="s">
        <v>135</v>
      </c>
      <c r="J8" s="201"/>
      <c r="K8" s="201"/>
      <c r="L8" s="201"/>
    </row>
    <row r="9" spans="1:12">
      <c r="A9" s="201" t="s">
        <v>90</v>
      </c>
      <c r="B9" s="202">
        <v>4.7746403768711601E-2</v>
      </c>
      <c r="C9" s="202">
        <v>2.3983598019761899E-2</v>
      </c>
      <c r="D9" s="202">
        <v>6.16964450752297E-2</v>
      </c>
      <c r="E9" s="202">
        <v>-6.0126418749018397E-2</v>
      </c>
      <c r="G9" s="13">
        <f t="shared" ref="G9:G68" si="0">SUMPRODUCT($B$5:$E$5,B9:E9)</f>
        <v>3.0244007478662335E-2</v>
      </c>
      <c r="I9" s="204">
        <f>COVAR($B9:$B68,B9:B68)</f>
        <v>7.1147561271710374E-3</v>
      </c>
      <c r="J9" s="204">
        <f>COVAR($B9:$B68,C9:C68)</f>
        <v>1.9869033645906987E-3</v>
      </c>
      <c r="K9" s="204">
        <f>COVAR($B9:$B68,D9:D68)</f>
        <v>2.1582929486784566E-3</v>
      </c>
      <c r="L9" s="204">
        <f>COVAR($B9:$B68,E9:E68)</f>
        <v>1.8624485342145826E-3</v>
      </c>
    </row>
    <row r="10" spans="1:12">
      <c r="A10" s="201" t="s">
        <v>91</v>
      </c>
      <c r="B10" s="202">
        <v>0.13377804564668</v>
      </c>
      <c r="C10" s="202">
        <v>8.3606234552071598E-2</v>
      </c>
      <c r="D10" s="202">
        <v>-5.0609577233732802E-3</v>
      </c>
      <c r="E10" s="202">
        <v>1.1709111738542799E-2</v>
      </c>
      <c r="G10" s="13">
        <f t="shared" si="0"/>
        <v>7.3734627144012257E-2</v>
      </c>
      <c r="I10" s="204">
        <f>J9</f>
        <v>1.9869033645906987E-3</v>
      </c>
      <c r="J10" s="204">
        <f>COVAR($C9:$C68,C9:C68)</f>
        <v>2.7845672803871288E-3</v>
      </c>
      <c r="K10" s="204">
        <f>COVAR($C9:$C68,D9:D68)</f>
        <v>8.6286553524680097E-4</v>
      </c>
      <c r="L10" s="204">
        <f>COVAR($C9:$C68,E9:E68)</f>
        <v>3.599235529205223E-4</v>
      </c>
    </row>
    <row r="11" spans="1:12">
      <c r="A11" s="201" t="s">
        <v>92</v>
      </c>
      <c r="B11" s="202">
        <v>4.8689558775611201E-2</v>
      </c>
      <c r="C11" s="202">
        <v>-5.3561450448209903E-2</v>
      </c>
      <c r="D11" s="202">
        <v>2.99754186311968E-2</v>
      </c>
      <c r="E11" s="202">
        <v>-3.35374898130141E-4</v>
      </c>
      <c r="G11" s="13">
        <f t="shared" si="0"/>
        <v>-8.5616631017425542E-4</v>
      </c>
      <c r="I11" s="204">
        <f>K9</f>
        <v>2.1582929486784566E-3</v>
      </c>
      <c r="J11" s="204">
        <f>K10</f>
        <v>8.6286553524680097E-4</v>
      </c>
      <c r="K11" s="204">
        <f>COVAR($D9:$D68,D9:D68)</f>
        <v>6.4682229895124347E-3</v>
      </c>
      <c r="L11" s="204">
        <f>COVAR($D9:$D68,E9:E68)</f>
        <v>3.5497931676605901E-3</v>
      </c>
    </row>
    <row r="12" spans="1:12">
      <c r="A12" s="201" t="s">
        <v>93</v>
      </c>
      <c r="B12" s="202">
        <v>-6.9522777878212001E-5</v>
      </c>
      <c r="C12" s="202">
        <v>5.86202862760744E-2</v>
      </c>
      <c r="D12" s="202">
        <v>1.9490324713444199E-2</v>
      </c>
      <c r="E12" s="202">
        <v>-2.7181231351792502E-2</v>
      </c>
      <c r="G12" s="13">
        <f t="shared" si="0"/>
        <v>2.4607199484575883E-2</v>
      </c>
      <c r="I12" s="204">
        <f>L9</f>
        <v>1.8624485342145826E-3</v>
      </c>
      <c r="J12" s="204">
        <f>L10</f>
        <v>3.599235529205223E-4</v>
      </c>
      <c r="K12" s="204">
        <f>L11</f>
        <v>3.5497931676605901E-3</v>
      </c>
      <c r="L12" s="204">
        <f>COVAR(E9:E68,E9:E68)</f>
        <v>1.2612311472114444E-2</v>
      </c>
    </row>
    <row r="13" spans="1:12">
      <c r="A13" s="201" t="s">
        <v>94</v>
      </c>
      <c r="B13" s="202">
        <v>6.7807309512063499E-2</v>
      </c>
      <c r="C13" s="202">
        <v>6.0541295677034097E-2</v>
      </c>
      <c r="D13" s="202">
        <v>-6.6263127603027105E-2</v>
      </c>
      <c r="E13" s="202">
        <v>-5.5536526465738402E-2</v>
      </c>
      <c r="G13" s="13">
        <f t="shared" si="0"/>
        <v>2.5752432957253418E-2</v>
      </c>
    </row>
    <row r="14" spans="1:12">
      <c r="A14" s="201" t="s">
        <v>95</v>
      </c>
      <c r="B14" s="202">
        <v>-5.7213875833608603E-2</v>
      </c>
      <c r="C14" s="202">
        <v>-0.113617485185197</v>
      </c>
      <c r="D14" s="202">
        <v>-1.5656695569378501E-2</v>
      </c>
      <c r="E14" s="202">
        <v>-5.1914659545268301E-3</v>
      </c>
      <c r="G14" s="13">
        <f t="shared" si="0"/>
        <v>-6.6261642533489762E-2</v>
      </c>
      <c r="I14" s="1" t="s">
        <v>290</v>
      </c>
      <c r="J14" s="1" t="s">
        <v>16</v>
      </c>
    </row>
    <row r="15" spans="1:12">
      <c r="A15" s="201" t="s">
        <v>96</v>
      </c>
      <c r="B15" s="202">
        <v>3.27035552944984E-2</v>
      </c>
      <c r="C15" s="202">
        <v>-8.8786523477403408E-3</v>
      </c>
      <c r="D15" s="202">
        <v>4.2332064081507997E-2</v>
      </c>
      <c r="E15" s="202">
        <v>-5.1832606214159402E-2</v>
      </c>
      <c r="G15" s="13">
        <f t="shared" si="0"/>
        <v>9.5427578441390389E-3</v>
      </c>
      <c r="I15" s="16" cm="1">
        <f t="array" ref="I15">MMULT(MMULT(B5:E5,I9:L12),TRANSPOSE(B5:E5))</f>
        <v>2.6271538205845874E-3</v>
      </c>
      <c r="J15" s="16">
        <f>SQRT(I15)</f>
        <v>5.1255768656655487E-2</v>
      </c>
    </row>
    <row r="16" spans="1:12">
      <c r="A16" s="201" t="s">
        <v>97</v>
      </c>
      <c r="B16" s="202">
        <v>0.106999762251848</v>
      </c>
      <c r="C16" s="202">
        <v>-8.00482339408062E-3</v>
      </c>
      <c r="D16" s="202">
        <v>-7.94142647822218E-2</v>
      </c>
      <c r="E16" s="202">
        <v>-4.1390041272620803E-2</v>
      </c>
      <c r="G16" s="13">
        <f t="shared" si="0"/>
        <v>8.8761422342157024E-3</v>
      </c>
    </row>
    <row r="17" spans="1:7">
      <c r="A17" s="201" t="s">
        <v>98</v>
      </c>
      <c r="B17" s="202">
        <v>-6.0243945975822E-2</v>
      </c>
      <c r="C17" s="202">
        <v>4.8168645199623099E-2</v>
      </c>
      <c r="D17" s="202">
        <v>-2.5988068611345502E-2</v>
      </c>
      <c r="E17" s="202">
        <v>-5.2303014304847899E-3</v>
      </c>
      <c r="G17" s="13">
        <f t="shared" si="0"/>
        <v>-4.5263695782149409E-3</v>
      </c>
    </row>
    <row r="18" spans="1:7">
      <c r="A18" s="201" t="s">
        <v>99</v>
      </c>
      <c r="B18" s="202">
        <v>9.6807487240683998E-2</v>
      </c>
      <c r="C18" s="202">
        <v>-1.9538481866689699E-2</v>
      </c>
      <c r="D18" s="202">
        <v>-7.7103599095943703E-3</v>
      </c>
      <c r="E18" s="202">
        <v>-0.166253352658772</v>
      </c>
      <c r="G18" s="13">
        <f t="shared" si="0"/>
        <v>3.0594461777332278E-3</v>
      </c>
    </row>
    <row r="19" spans="1:7">
      <c r="A19" s="201" t="s">
        <v>100</v>
      </c>
      <c r="B19" s="202">
        <v>2.0277951072523202E-2</v>
      </c>
      <c r="C19" s="202">
        <v>0.14835648008223201</v>
      </c>
      <c r="D19" s="202">
        <v>7.1669726269013995E-2</v>
      </c>
      <c r="E19" s="202">
        <v>-9.27578247793963E-2</v>
      </c>
      <c r="G19" s="13">
        <f t="shared" si="0"/>
        <v>7.0484140130512921E-2</v>
      </c>
    </row>
    <row r="20" spans="1:7">
      <c r="A20" s="201" t="s">
        <v>101</v>
      </c>
      <c r="B20" s="202">
        <v>-1.52458326845807E-2</v>
      </c>
      <c r="C20" s="202">
        <v>9.1633851489976992E-3</v>
      </c>
      <c r="D20" s="202">
        <v>3.3913992649186799E-2</v>
      </c>
      <c r="E20" s="202">
        <v>-3.9339168002106198E-2</v>
      </c>
      <c r="G20" s="13">
        <f t="shared" si="0"/>
        <v>1.9404859838516066E-3</v>
      </c>
    </row>
    <row r="21" spans="1:7">
      <c r="A21" s="201" t="s">
        <v>102</v>
      </c>
      <c r="B21" s="202">
        <v>-1.0636302528655101E-2</v>
      </c>
      <c r="C21" s="202">
        <v>4.7012628044018699E-2</v>
      </c>
      <c r="D21" s="202">
        <v>1.0789614556340201E-2</v>
      </c>
      <c r="E21" s="202">
        <v>-7.3352560204376596E-2</v>
      </c>
      <c r="G21" s="13">
        <f t="shared" si="0"/>
        <v>1.0436827349841322E-2</v>
      </c>
    </row>
    <row r="22" spans="1:7">
      <c r="A22" s="201" t="s">
        <v>103</v>
      </c>
      <c r="B22" s="202">
        <v>6.8184988380074099E-2</v>
      </c>
      <c r="C22" s="202">
        <v>-1.7751152412137899E-2</v>
      </c>
      <c r="D22" s="202">
        <v>-5.0703921739340102E-2</v>
      </c>
      <c r="E22" s="202">
        <v>-0.12017490690120899</v>
      </c>
      <c r="G22" s="13">
        <f t="shared" si="0"/>
        <v>-8.8032394888218641E-3</v>
      </c>
    </row>
    <row r="23" spans="1:7">
      <c r="A23" s="201" t="s">
        <v>104</v>
      </c>
      <c r="B23" s="202">
        <v>-5.80511067106474E-2</v>
      </c>
      <c r="C23" s="202">
        <v>-1.29385860208083E-2</v>
      </c>
      <c r="D23" s="202">
        <v>-2.6366851597274601E-2</v>
      </c>
      <c r="E23" s="202">
        <v>-4.4649067862533601E-2</v>
      </c>
      <c r="G23" s="13">
        <f t="shared" si="0"/>
        <v>-3.232904352722582E-2</v>
      </c>
    </row>
    <row r="24" spans="1:7">
      <c r="A24" s="201" t="s">
        <v>105</v>
      </c>
      <c r="B24" s="202">
        <v>-1.5019350717845501E-2</v>
      </c>
      <c r="C24" s="202">
        <v>4.6330347875034199E-2</v>
      </c>
      <c r="D24" s="202">
        <v>-1.09506414287447E-3</v>
      </c>
      <c r="E24" s="202">
        <v>4.3768339010464598E-2</v>
      </c>
      <c r="G24" s="13">
        <f t="shared" si="0"/>
        <v>1.8184155007131601E-2</v>
      </c>
    </row>
    <row r="25" spans="1:7">
      <c r="A25" s="201" t="s">
        <v>106</v>
      </c>
      <c r="B25" s="202">
        <v>0.13512385595337401</v>
      </c>
      <c r="C25" s="202">
        <v>8.4095106693512396E-3</v>
      </c>
      <c r="D25" s="202">
        <v>-8.5718979523074796E-3</v>
      </c>
      <c r="E25" s="202">
        <v>7.10751037361007E-4</v>
      </c>
      <c r="G25" s="13">
        <f t="shared" si="0"/>
        <v>4.2257656567027298E-2</v>
      </c>
    </row>
    <row r="26" spans="1:7">
      <c r="A26" s="201" t="s">
        <v>107</v>
      </c>
      <c r="B26" s="202">
        <v>-9.4180635930681406E-3</v>
      </c>
      <c r="C26" s="202">
        <v>5.4176974685832401E-2</v>
      </c>
      <c r="D26" s="202">
        <v>5.3684529489028403E-2</v>
      </c>
      <c r="E26" s="202">
        <v>-2.4801091419947699E-2</v>
      </c>
      <c r="G26" s="13">
        <f t="shared" si="0"/>
        <v>2.710216755222343E-2</v>
      </c>
    </row>
    <row r="27" spans="1:7">
      <c r="A27" s="201" t="s">
        <v>108</v>
      </c>
      <c r="B27" s="202">
        <v>2.7983009612315601E-2</v>
      </c>
      <c r="C27" s="202">
        <v>4.65595153778589E-2</v>
      </c>
      <c r="D27" s="202">
        <v>9.2193841019322098E-2</v>
      </c>
      <c r="E27" s="202">
        <v>1.46951982460921E-3</v>
      </c>
      <c r="G27" s="13">
        <f t="shared" si="0"/>
        <v>4.5604429221163582E-2</v>
      </c>
    </row>
    <row r="28" spans="1:7">
      <c r="A28" s="201" t="s">
        <v>109</v>
      </c>
      <c r="B28" s="202">
        <v>0.20042229199345901</v>
      </c>
      <c r="C28" s="202">
        <v>6.8577992538515195E-2</v>
      </c>
      <c r="D28" s="202">
        <v>-1.35611879732246E-2</v>
      </c>
      <c r="E28" s="202">
        <v>-5.0623705817781597E-2</v>
      </c>
      <c r="G28" s="13">
        <f t="shared" si="0"/>
        <v>7.9783276437020698E-2</v>
      </c>
    </row>
    <row r="29" spans="1:7">
      <c r="A29" s="201" t="s">
        <v>110</v>
      </c>
      <c r="B29" s="202">
        <v>-8.3028869169447603E-3</v>
      </c>
      <c r="C29" s="202">
        <v>7.5065556431532501E-3</v>
      </c>
      <c r="D29" s="202">
        <v>4.3920831815893499E-2</v>
      </c>
      <c r="E29" s="202">
        <v>-0.119195587365908</v>
      </c>
      <c r="G29" s="13">
        <f t="shared" si="0"/>
        <v>-2.6236361912342389E-3</v>
      </c>
    </row>
    <row r="30" spans="1:7">
      <c r="A30" s="201" t="s">
        <v>111</v>
      </c>
      <c r="B30" s="202">
        <v>-3.0477636608424299E-2</v>
      </c>
      <c r="C30" s="202">
        <v>-2.66093726757138E-2</v>
      </c>
      <c r="D30" s="202">
        <v>-1.8043453897218301E-2</v>
      </c>
      <c r="E30" s="202">
        <v>-0.105402950700576</v>
      </c>
      <c r="G30" s="13">
        <f t="shared" si="0"/>
        <v>-3.3936025902314079E-2</v>
      </c>
    </row>
    <row r="31" spans="1:7">
      <c r="A31" s="201" t="s">
        <v>112</v>
      </c>
      <c r="B31" s="202">
        <v>-0.18119753568915301</v>
      </c>
      <c r="C31" s="202">
        <v>1.39954485371078E-2</v>
      </c>
      <c r="D31" s="202">
        <v>5.7476102059610496E-3</v>
      </c>
      <c r="E31" s="202">
        <v>-0.25742582289952498</v>
      </c>
      <c r="G31" s="13">
        <f t="shared" si="0"/>
        <v>-7.3354141540663081E-2</v>
      </c>
    </row>
    <row r="32" spans="1:7">
      <c r="A32" s="201" t="s">
        <v>522</v>
      </c>
      <c r="B32" s="202">
        <v>-0.116698237536439</v>
      </c>
      <c r="C32" s="202">
        <v>-0.119206261082009</v>
      </c>
      <c r="D32" s="202">
        <v>-4.3202618285775603E-2</v>
      </c>
      <c r="E32" s="202">
        <v>1.07218833998782E-2</v>
      </c>
      <c r="G32" s="13">
        <f t="shared" si="0"/>
        <v>-9.0260311010902608E-2</v>
      </c>
    </row>
    <row r="33" spans="1:7">
      <c r="A33" s="201" t="s">
        <v>523</v>
      </c>
      <c r="B33" s="202">
        <v>5.5153715712633999E-2</v>
      </c>
      <c r="C33" s="202">
        <v>5.3605619002455002E-2</v>
      </c>
      <c r="D33" s="202">
        <v>1.7054239870882299E-2</v>
      </c>
      <c r="E33" s="202">
        <v>0.34213988678103102</v>
      </c>
      <c r="G33" s="13">
        <f t="shared" si="0"/>
        <v>7.5613198967051792E-2</v>
      </c>
    </row>
    <row r="34" spans="1:7">
      <c r="A34" s="201" t="s">
        <v>524</v>
      </c>
      <c r="B34" s="202">
        <v>4.47766373519679E-2</v>
      </c>
      <c r="C34" s="202">
        <v>2.1902139806061E-2</v>
      </c>
      <c r="D34" s="202">
        <v>1.18364338710947E-2</v>
      </c>
      <c r="E34" s="202">
        <v>6.3543302659148496E-2</v>
      </c>
      <c r="G34" s="13">
        <f t="shared" si="0"/>
        <v>3.0915464168148565E-2</v>
      </c>
    </row>
    <row r="35" spans="1:7">
      <c r="A35" s="201" t="s">
        <v>525</v>
      </c>
      <c r="B35" s="202">
        <v>9.7025546195032106E-2</v>
      </c>
      <c r="C35" s="202">
        <v>0.106976123430523</v>
      </c>
      <c r="D35" s="202">
        <v>-1.60404139370703E-2</v>
      </c>
      <c r="E35" s="202">
        <v>-3.7479889448296E-2</v>
      </c>
      <c r="G35" s="13">
        <f t="shared" si="0"/>
        <v>6.494204149847517E-2</v>
      </c>
    </row>
    <row r="36" spans="1:7">
      <c r="A36" s="201" t="s">
        <v>526</v>
      </c>
      <c r="B36" s="202">
        <v>5.6436227927869599E-2</v>
      </c>
      <c r="C36" s="202">
        <v>1.4000239804132101E-2</v>
      </c>
      <c r="D36" s="202">
        <v>0.23363054198875899</v>
      </c>
      <c r="E36" s="202">
        <v>1.8017934528891302E-2</v>
      </c>
      <c r="G36" s="13">
        <f t="shared" si="0"/>
        <v>7.105886615065464E-2</v>
      </c>
    </row>
    <row r="37" spans="1:7">
      <c r="A37" s="201" t="s">
        <v>527</v>
      </c>
      <c r="B37" s="202">
        <v>-0.124212968736785</v>
      </c>
      <c r="C37" s="202">
        <v>-2.15980754763575E-2</v>
      </c>
      <c r="D37" s="202">
        <v>-3.59933320455696E-2</v>
      </c>
      <c r="E37" s="202">
        <v>-7.1779765325261702E-2</v>
      </c>
      <c r="G37" s="13">
        <f t="shared" si="0"/>
        <v>-6.0279763753218606E-2</v>
      </c>
    </row>
    <row r="38" spans="1:7">
      <c r="A38" s="201" t="s">
        <v>528</v>
      </c>
      <c r="B38" s="202">
        <v>0.130519113189659</v>
      </c>
      <c r="C38" s="202">
        <v>0.103013204063035</v>
      </c>
      <c r="D38" s="202">
        <v>5.7558316016280399E-2</v>
      </c>
      <c r="E38" s="202">
        <v>0.113358624413162</v>
      </c>
      <c r="G38" s="13">
        <f t="shared" si="0"/>
        <v>0.10320854122668399</v>
      </c>
    </row>
    <row r="39" spans="1:7">
      <c r="A39" s="201" t="s">
        <v>529</v>
      </c>
      <c r="B39" s="202">
        <v>7.6394545932954194E-2</v>
      </c>
      <c r="C39" s="202">
        <v>4.3026077353929097E-2</v>
      </c>
      <c r="D39" s="202">
        <v>3.0475873400542301E-2</v>
      </c>
      <c r="E39" s="202">
        <v>-4.7618313561493099E-3</v>
      </c>
      <c r="G39" s="13">
        <f t="shared" si="0"/>
        <v>4.5747786265951419E-2</v>
      </c>
    </row>
    <row r="40" spans="1:7">
      <c r="A40" s="201" t="s">
        <v>530</v>
      </c>
      <c r="B40" s="202">
        <v>-1.6461184885826499E-2</v>
      </c>
      <c r="C40" s="202">
        <v>7.1770474964687206E-2</v>
      </c>
      <c r="D40" s="202">
        <v>-4.02070050875405E-2</v>
      </c>
      <c r="E40" s="202">
        <v>-0.21052628182244601</v>
      </c>
      <c r="G40" s="13">
        <f t="shared" si="0"/>
        <v>-5.3241946796257836E-3</v>
      </c>
    </row>
    <row r="41" spans="1:7">
      <c r="A41" s="201" t="s">
        <v>531</v>
      </c>
      <c r="B41" s="202">
        <v>7.2961525913540798E-2</v>
      </c>
      <c r="C41" s="202">
        <v>-2.2560953672651301E-2</v>
      </c>
      <c r="D41" s="202">
        <v>-5.0560965915737298E-2</v>
      </c>
      <c r="E41" s="202">
        <v>8.4807694710703804E-2</v>
      </c>
      <c r="G41" s="13">
        <f t="shared" si="0"/>
        <v>1.1232652592924644E-2</v>
      </c>
    </row>
    <row r="42" spans="1:7">
      <c r="A42" s="201" t="s">
        <v>275</v>
      </c>
      <c r="B42" s="202">
        <v>0.110684500124604</v>
      </c>
      <c r="C42" s="202">
        <v>3.3478529838269697E-2</v>
      </c>
      <c r="D42" s="202">
        <v>-3.06933495504657E-3</v>
      </c>
      <c r="E42" s="202">
        <v>0.116331055737003</v>
      </c>
      <c r="G42" s="13">
        <f t="shared" si="0"/>
        <v>5.7616000555380076E-2</v>
      </c>
    </row>
    <row r="43" spans="1:7">
      <c r="A43" s="201" t="s">
        <v>276</v>
      </c>
      <c r="B43" s="202">
        <v>7.7554248325560904E-2</v>
      </c>
      <c r="C43" s="202">
        <v>9.0874909554722206E-3</v>
      </c>
      <c r="D43" s="202">
        <v>0.16671800337652501</v>
      </c>
      <c r="E43" s="202">
        <v>0.12925872526555199</v>
      </c>
      <c r="G43" s="13">
        <f t="shared" si="0"/>
        <v>7.3170744081717365E-2</v>
      </c>
    </row>
    <row r="44" spans="1:7">
      <c r="A44" s="201" t="s">
        <v>277</v>
      </c>
      <c r="B44" s="202">
        <v>9.8783686831878006E-2</v>
      </c>
      <c r="C44" s="202">
        <v>-1.9645786681929601E-2</v>
      </c>
      <c r="D44" s="202">
        <v>-4.0133835825286297E-2</v>
      </c>
      <c r="E44" s="202">
        <v>-8.8627114889550003E-3</v>
      </c>
      <c r="G44" s="13">
        <f t="shared" si="0"/>
        <v>1.2863753062838799E-2</v>
      </c>
    </row>
    <row r="45" spans="1:7">
      <c r="A45" s="201" t="s">
        <v>532</v>
      </c>
      <c r="B45" s="202">
        <v>5.4009854880235499E-2</v>
      </c>
      <c r="C45" s="202">
        <v>3.9466388891509399E-2</v>
      </c>
      <c r="D45" s="202">
        <v>-4.3697760567315003E-2</v>
      </c>
      <c r="E45" s="202">
        <v>0.11559146409024899</v>
      </c>
      <c r="G45" s="13">
        <f t="shared" si="0"/>
        <v>3.4809106316236314E-2</v>
      </c>
    </row>
    <row r="46" spans="1:7">
      <c r="A46" s="201" t="s">
        <v>533</v>
      </c>
      <c r="B46" s="202">
        <v>-0.11470141556911601</v>
      </c>
      <c r="C46" s="202">
        <v>-7.78581860668906E-2</v>
      </c>
      <c r="D46" s="202">
        <v>-0.14937456725760101</v>
      </c>
      <c r="E46" s="202">
        <v>-0.12610438845279801</v>
      </c>
      <c r="G46" s="13">
        <f t="shared" si="0"/>
        <v>-0.10803905139429104</v>
      </c>
    </row>
    <row r="47" spans="1:7">
      <c r="A47" s="201" t="s">
        <v>534</v>
      </c>
      <c r="B47" s="202">
        <v>-6.9761487127212904E-2</v>
      </c>
      <c r="C47" s="202">
        <v>1.4192371553624201E-2</v>
      </c>
      <c r="D47" s="202">
        <v>-0.17892055060558101</v>
      </c>
      <c r="E47" s="202">
        <v>-0.269495916246487</v>
      </c>
      <c r="G47" s="13">
        <f t="shared" si="0"/>
        <v>-7.7985199262479113E-2</v>
      </c>
    </row>
    <row r="48" spans="1:7">
      <c r="A48" s="201" t="s">
        <v>535</v>
      </c>
      <c r="B48" s="202">
        <v>0.155373768458485</v>
      </c>
      <c r="C48" s="202">
        <v>6.5100971341629302E-2</v>
      </c>
      <c r="D48" s="202">
        <v>0.119565250871634</v>
      </c>
      <c r="E48" s="202">
        <v>-0.14357681202622499</v>
      </c>
      <c r="G48" s="13">
        <f t="shared" si="0"/>
        <v>8.2207888045901512E-2</v>
      </c>
    </row>
    <row r="49" spans="1:7">
      <c r="A49" s="201" t="s">
        <v>536</v>
      </c>
      <c r="B49" s="202">
        <v>8.5094130176433094E-2</v>
      </c>
      <c r="C49" s="202">
        <v>1.8052802809223799E-2</v>
      </c>
      <c r="D49" s="202">
        <v>8.4604728587908795E-2</v>
      </c>
      <c r="E49" s="202">
        <v>-3.3823586851549903E-2</v>
      </c>
      <c r="G49" s="13">
        <f t="shared" si="0"/>
        <v>4.6287947209046221E-2</v>
      </c>
    </row>
    <row r="50" spans="1:7">
      <c r="A50" s="201" t="s">
        <v>537</v>
      </c>
      <c r="B50" s="202">
        <v>0.14738619907365999</v>
      </c>
      <c r="C50" s="202">
        <v>-1.7051981586522099E-2</v>
      </c>
      <c r="D50" s="202">
        <v>-4.9360620331548803E-2</v>
      </c>
      <c r="E50" s="202">
        <v>4.1132457349578003E-2</v>
      </c>
      <c r="G50" s="13">
        <f t="shared" si="0"/>
        <v>3.1636188756137204E-2</v>
      </c>
    </row>
    <row r="51" spans="1:7">
      <c r="A51" s="201" t="s">
        <v>538</v>
      </c>
      <c r="B51" s="202">
        <v>0.165131706757632</v>
      </c>
      <c r="C51" s="202">
        <v>7.5921685053586693E-2</v>
      </c>
      <c r="D51" s="202">
        <v>4.8695186092293397E-2</v>
      </c>
      <c r="E51" s="202">
        <v>-0.111273894487302</v>
      </c>
      <c r="G51" s="13">
        <f t="shared" si="0"/>
        <v>7.8519833818452761E-2</v>
      </c>
    </row>
    <row r="52" spans="1:7">
      <c r="A52" s="201" t="s">
        <v>539</v>
      </c>
      <c r="B52" s="202">
        <v>0.21656943435350701</v>
      </c>
      <c r="C52" s="202">
        <v>6.79814010963945E-2</v>
      </c>
      <c r="D52" s="202">
        <v>0.12767224528887799</v>
      </c>
      <c r="E52" s="202">
        <v>4.4481166954133997E-2</v>
      </c>
      <c r="G52" s="13">
        <f t="shared" si="0"/>
        <v>0.12214595649779891</v>
      </c>
    </row>
    <row r="53" spans="1:7">
      <c r="A53" s="201" t="s">
        <v>540</v>
      </c>
      <c r="B53" s="202">
        <v>-0.102526385179405</v>
      </c>
      <c r="C53" s="202">
        <v>2.1112535584511299E-2</v>
      </c>
      <c r="D53" s="202">
        <v>-5.9073281069057099E-2</v>
      </c>
      <c r="E53" s="202">
        <v>-1.5725990952103201E-2</v>
      </c>
      <c r="G53" s="13">
        <f t="shared" si="0"/>
        <v>-3.5700156629038721E-2</v>
      </c>
    </row>
    <row r="54" spans="1:7">
      <c r="A54" s="201" t="s">
        <v>278</v>
      </c>
      <c r="B54" s="202">
        <v>-6.0012111987417002E-2</v>
      </c>
      <c r="C54" s="202">
        <v>9.3161355671388998E-3</v>
      </c>
      <c r="D54" s="202">
        <v>-2.2807880313444599E-2</v>
      </c>
      <c r="E54" s="202">
        <v>0.19101119796129601</v>
      </c>
      <c r="G54" s="13">
        <f t="shared" si="0"/>
        <v>2.6236436407115621E-4</v>
      </c>
    </row>
    <row r="55" spans="1:7">
      <c r="A55" s="201" t="s">
        <v>279</v>
      </c>
      <c r="B55" s="202">
        <v>9.5493221871386896E-2</v>
      </c>
      <c r="C55" s="202">
        <v>9.5492502616044694E-2</v>
      </c>
      <c r="D55" s="202">
        <v>0.220700985623389</v>
      </c>
      <c r="E55" s="202">
        <v>0.37196780108279498</v>
      </c>
      <c r="G55" s="13">
        <f t="shared" si="0"/>
        <v>0.14818194484079128</v>
      </c>
    </row>
    <row r="56" spans="1:7">
      <c r="A56" s="201" t="s">
        <v>280</v>
      </c>
      <c r="B56" s="202">
        <v>0.114573703379239</v>
      </c>
      <c r="C56" s="202">
        <v>-1.3070738112839301E-2</v>
      </c>
      <c r="D56" s="202">
        <v>0.224106475238152</v>
      </c>
      <c r="E56" s="202">
        <v>6.1879676588078698E-2</v>
      </c>
      <c r="G56" s="13">
        <f t="shared" si="0"/>
        <v>8.0153078475074246E-2</v>
      </c>
    </row>
    <row r="57" spans="1:7">
      <c r="A57" s="201" t="s">
        <v>541</v>
      </c>
      <c r="B57" s="202">
        <v>-5.5014693523658198E-3</v>
      </c>
      <c r="C57" s="202">
        <v>-6.4626569574508103E-2</v>
      </c>
      <c r="D57" s="202">
        <v>-7.1807015303930993E-2</v>
      </c>
      <c r="E57" s="202">
        <v>-1.11109930020373E-2</v>
      </c>
      <c r="G57" s="13">
        <f t="shared" si="0"/>
        <v>-4.2973570996502918E-2</v>
      </c>
    </row>
    <row r="58" spans="1:7">
      <c r="A58" s="201" t="s">
        <v>542</v>
      </c>
      <c r="B58" s="202">
        <v>-7.9712022321922094E-2</v>
      </c>
      <c r="C58" s="202">
        <v>-5.8951938926356098E-2</v>
      </c>
      <c r="D58" s="202">
        <v>0.124100584791713</v>
      </c>
      <c r="E58" s="202">
        <v>0.17415722285204799</v>
      </c>
      <c r="G58" s="13">
        <f t="shared" si="0"/>
        <v>-5.258543023571649E-3</v>
      </c>
    </row>
    <row r="59" spans="1:7">
      <c r="A59" s="201" t="s">
        <v>543</v>
      </c>
      <c r="B59" s="202">
        <v>7.33948380004031E-3</v>
      </c>
      <c r="C59" s="202">
        <v>6.4894401088011505E-2</v>
      </c>
      <c r="D59" s="202">
        <v>-2.3910226270640898E-2</v>
      </c>
      <c r="E59" s="202">
        <v>4.7821508196961397E-2</v>
      </c>
      <c r="G59" s="13">
        <f t="shared" si="0"/>
        <v>2.8159711140784662E-2</v>
      </c>
    </row>
    <row r="60" spans="1:7">
      <c r="A60" s="201" t="s">
        <v>544</v>
      </c>
      <c r="B60" s="202">
        <v>7.6217867876094303E-2</v>
      </c>
      <c r="C60" s="202">
        <v>5.7895502827861899E-2</v>
      </c>
      <c r="D60" s="202">
        <v>8.1291998984842299E-3</v>
      </c>
      <c r="E60" s="202">
        <v>-7.6165205322783602E-4</v>
      </c>
      <c r="G60" s="13">
        <f t="shared" si="0"/>
        <v>4.7573236268347113E-2</v>
      </c>
    </row>
    <row r="61" spans="1:7">
      <c r="A61" s="201" t="s">
        <v>545</v>
      </c>
      <c r="B61" s="202">
        <v>-5.0497112485784201E-2</v>
      </c>
      <c r="C61" s="202">
        <v>1.6608928543756198E-2</v>
      </c>
      <c r="D61" s="202">
        <v>-3.9619450632749201E-2</v>
      </c>
      <c r="E61" s="202">
        <v>7.1646367787835702E-2</v>
      </c>
      <c r="G61" s="13">
        <f t="shared" si="0"/>
        <v>-9.2648156759990441E-3</v>
      </c>
    </row>
    <row r="62" spans="1:7">
      <c r="A62" s="201" t="s">
        <v>546</v>
      </c>
      <c r="B62" s="202">
        <v>9.9109263617794402E-2</v>
      </c>
      <c r="C62" s="202">
        <v>4.5998859671114299E-2</v>
      </c>
      <c r="D62" s="202">
        <v>-1.61208492718572E-2</v>
      </c>
      <c r="E62" s="202">
        <v>-4.1945700554474302E-2</v>
      </c>
      <c r="G62" s="13">
        <f t="shared" si="0"/>
        <v>4.0713583043965169E-2</v>
      </c>
    </row>
    <row r="63" spans="1:7">
      <c r="A63" s="201" t="s">
        <v>547</v>
      </c>
      <c r="B63" s="202">
        <v>6.4982466865385197E-2</v>
      </c>
      <c r="C63" s="202">
        <v>8.8092484993528494E-2</v>
      </c>
      <c r="D63" s="202">
        <v>1.42231321569791E-3</v>
      </c>
      <c r="E63" s="202">
        <v>-3.7890060763510001E-2</v>
      </c>
      <c r="G63" s="13">
        <f t="shared" si="0"/>
        <v>5.1227190623815533E-2</v>
      </c>
    </row>
    <row r="64" spans="1:7">
      <c r="A64" s="201" t="s">
        <v>548</v>
      </c>
      <c r="B64" s="202">
        <v>4.2489223629632603E-2</v>
      </c>
      <c r="C64" s="202">
        <v>5.9969237119459597E-2</v>
      </c>
      <c r="D64" s="202">
        <v>2.9996583633323699E-2</v>
      </c>
      <c r="E64" s="202">
        <v>1.7471072105045501E-2</v>
      </c>
      <c r="G64" s="13">
        <f t="shared" si="0"/>
        <v>4.4480885873842912E-2</v>
      </c>
    </row>
    <row r="65" spans="1:7">
      <c r="A65" s="201" t="s">
        <v>549</v>
      </c>
      <c r="B65" s="202">
        <v>-6.8036609609392604E-2</v>
      </c>
      <c r="C65" s="202">
        <v>-1.34799505176412E-2</v>
      </c>
      <c r="D65" s="202">
        <v>-6.6905706997421294E-2</v>
      </c>
      <c r="E65" s="202">
        <v>-2.1818485782456602E-2</v>
      </c>
      <c r="G65" s="13">
        <f t="shared" si="0"/>
        <v>-4.1365953067604183E-2</v>
      </c>
    </row>
    <row r="66" spans="1:7">
      <c r="A66" s="201" t="s">
        <v>281</v>
      </c>
      <c r="B66" s="202">
        <v>5.86572494711586E-2</v>
      </c>
      <c r="C66" s="202">
        <v>9.5660851631581695E-2</v>
      </c>
      <c r="D66" s="202">
        <v>-5.9106724483560299E-4</v>
      </c>
      <c r="E66" s="202">
        <v>1.7858913677741999E-2</v>
      </c>
      <c r="G66" s="13">
        <f t="shared" si="0"/>
        <v>5.7529193412787345E-2</v>
      </c>
    </row>
    <row r="67" spans="1:7">
      <c r="A67" s="201" t="s">
        <v>282</v>
      </c>
      <c r="B67" s="202">
        <v>0.105081838416622</v>
      </c>
      <c r="C67" s="202">
        <v>9.7326718735154499E-2</v>
      </c>
      <c r="D67" s="202">
        <v>-0.14295861111181299</v>
      </c>
      <c r="E67" s="202">
        <v>-9.4211918072426695E-2</v>
      </c>
      <c r="G67" s="13">
        <f t="shared" si="0"/>
        <v>3.2442324989443126E-2</v>
      </c>
    </row>
    <row r="68" spans="1:7">
      <c r="A68" s="201" t="s">
        <v>283</v>
      </c>
      <c r="B68" s="202">
        <v>7.8039861481089795E-2</v>
      </c>
      <c r="C68" s="202">
        <v>4.5478107687502503E-2</v>
      </c>
      <c r="D68" s="202">
        <v>7.6121457859940497E-2</v>
      </c>
      <c r="E68" s="202">
        <v>-2.1800475367568998E-3</v>
      </c>
      <c r="G68" s="13">
        <f t="shared" si="0"/>
        <v>5.6609488337640339E-2</v>
      </c>
    </row>
  </sheetData>
  <mergeCells count="2">
    <mergeCell ref="B3:E3"/>
    <mergeCell ref="B7:E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L49"/>
  <sheetViews>
    <sheetView zoomScaleNormal="100" workbookViewId="0">
      <selection activeCell="I11" sqref="I11"/>
    </sheetView>
  </sheetViews>
  <sheetFormatPr defaultColWidth="9.140625" defaultRowHeight="15"/>
  <cols>
    <col min="1" max="1" width="9.140625" style="19" customWidth="1"/>
    <col min="2" max="5" width="9.5703125" style="19" bestFit="1" customWidth="1"/>
    <col min="6" max="6" width="9.140625" style="19" customWidth="1"/>
    <col min="7" max="7" width="11.85546875" style="19" bestFit="1" customWidth="1"/>
    <col min="8" max="8" width="9.140625" style="19" customWidth="1"/>
    <col min="9" max="9" width="11.5703125" style="19" customWidth="1"/>
    <col min="10" max="15" width="9.140625" style="19" customWidth="1"/>
    <col min="16" max="16384" width="9.140625" style="19"/>
  </cols>
  <sheetData>
    <row r="1" spans="1:12" ht="21">
      <c r="A1" s="194" t="s">
        <v>628</v>
      </c>
      <c r="B1" s="194"/>
      <c r="C1" s="194"/>
      <c r="D1" s="194"/>
      <c r="E1" s="194"/>
      <c r="F1" s="194"/>
      <c r="G1" s="199"/>
      <c r="H1" s="199"/>
    </row>
    <row r="3" spans="1:12">
      <c r="A3" s="205" t="s">
        <v>135</v>
      </c>
      <c r="B3" s="206"/>
      <c r="C3" s="207"/>
      <c r="D3" s="207"/>
      <c r="J3" s="29"/>
      <c r="K3" s="29"/>
      <c r="L3" s="29"/>
    </row>
    <row r="4" spans="1:12">
      <c r="A4" s="207"/>
      <c r="B4" s="208" t="s">
        <v>307</v>
      </c>
      <c r="C4" s="208" t="s">
        <v>308</v>
      </c>
      <c r="D4" s="208" t="s">
        <v>309</v>
      </c>
    </row>
    <row r="5" spans="1:12">
      <c r="A5" s="208" t="s">
        <v>307</v>
      </c>
      <c r="B5" s="211">
        <v>0.04</v>
      </c>
      <c r="C5" s="211">
        <v>-0.02</v>
      </c>
      <c r="D5" s="211">
        <v>2.5000000000000001E-2</v>
      </c>
      <c r="I5" s="30"/>
    </row>
    <row r="6" spans="1:12">
      <c r="A6" s="208" t="s">
        <v>308</v>
      </c>
      <c r="B6" s="211">
        <v>-0.02</v>
      </c>
      <c r="C6" s="211">
        <v>0.09</v>
      </c>
      <c r="D6" s="211">
        <v>0.04</v>
      </c>
      <c r="I6" s="30"/>
    </row>
    <row r="7" spans="1:12">
      <c r="A7" s="208" t="s">
        <v>309</v>
      </c>
      <c r="B7" s="211">
        <v>2.5000000000000001E-2</v>
      </c>
      <c r="C7" s="211">
        <v>0.04</v>
      </c>
      <c r="D7" s="211">
        <v>0.25</v>
      </c>
      <c r="I7" s="30"/>
    </row>
    <row r="8" spans="1:12">
      <c r="A8" s="31"/>
      <c r="B8" s="32"/>
      <c r="C8" s="32"/>
      <c r="D8" s="32"/>
      <c r="I8" s="30"/>
    </row>
    <row r="9" spans="1:12">
      <c r="A9" s="207"/>
      <c r="B9" s="208" t="s">
        <v>307</v>
      </c>
      <c r="C9" s="208" t="s">
        <v>308</v>
      </c>
      <c r="D9" s="208" t="s">
        <v>309</v>
      </c>
      <c r="E9" s="205" t="s">
        <v>136</v>
      </c>
      <c r="I9" s="30"/>
    </row>
    <row r="10" spans="1:12">
      <c r="A10" s="209" t="s">
        <v>13</v>
      </c>
      <c r="B10" s="210">
        <v>0.12</v>
      </c>
      <c r="C10" s="210">
        <v>0.06</v>
      </c>
      <c r="D10" s="210">
        <v>0.08</v>
      </c>
      <c r="E10" s="210">
        <v>0.05</v>
      </c>
      <c r="I10" s="30"/>
    </row>
    <row r="11" spans="1:12">
      <c r="I11" s="30"/>
    </row>
    <row r="12" spans="1:12">
      <c r="I12" s="30"/>
    </row>
    <row r="13" spans="1:12" ht="21" customHeight="1">
      <c r="A13" s="33" t="s">
        <v>137</v>
      </c>
      <c r="B13" s="34"/>
      <c r="I13" s="30"/>
    </row>
    <row r="14" spans="1:12" ht="21" customHeight="1">
      <c r="A14" s="33"/>
      <c r="B14" s="298" t="s">
        <v>6</v>
      </c>
      <c r="C14" s="298"/>
      <c r="D14" s="298"/>
      <c r="I14" s="30"/>
    </row>
    <row r="15" spans="1:12" ht="15.75" customHeight="1">
      <c r="A15" s="35" t="s">
        <v>17</v>
      </c>
      <c r="B15" s="208" t="s">
        <v>307</v>
      </c>
      <c r="C15" s="208" t="s">
        <v>308</v>
      </c>
      <c r="D15" s="208" t="s">
        <v>309</v>
      </c>
      <c r="E15" s="35" t="s">
        <v>13</v>
      </c>
      <c r="F15" s="35" t="s">
        <v>622</v>
      </c>
      <c r="I15" s="30"/>
    </row>
    <row r="16" spans="1:12">
      <c r="A16" s="19">
        <v>1</v>
      </c>
      <c r="B16" s="46">
        <v>2.5728933999999999</v>
      </c>
      <c r="C16" s="46">
        <v>-0.42131229999999997</v>
      </c>
      <c r="D16" s="46">
        <f t="shared" ref="D16:D25" si="0">1-SUM(B16:C16)</f>
        <v>-1.1515811</v>
      </c>
      <c r="E16" s="46">
        <f t="shared" ref="E16:E25" si="1">SUMPRODUCT(B16:D16,$B$10:$D$10)</f>
        <v>0.19134198199999997</v>
      </c>
      <c r="F16" s="46" cm="1">
        <f t="array" ref="F16">SQRT(MMULT(MMULT(B16:D16,$B$5:$D$7),TRANSPOSE(B16:D16)))</f>
        <v>0.739141568073721</v>
      </c>
      <c r="I16" s="30"/>
    </row>
    <row r="17" spans="1:9">
      <c r="A17" s="19">
        <v>2</v>
      </c>
      <c r="B17" s="46">
        <v>0.4</v>
      </c>
      <c r="C17" s="46">
        <v>-0.25</v>
      </c>
      <c r="D17" s="46">
        <f t="shared" si="0"/>
        <v>0.85</v>
      </c>
      <c r="E17" s="46">
        <f t="shared" si="1"/>
        <v>0.10100000000000001</v>
      </c>
      <c r="F17" s="46" cm="1">
        <f t="array" ref="F17">SQRT(MMULT(MMULT(B17:D17,$B$5:$D$7),TRANSPOSE(B17:D17)))</f>
        <v>0.44345236497283447</v>
      </c>
      <c r="I17" s="30"/>
    </row>
    <row r="18" spans="1:9">
      <c r="A18" s="19">
        <v>3</v>
      </c>
      <c r="B18" s="46">
        <v>3.546460902725812E-2</v>
      </c>
      <c r="C18" s="46">
        <v>-0.39973429011297412</v>
      </c>
      <c r="D18" s="46">
        <f t="shared" si="0"/>
        <v>1.364269681085716</v>
      </c>
      <c r="E18" s="46">
        <f t="shared" si="1"/>
        <v>8.9413270163349809E-2</v>
      </c>
      <c r="F18" s="46" cm="1">
        <f t="array" ref="F18">SQRT(MMULT(MMULT(B18:D18,$B$5:$D$7),TRANSPOSE(B18:D18)))</f>
        <v>0.66264448765538042</v>
      </c>
    </row>
    <row r="19" spans="1:9">
      <c r="A19" s="19">
        <v>4</v>
      </c>
      <c r="B19" s="46">
        <v>-2.0360130292829131</v>
      </c>
      <c r="C19" s="46">
        <v>-0.19176468413206749</v>
      </c>
      <c r="D19" s="46">
        <f t="shared" si="0"/>
        <v>3.2277777134149805</v>
      </c>
      <c r="E19" s="46">
        <f t="shared" si="1"/>
        <v>2.3947725113248053E-3</v>
      </c>
      <c r="F19" s="46" cm="1">
        <f t="array" ref="F19">SQRT(MMULT(MMULT(B19:D19,$B$5:$D$7),TRANSPOSE(B19:D19)))</f>
        <v>1.5427364145472933</v>
      </c>
    </row>
    <row r="20" spans="1:9">
      <c r="A20" s="19">
        <v>5</v>
      </c>
      <c r="B20" s="46">
        <v>0.29088141673128121</v>
      </c>
      <c r="C20" s="46">
        <v>-0.64555024437140673</v>
      </c>
      <c r="D20" s="46">
        <f t="shared" si="0"/>
        <v>1.3546688276401255</v>
      </c>
      <c r="E20" s="46">
        <f t="shared" si="1"/>
        <v>0.10454626155667938</v>
      </c>
      <c r="F20" s="46" cm="1">
        <f t="array" ref="F20">SQRT(MMULT(MMULT(B20:D20,$B$5:$D$7),TRANSPOSE(B20:D20)))</f>
        <v>0.67596268200772736</v>
      </c>
    </row>
    <row r="21" spans="1:9">
      <c r="A21" s="19">
        <v>6</v>
      </c>
      <c r="B21" s="46">
        <v>1.471867108193692</v>
      </c>
      <c r="C21" s="46">
        <v>1.0130315786227579</v>
      </c>
      <c r="D21" s="46">
        <f t="shared" si="0"/>
        <v>-1.4848986868164502</v>
      </c>
      <c r="E21" s="46">
        <f t="shared" si="1"/>
        <v>0.11861405275529251</v>
      </c>
      <c r="F21" s="46" cm="1">
        <f t="array" ref="F21">SQRT(MMULT(MMULT(B21:D21,$B$5:$D$7),TRANSPOSE(B21:D21)))</f>
        <v>0.66406865229031209</v>
      </c>
    </row>
    <row r="22" spans="1:9">
      <c r="A22" s="19">
        <v>7</v>
      </c>
      <c r="B22" s="46">
        <v>0.26266434360877611</v>
      </c>
      <c r="C22" s="46">
        <v>-7.1241856858250685E-2</v>
      </c>
      <c r="D22" s="46">
        <f t="shared" si="0"/>
        <v>0.80857751324947458</v>
      </c>
      <c r="E22" s="46">
        <f t="shared" si="1"/>
        <v>9.193141088151606E-2</v>
      </c>
      <c r="F22" s="46" cm="1">
        <f t="array" ref="F22">SQRT(MMULT(MMULT(B22:D22,$B$5:$D$7),TRANSPOSE(B22:D22)))</f>
        <v>0.41644357848256097</v>
      </c>
    </row>
    <row r="23" spans="1:9">
      <c r="A23" s="19">
        <v>8</v>
      </c>
      <c r="B23" s="46">
        <v>1.732792043185327</v>
      </c>
      <c r="C23" s="46">
        <v>-1.059088390320539</v>
      </c>
      <c r="D23" s="46">
        <f t="shared" si="0"/>
        <v>0.32629634713521205</v>
      </c>
      <c r="E23" s="46">
        <f t="shared" si="1"/>
        <v>0.17049344953382387</v>
      </c>
      <c r="F23" s="46" cm="1">
        <f t="array" ref="F23">SQRT(MMULT(MMULT(B23:D23,$B$5:$D$7),TRANSPOSE(B23:D23)))</f>
        <v>0.56718731129149758</v>
      </c>
    </row>
    <row r="24" spans="1:9">
      <c r="A24" s="19">
        <v>9</v>
      </c>
      <c r="B24" s="46">
        <v>-0.28745262170559732</v>
      </c>
      <c r="C24" s="46">
        <v>7.9758137871976942E-2</v>
      </c>
      <c r="D24" s="46">
        <f t="shared" si="0"/>
        <v>1.2076944838336203</v>
      </c>
      <c r="E24" s="46">
        <f t="shared" si="1"/>
        <v>6.6906732374336558E-2</v>
      </c>
      <c r="F24" s="46" cm="1">
        <f t="array" ref="F24">SQRT(MMULT(MMULT(B24:D24,$B$5:$D$7),TRANSPOSE(B24:D24)))</f>
        <v>0.59981194687589567</v>
      </c>
    </row>
    <row r="25" spans="1:9">
      <c r="A25" s="19">
        <v>10</v>
      </c>
      <c r="B25" s="46">
        <v>-0.99932549346704036</v>
      </c>
      <c r="C25" s="46">
        <v>0.16766307453508489</v>
      </c>
      <c r="D25" s="46">
        <f t="shared" si="0"/>
        <v>1.8316624189319555</v>
      </c>
      <c r="E25" s="46">
        <f t="shared" si="1"/>
        <v>3.6673718770616703E-2</v>
      </c>
      <c r="F25" s="46" cm="1">
        <f t="array" ref="F25">SQRT(MMULT(MMULT(B25:D25,$B$5:$D$7),TRANSPOSE(B25:D25)))</f>
        <v>0.90607486863193609</v>
      </c>
    </row>
    <row r="28" spans="1:9" ht="21" customHeight="1">
      <c r="A28" s="33" t="s">
        <v>138</v>
      </c>
    </row>
    <row r="29" spans="1:9" ht="15.75" customHeight="1">
      <c r="A29" s="35" t="s">
        <v>17</v>
      </c>
      <c r="B29" s="101" t="s">
        <v>307</v>
      </c>
      <c r="C29" s="101" t="s">
        <v>308</v>
      </c>
      <c r="D29" s="101" t="s">
        <v>309</v>
      </c>
      <c r="E29" s="35" t="s">
        <v>13</v>
      </c>
      <c r="F29" s="35" t="s">
        <v>622</v>
      </c>
      <c r="G29" s="35" t="s">
        <v>139</v>
      </c>
    </row>
    <row r="30" spans="1:9">
      <c r="A30" s="19">
        <v>1</v>
      </c>
      <c r="B30" s="46">
        <v>-0.4619855452814487</v>
      </c>
      <c r="C30" s="46">
        <v>1.3260289059247001</v>
      </c>
      <c r="D30" s="46">
        <f t="shared" ref="D30:D39" si="2">1-SUM(B30:C30)</f>
        <v>0.13595663935674862</v>
      </c>
      <c r="E30" s="46">
        <f t="shared" ref="E30:E39" si="3">SUMPRODUCT(B30:D30,$B$10:$D$10)</f>
        <v>3.5000000070248047E-2</v>
      </c>
      <c r="F30" s="46">
        <f t="shared" ref="F30:F39" si="4">SQRT(SUMPRODUCT(MMULT(B30:D30,$B$5:$D$7),B30:D30))</f>
        <v>0.45518826778249344</v>
      </c>
      <c r="G30" s="102">
        <v>3.5000000000000003E-2</v>
      </c>
    </row>
    <row r="31" spans="1:9">
      <c r="A31" s="19">
        <v>2</v>
      </c>
      <c r="B31" s="46">
        <v>-0.10889236139351498</v>
      </c>
      <c r="C31" s="46">
        <v>1.0322152834882898</v>
      </c>
      <c r="D31" s="46">
        <f t="shared" si="2"/>
        <v>7.6677077905225155E-2</v>
      </c>
      <c r="E31" s="46">
        <f t="shared" si="3"/>
        <v>5.4999999874493603E-2</v>
      </c>
      <c r="F31" s="46">
        <f t="shared" si="4"/>
        <v>0.3290085375425929</v>
      </c>
      <c r="G31" s="102">
        <f>G30+0.02</f>
        <v>5.5000000000000007E-2</v>
      </c>
    </row>
    <row r="32" spans="1:9">
      <c r="A32" s="19">
        <v>3</v>
      </c>
      <c r="B32" s="46">
        <v>0.24420169691658586</v>
      </c>
      <c r="C32" s="46">
        <v>0.73839990058096505</v>
      </c>
      <c r="D32" s="46">
        <f t="shared" si="2"/>
        <v>1.7398402502449062E-2</v>
      </c>
      <c r="E32" s="46">
        <f t="shared" si="3"/>
        <v>7.5000069865044136E-2</v>
      </c>
      <c r="F32" s="46">
        <f t="shared" si="4"/>
        <v>0.21344696286312323</v>
      </c>
      <c r="G32" s="102">
        <f>G31+0.02</f>
        <v>7.5000000000000011E-2</v>
      </c>
    </row>
    <row r="33" spans="1:7">
      <c r="A33" s="19">
        <v>4</v>
      </c>
      <c r="B33" s="46">
        <v>0.59729599160023428</v>
      </c>
      <c r="C33" s="46">
        <v>0.44459198415728723</v>
      </c>
      <c r="D33" s="46">
        <f t="shared" si="2"/>
        <v>-4.1887975757521456E-2</v>
      </c>
      <c r="E33" s="46">
        <f t="shared" si="3"/>
        <v>9.4999999980863614E-2</v>
      </c>
      <c r="F33" s="46">
        <f t="shared" si="4"/>
        <v>0.13833218187719806</v>
      </c>
      <c r="G33" s="102">
        <f>G32+0.02</f>
        <v>9.5000000000000015E-2</v>
      </c>
    </row>
    <row r="34" spans="1:7">
      <c r="A34" s="19">
        <v>5</v>
      </c>
      <c r="B34" s="46">
        <v>0.68557187421868826</v>
      </c>
      <c r="C34" s="46">
        <v>0.37114374843641595</v>
      </c>
      <c r="D34" s="46">
        <f t="shared" si="2"/>
        <v>-5.6715622655104214E-2</v>
      </c>
      <c r="E34" s="46">
        <f>SUMPRODUCT(B34:D34,$B$10:$D$10)</f>
        <v>0.10000000000001921</v>
      </c>
      <c r="F34" s="46">
        <f t="shared" si="4"/>
        <v>0.13489209144555622</v>
      </c>
      <c r="G34" s="102">
        <v>0.1</v>
      </c>
    </row>
    <row r="35" spans="1:7">
      <c r="A35" s="19">
        <v>6</v>
      </c>
      <c r="B35" s="46">
        <v>0.86211364270879642</v>
      </c>
      <c r="C35" s="46">
        <v>0.22422728541771322</v>
      </c>
      <c r="D35" s="46">
        <f t="shared" si="2"/>
        <v>-8.6340928126509731E-2</v>
      </c>
      <c r="E35" s="46">
        <f t="shared" si="3"/>
        <v>0.10999999999999759</v>
      </c>
      <c r="F35" s="46">
        <f t="shared" si="4"/>
        <v>0.15203728178199077</v>
      </c>
      <c r="G35" s="102">
        <v>0.11</v>
      </c>
    </row>
    <row r="36" spans="1:7">
      <c r="A36" s="19">
        <v>7</v>
      </c>
      <c r="B36" s="46">
        <v>1.3917544537454607</v>
      </c>
      <c r="C36" s="46">
        <v>-0.21649109250884283</v>
      </c>
      <c r="D36" s="46">
        <f t="shared" si="2"/>
        <v>-0.1752633612366179</v>
      </c>
      <c r="E36" s="46">
        <f t="shared" si="3"/>
        <v>0.13999999999999527</v>
      </c>
      <c r="F36" s="46">
        <f t="shared" si="4"/>
        <v>0.30375654930211271</v>
      </c>
      <c r="G36" s="102">
        <v>0.14000000000000001</v>
      </c>
    </row>
    <row r="37" spans="1:7">
      <c r="A37" s="19">
        <v>8</v>
      </c>
      <c r="B37" s="46">
        <v>1.7448453016545531</v>
      </c>
      <c r="C37" s="46">
        <v>-0.51030939669140152</v>
      </c>
      <c r="D37" s="46">
        <f t="shared" si="2"/>
        <v>-0.23453590496315169</v>
      </c>
      <c r="E37" s="46">
        <f t="shared" si="3"/>
        <v>0.16000000000001013</v>
      </c>
      <c r="F37" s="46">
        <f t="shared" si="4"/>
        <v>0.42860057583758548</v>
      </c>
      <c r="G37" s="102">
        <f>G36+0.02</f>
        <v>0.16</v>
      </c>
    </row>
    <row r="38" spans="1:7">
      <c r="A38" s="19">
        <v>9</v>
      </c>
      <c r="B38" s="46">
        <v>2.0979236210396461</v>
      </c>
      <c r="C38" s="46">
        <v>-0.8041527579200568</v>
      </c>
      <c r="D38" s="46">
        <f t="shared" si="2"/>
        <v>-0.29377086311958944</v>
      </c>
      <c r="E38" s="46">
        <f t="shared" si="3"/>
        <v>0.17999999999998698</v>
      </c>
      <c r="F38" s="46">
        <f t="shared" si="4"/>
        <v>0.55802486771327764</v>
      </c>
      <c r="G38" s="102">
        <f>G37+0.02</f>
        <v>0.18</v>
      </c>
    </row>
    <row r="39" spans="1:7">
      <c r="A39" s="19">
        <v>10</v>
      </c>
      <c r="B39" s="46">
        <v>3.6868560616660346</v>
      </c>
      <c r="C39" s="46">
        <v>-2.1262878766685409</v>
      </c>
      <c r="D39" s="46">
        <f t="shared" si="2"/>
        <v>-0.56056818499749372</v>
      </c>
      <c r="E39" s="46">
        <f t="shared" si="3"/>
        <v>0.27000000000001223</v>
      </c>
      <c r="F39" s="46">
        <f t="shared" si="4"/>
        <v>1.155320223828924</v>
      </c>
      <c r="G39" s="102">
        <v>0.27</v>
      </c>
    </row>
    <row r="41" spans="1:7">
      <c r="F41" s="212">
        <f>SUM(F30:F40)</f>
        <v>3.8686075399748545</v>
      </c>
    </row>
    <row r="43" spans="1:7" ht="21" customHeight="1">
      <c r="A43" s="33" t="s">
        <v>140</v>
      </c>
    </row>
    <row r="44" spans="1:7" ht="15.75" customHeight="1">
      <c r="A44" s="35" t="s">
        <v>17</v>
      </c>
      <c r="B44" s="101" t="s">
        <v>307</v>
      </c>
      <c r="C44" s="101" t="s">
        <v>308</v>
      </c>
      <c r="D44" s="101" t="s">
        <v>309</v>
      </c>
      <c r="E44" s="35" t="s">
        <v>13</v>
      </c>
      <c r="F44" s="35" t="s">
        <v>622</v>
      </c>
      <c r="G44" s="35" t="s">
        <v>141</v>
      </c>
    </row>
    <row r="45" spans="1:7">
      <c r="B45" s="102">
        <v>0.82093157870311761</v>
      </c>
      <c r="C45" s="102">
        <v>0.25849426766995171</v>
      </c>
      <c r="D45" s="102">
        <f>1-SUM(B45:C45)</f>
        <v>-7.9425846373069264E-2</v>
      </c>
      <c r="E45" s="102">
        <f>SUMPRODUCT(B45:D45,$B$10:$D$10)</f>
        <v>0.10766737779472568</v>
      </c>
      <c r="F45" s="102">
        <f>SQRT(SUMPRODUCT(MMULT(B45:D45,$B$5:$D$7),B45:D45))</f>
        <v>0.14545482006573032</v>
      </c>
      <c r="G45" s="102">
        <f>(E45-E10)/F45</f>
        <v>0.39646247383665989</v>
      </c>
    </row>
    <row r="47" spans="1:7">
      <c r="E47" s="19" t="s">
        <v>39</v>
      </c>
      <c r="F47" s="19" t="s">
        <v>40</v>
      </c>
    </row>
    <row r="48" spans="1:7">
      <c r="D48" s="19" t="s">
        <v>142</v>
      </c>
      <c r="E48" s="19">
        <f>0</f>
        <v>0</v>
      </c>
      <c r="F48" s="212">
        <f>E10</f>
        <v>0.05</v>
      </c>
    </row>
    <row r="49" spans="4:6">
      <c r="D49" s="19" t="s">
        <v>143</v>
      </c>
      <c r="E49" s="19">
        <v>0.65</v>
      </c>
      <c r="F49" s="212">
        <f>F48+G45*E49</f>
        <v>0.30770060799382892</v>
      </c>
    </row>
  </sheetData>
  <mergeCells count="1">
    <mergeCell ref="B14:D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Q54"/>
  <sheetViews>
    <sheetView showGridLines="0" workbookViewId="0">
      <pane ySplit="6" topLeftCell="A31" activePane="bottomLeft" state="frozen"/>
      <selection activeCell="N35" sqref="N35"/>
      <selection pane="bottomLeft" activeCell="F1" sqref="F1"/>
    </sheetView>
  </sheetViews>
  <sheetFormatPr defaultColWidth="9.140625" defaultRowHeight="15"/>
  <cols>
    <col min="1" max="1" width="8" customWidth="1"/>
    <col min="5" max="5" width="12" bestFit="1" customWidth="1"/>
    <col min="6" max="6" width="12.5703125" bestFit="1" customWidth="1"/>
    <col min="7" max="7" width="27.5703125" customWidth="1"/>
    <col min="8" max="8" width="12.5703125" bestFit="1" customWidth="1"/>
    <col min="9" max="9" width="21.42578125" customWidth="1"/>
    <col min="10" max="10" width="8" customWidth="1"/>
    <col min="12" max="12" width="8.42578125" customWidth="1"/>
    <col min="13" max="13" width="12.5703125" bestFit="1" customWidth="1"/>
    <col min="14" max="14" width="16" customWidth="1"/>
    <col min="15" max="15" width="10.140625" customWidth="1"/>
    <col min="16" max="16" width="14" customWidth="1"/>
    <col min="17" max="17" width="14.85546875" customWidth="1"/>
  </cols>
  <sheetData>
    <row r="1" spans="1:17" ht="21">
      <c r="A1" s="194" t="s">
        <v>629</v>
      </c>
      <c r="B1" s="194"/>
      <c r="C1" s="194"/>
      <c r="D1" s="194"/>
      <c r="E1" s="218"/>
      <c r="F1" s="218"/>
    </row>
    <row r="3" spans="1:17">
      <c r="A3" s="1" t="s">
        <v>49</v>
      </c>
      <c r="B3" s="118">
        <v>2E-3</v>
      </c>
      <c r="F3" s="301" t="s">
        <v>47</v>
      </c>
      <c r="G3" s="300"/>
      <c r="H3" s="300"/>
      <c r="I3" s="300"/>
      <c r="J3" s="1"/>
      <c r="N3" s="48" t="s">
        <v>357</v>
      </c>
      <c r="P3" s="1"/>
      <c r="Q3" s="1"/>
    </row>
    <row r="4" spans="1:17">
      <c r="A4" s="1"/>
      <c r="B4" s="299"/>
      <c r="C4" s="300"/>
      <c r="D4" s="300"/>
      <c r="E4" s="3"/>
      <c r="F4" s="49"/>
      <c r="G4" s="48" t="s">
        <v>352</v>
      </c>
      <c r="H4" s="47"/>
      <c r="I4" s="48" t="s">
        <v>352</v>
      </c>
      <c r="J4" s="1"/>
      <c r="N4" s="48" t="s">
        <v>354</v>
      </c>
      <c r="P4" s="1"/>
      <c r="Q4" s="1"/>
    </row>
    <row r="5" spans="1:17">
      <c r="B5" s="299" t="s">
        <v>48</v>
      </c>
      <c r="C5" s="300"/>
      <c r="D5" s="300"/>
      <c r="E5" s="3"/>
      <c r="F5" s="49"/>
      <c r="G5" s="48" t="s">
        <v>145</v>
      </c>
      <c r="H5" s="48"/>
      <c r="I5" s="48" t="s">
        <v>146</v>
      </c>
      <c r="J5" s="3"/>
      <c r="N5" s="48" t="s">
        <v>356</v>
      </c>
      <c r="P5" s="3"/>
      <c r="Q5" s="3"/>
    </row>
    <row r="6" spans="1:17" ht="23.25">
      <c r="B6" s="1" t="s">
        <v>17</v>
      </c>
      <c r="C6" s="1" t="s">
        <v>145</v>
      </c>
      <c r="D6" s="1" t="s">
        <v>146</v>
      </c>
      <c r="E6" s="1"/>
      <c r="F6" s="50" t="s">
        <v>147</v>
      </c>
      <c r="G6" s="122" t="s">
        <v>148</v>
      </c>
      <c r="H6" s="50" t="s">
        <v>146</v>
      </c>
      <c r="I6" s="122" t="s">
        <v>149</v>
      </c>
      <c r="J6" s="26"/>
      <c r="N6" s="121" t="s">
        <v>355</v>
      </c>
      <c r="P6" s="3"/>
      <c r="Q6" s="3"/>
    </row>
    <row r="7" spans="1:17">
      <c r="A7" t="s">
        <v>532</v>
      </c>
      <c r="B7" s="2">
        <v>1.52E-2</v>
      </c>
      <c r="C7" s="2">
        <v>5.1196760969389549E-2</v>
      </c>
      <c r="D7" s="2">
        <v>2.8553573927863316E-2</v>
      </c>
      <c r="E7" s="2"/>
      <c r="F7" s="2">
        <f t="shared" ref="F7:F42" si="0">C7-$B$3</f>
        <v>4.9196760969389547E-2</v>
      </c>
      <c r="G7" s="6">
        <f t="shared" ref="G7:G41" si="1">(1-$G$44)*B7+$G$44*C7 -$B$3</f>
        <v>1.32E-2</v>
      </c>
      <c r="H7" s="2">
        <f t="shared" ref="H7:H42" si="2">D7-$B$3</f>
        <v>2.6553573927863318E-2</v>
      </c>
      <c r="I7" s="6">
        <f>(1-$I$44)*B7+$I$44*D7 -$B$3</f>
        <v>1.32E-2</v>
      </c>
      <c r="J7" s="6"/>
      <c r="K7" s="2"/>
      <c r="L7" s="2"/>
      <c r="M7" s="2"/>
      <c r="N7" s="6">
        <f t="shared" ref="N7:N41" si="3">$K$44*B7+$L$44*C7+$M$44*D7-$B$3</f>
        <v>2.0812848920508824E-2</v>
      </c>
    </row>
    <row r="8" spans="1:17">
      <c r="A8" t="s">
        <v>533</v>
      </c>
      <c r="B8" s="2">
        <v>5.5500000000000001E-2</v>
      </c>
      <c r="C8" s="2">
        <v>-1.853458330196971E-2</v>
      </c>
      <c r="D8" s="2">
        <v>0.13899654482346691</v>
      </c>
      <c r="E8" s="2"/>
      <c r="F8" s="2">
        <f t="shared" si="0"/>
        <v>-2.0534583301969708E-2</v>
      </c>
      <c r="G8" s="6">
        <f t="shared" si="1"/>
        <v>5.3499999999999999E-2</v>
      </c>
      <c r="H8" s="2">
        <f t="shared" si="2"/>
        <v>0.1369965448234669</v>
      </c>
      <c r="I8" s="6">
        <f t="shared" ref="I8:I42" si="4">(1-$I$44)*B8+$I$44*D8 -$B$3</f>
        <v>5.3499999999999999E-2</v>
      </c>
      <c r="J8" s="6"/>
      <c r="K8" s="2"/>
      <c r="L8" s="2"/>
      <c r="M8" s="2"/>
      <c r="N8" s="6">
        <f t="shared" si="3"/>
        <v>2.5177488918790514E-2</v>
      </c>
    </row>
    <row r="9" spans="1:17">
      <c r="A9" t="s">
        <v>534</v>
      </c>
      <c r="B9" s="2">
        <v>3.2800000000000003E-2</v>
      </c>
      <c r="C9" s="2">
        <v>6.6056911368824883E-2</v>
      </c>
      <c r="D9" s="2">
        <v>-1.442585624041841E-2</v>
      </c>
      <c r="E9" s="2"/>
      <c r="F9" s="2">
        <f t="shared" si="0"/>
        <v>6.4056911368824881E-2</v>
      </c>
      <c r="G9" s="6">
        <f t="shared" si="1"/>
        <v>3.0800000000000001E-2</v>
      </c>
      <c r="H9" s="2">
        <f t="shared" si="2"/>
        <v>-1.642585624041841E-2</v>
      </c>
      <c r="I9" s="6">
        <f t="shared" si="4"/>
        <v>3.0800000000000001E-2</v>
      </c>
      <c r="J9" s="6"/>
      <c r="K9" s="2"/>
      <c r="L9" s="2"/>
      <c r="M9" s="2"/>
      <c r="N9" s="6">
        <f t="shared" si="3"/>
        <v>4.4631976026000497E-2</v>
      </c>
    </row>
    <row r="10" spans="1:17">
      <c r="A10" t="s">
        <v>535</v>
      </c>
      <c r="B10" s="2">
        <v>3.5200000000000002E-2</v>
      </c>
      <c r="C10" s="2">
        <v>-6.2079311700027562E-2</v>
      </c>
      <c r="D10" s="2">
        <v>1.9680886379925083E-2</v>
      </c>
      <c r="E10" s="2"/>
      <c r="F10" s="2">
        <f t="shared" si="0"/>
        <v>-6.4079311700027564E-2</v>
      </c>
      <c r="G10" s="6">
        <f t="shared" si="1"/>
        <v>3.32E-2</v>
      </c>
      <c r="H10" s="2">
        <f t="shared" si="2"/>
        <v>1.7680886379925084E-2</v>
      </c>
      <c r="I10" s="6">
        <f t="shared" si="4"/>
        <v>3.32E-2</v>
      </c>
      <c r="J10" s="6"/>
      <c r="K10" s="2"/>
      <c r="L10" s="2"/>
      <c r="M10" s="2"/>
      <c r="N10" s="6">
        <f t="shared" si="3"/>
        <v>1.0279015007333933E-2</v>
      </c>
    </row>
    <row r="11" spans="1:17">
      <c r="A11" t="s">
        <v>536</v>
      </c>
      <c r="B11" s="2">
        <v>-1.46E-2</v>
      </c>
      <c r="C11" s="2">
        <v>2.640209370069142E-2</v>
      </c>
      <c r="D11" s="2">
        <v>1.2708479553652563E-2</v>
      </c>
      <c r="E11" s="2"/>
      <c r="F11" s="2">
        <f t="shared" si="0"/>
        <v>2.4402093700691421E-2</v>
      </c>
      <c r="G11" s="6">
        <f t="shared" si="1"/>
        <v>-1.66E-2</v>
      </c>
      <c r="H11" s="2">
        <f t="shared" si="2"/>
        <v>1.0708479553652563E-2</v>
      </c>
      <c r="I11" s="6">
        <f t="shared" si="4"/>
        <v>-1.66E-2</v>
      </c>
      <c r="J11" s="6"/>
      <c r="K11" s="2"/>
      <c r="L11" s="2"/>
      <c r="M11" s="2"/>
      <c r="N11" s="6">
        <f t="shared" si="3"/>
        <v>-9.3094738941612992E-3</v>
      </c>
    </row>
    <row r="12" spans="1:17">
      <c r="A12" t="s">
        <v>537</v>
      </c>
      <c r="B12" s="2">
        <v>-1.5800000000000002E-2</v>
      </c>
      <c r="C12" s="2">
        <v>5.7301831223946727E-2</v>
      </c>
      <c r="D12" s="2">
        <v>-2.8290267191669757E-2</v>
      </c>
      <c r="E12" s="2"/>
      <c r="F12" s="2">
        <f t="shared" si="0"/>
        <v>5.5301831223946725E-2</v>
      </c>
      <c r="G12" s="6">
        <f t="shared" si="1"/>
        <v>-1.7800000000000003E-2</v>
      </c>
      <c r="H12" s="2">
        <f t="shared" si="2"/>
        <v>-3.0290267191669759E-2</v>
      </c>
      <c r="I12" s="6">
        <f t="shared" si="4"/>
        <v>-1.7800000000000003E-2</v>
      </c>
      <c r="J12" s="6"/>
      <c r="K12" s="2"/>
      <c r="L12" s="2"/>
      <c r="M12" s="2"/>
      <c r="N12" s="6">
        <f t="shared" si="3"/>
        <v>2.1810415709225435E-3</v>
      </c>
    </row>
    <row r="13" spans="1:17">
      <c r="A13" t="s">
        <v>538</v>
      </c>
      <c r="B13" s="2">
        <v>-4.1900000000000007E-2</v>
      </c>
      <c r="C13" s="2">
        <v>9.3312521164593654E-2</v>
      </c>
      <c r="D13" s="2">
        <v>-0.11730741492018099</v>
      </c>
      <c r="E13" s="2"/>
      <c r="F13" s="2">
        <f t="shared" si="0"/>
        <v>9.1312521164593652E-2</v>
      </c>
      <c r="G13" s="6">
        <f t="shared" si="1"/>
        <v>-4.3900000000000008E-2</v>
      </c>
      <c r="H13" s="2">
        <f t="shared" si="2"/>
        <v>-0.11930741492018099</v>
      </c>
      <c r="I13" s="6">
        <f t="shared" si="4"/>
        <v>-4.3900000000000008E-2</v>
      </c>
      <c r="J13" s="6"/>
      <c r="K13" s="2"/>
      <c r="L13" s="2"/>
      <c r="M13" s="2"/>
      <c r="N13" s="6">
        <f t="shared" si="3"/>
        <v>-9.7202968275158196E-4</v>
      </c>
    </row>
    <row r="14" spans="1:17">
      <c r="A14" t="s">
        <v>539</v>
      </c>
      <c r="B14" s="2">
        <v>-8.2899999999999988E-2</v>
      </c>
      <c r="C14" s="2">
        <v>-5.259082781559183E-2</v>
      </c>
      <c r="D14" s="2">
        <v>-0.12185904752810514</v>
      </c>
      <c r="E14" s="2"/>
      <c r="F14" s="2">
        <f t="shared" si="0"/>
        <v>-5.4590827815591832E-2</v>
      </c>
      <c r="G14" s="6">
        <f t="shared" si="1"/>
        <v>-8.4899999999999989E-2</v>
      </c>
      <c r="H14" s="2">
        <f t="shared" si="2"/>
        <v>-0.12385904752810514</v>
      </c>
      <c r="I14" s="6">
        <f t="shared" si="4"/>
        <v>-8.4899999999999989E-2</v>
      </c>
      <c r="J14" s="6"/>
      <c r="K14" s="2"/>
      <c r="L14" s="2"/>
      <c r="M14" s="2"/>
      <c r="N14" s="6">
        <f t="shared" si="3"/>
        <v>-7.275982653685642E-2</v>
      </c>
    </row>
    <row r="15" spans="1:17">
      <c r="A15" t="s">
        <v>540</v>
      </c>
      <c r="B15" s="2">
        <v>-0.1147</v>
      </c>
      <c r="C15" s="2">
        <v>7.9606518422525682E-2</v>
      </c>
      <c r="D15" s="2">
        <v>-0.11770295469189349</v>
      </c>
      <c r="E15" s="2"/>
      <c r="F15" s="2">
        <f t="shared" si="0"/>
        <v>7.760651842252568E-2</v>
      </c>
      <c r="G15" s="6">
        <f t="shared" si="1"/>
        <v>-0.1167</v>
      </c>
      <c r="H15" s="2">
        <f t="shared" si="2"/>
        <v>-0.11970295469189349</v>
      </c>
      <c r="I15" s="6">
        <f t="shared" si="4"/>
        <v>-0.1167</v>
      </c>
      <c r="J15" s="6"/>
      <c r="K15" s="2"/>
      <c r="L15" s="2"/>
      <c r="M15" s="2"/>
      <c r="N15" s="6">
        <f t="shared" si="3"/>
        <v>-6.7036535708599965E-2</v>
      </c>
    </row>
    <row r="16" spans="1:17">
      <c r="A16" t="s">
        <v>278</v>
      </c>
      <c r="B16" s="2">
        <v>0.1537</v>
      </c>
      <c r="C16" s="2">
        <v>-0.1462163753778854</v>
      </c>
      <c r="D16" s="2">
        <v>0.21823588408241573</v>
      </c>
      <c r="E16" s="2"/>
      <c r="F16" s="2">
        <f t="shared" si="0"/>
        <v>-0.1482163753778854</v>
      </c>
      <c r="G16" s="6">
        <f t="shared" si="1"/>
        <v>0.1517</v>
      </c>
      <c r="H16" s="2">
        <f t="shared" si="2"/>
        <v>0.21623588408241573</v>
      </c>
      <c r="I16" s="6">
        <f t="shared" si="4"/>
        <v>0.1517</v>
      </c>
      <c r="J16" s="6"/>
      <c r="K16" s="2"/>
      <c r="L16" s="2"/>
      <c r="M16" s="2"/>
      <c r="N16" s="6">
        <f t="shared" si="3"/>
        <v>6.8206235704723714E-2</v>
      </c>
    </row>
    <row r="17" spans="1:14">
      <c r="A17" t="s">
        <v>279</v>
      </c>
      <c r="B17" s="2">
        <v>-1.6000000000000001E-3</v>
      </c>
      <c r="C17" s="2">
        <v>-6.3942893123956727E-4</v>
      </c>
      <c r="D17" s="2">
        <v>-5.86184648782868E-2</v>
      </c>
      <c r="E17" s="2"/>
      <c r="F17" s="2">
        <f t="shared" si="0"/>
        <v>-2.6394289312395673E-3</v>
      </c>
      <c r="G17" s="6">
        <f t="shared" si="1"/>
        <v>-3.5999999999999999E-3</v>
      </c>
      <c r="H17" s="2">
        <f t="shared" si="2"/>
        <v>-6.0618464878286801E-2</v>
      </c>
      <c r="I17" s="6">
        <f t="shared" si="4"/>
        <v>-3.5999999999999999E-3</v>
      </c>
      <c r="J17" s="6"/>
      <c r="K17" s="2"/>
      <c r="L17" s="2"/>
      <c r="M17" s="2"/>
      <c r="N17" s="6">
        <f t="shared" si="3"/>
        <v>3.1519513812886335E-3</v>
      </c>
    </row>
    <row r="18" spans="1:14">
      <c r="A18" t="s">
        <v>280</v>
      </c>
      <c r="B18" s="2">
        <v>-8.9999999999999976E-4</v>
      </c>
      <c r="C18" s="2">
        <v>-6.8063815185508848E-3</v>
      </c>
      <c r="D18" s="2">
        <v>2.8907449134961787E-2</v>
      </c>
      <c r="E18" s="2"/>
      <c r="F18" s="2">
        <f t="shared" si="0"/>
        <v>-8.8063815185508848E-3</v>
      </c>
      <c r="G18" s="6">
        <f t="shared" si="1"/>
        <v>-2.8999999999999998E-3</v>
      </c>
      <c r="H18" s="2">
        <f t="shared" si="2"/>
        <v>2.6907449134961785E-2</v>
      </c>
      <c r="I18" s="6">
        <f t="shared" si="4"/>
        <v>-2.8999999999999998E-3</v>
      </c>
      <c r="J18" s="6"/>
      <c r="K18" s="2"/>
      <c r="L18" s="2"/>
      <c r="M18" s="2"/>
      <c r="N18" s="6">
        <f t="shared" si="3"/>
        <v>-7.8014577418405694E-3</v>
      </c>
    </row>
    <row r="19" spans="1:14">
      <c r="A19" t="s">
        <v>541</v>
      </c>
      <c r="B19" s="2">
        <v>6.2899999999999998E-2</v>
      </c>
      <c r="C19" s="2">
        <v>-2.0432993626379549E-2</v>
      </c>
      <c r="D19" s="2">
        <v>5.7915301582242756E-2</v>
      </c>
      <c r="E19" s="2"/>
      <c r="F19" s="2">
        <f t="shared" si="0"/>
        <v>-2.2432993626379551E-2</v>
      </c>
      <c r="G19" s="6">
        <f t="shared" si="1"/>
        <v>6.0899999999999996E-2</v>
      </c>
      <c r="H19" s="2">
        <f t="shared" si="2"/>
        <v>5.5915301582242755E-2</v>
      </c>
      <c r="I19" s="6">
        <f t="shared" si="4"/>
        <v>6.0899999999999996E-2</v>
      </c>
      <c r="J19" s="6"/>
      <c r="K19" s="2"/>
      <c r="L19" s="2"/>
      <c r="M19" s="2"/>
      <c r="N19" s="6">
        <f t="shared" si="3"/>
        <v>4.031659437120555E-2</v>
      </c>
    </row>
    <row r="20" spans="1:14">
      <c r="A20" t="s">
        <v>542</v>
      </c>
      <c r="B20" s="2">
        <v>3.9800000000000002E-2</v>
      </c>
      <c r="C20" s="2">
        <v>-9.3962398169526687E-2</v>
      </c>
      <c r="D20" s="2">
        <v>3.931475676998971E-3</v>
      </c>
      <c r="E20" s="2"/>
      <c r="F20" s="2">
        <f t="shared" si="0"/>
        <v>-9.5962398169526689E-2</v>
      </c>
      <c r="G20" s="6">
        <f t="shared" si="1"/>
        <v>3.78E-2</v>
      </c>
      <c r="H20" s="2">
        <f t="shared" si="2"/>
        <v>1.931475676998971E-3</v>
      </c>
      <c r="I20" s="6">
        <f t="shared" si="4"/>
        <v>3.78E-2</v>
      </c>
      <c r="J20" s="6"/>
      <c r="K20" s="2"/>
      <c r="L20" s="2"/>
      <c r="M20" s="2"/>
      <c r="N20" s="6">
        <f t="shared" si="3"/>
        <v>7.9412324227205663E-3</v>
      </c>
    </row>
    <row r="21" spans="1:14">
      <c r="A21" t="s">
        <v>543</v>
      </c>
      <c r="B21" s="2">
        <v>1.43E-2</v>
      </c>
      <c r="C21" s="2">
        <v>-4.309594638707788E-3</v>
      </c>
      <c r="D21" s="2">
        <v>-2.8679639976830616E-2</v>
      </c>
      <c r="E21" s="2"/>
      <c r="F21" s="2">
        <f t="shared" si="0"/>
        <v>-6.309594638707788E-3</v>
      </c>
      <c r="G21" s="6">
        <f t="shared" si="1"/>
        <v>1.23E-2</v>
      </c>
      <c r="H21" s="2">
        <f t="shared" si="2"/>
        <v>-3.0679639976830618E-2</v>
      </c>
      <c r="I21" s="6">
        <f t="shared" si="4"/>
        <v>1.23E-2</v>
      </c>
      <c r="J21" s="6"/>
      <c r="K21" s="2"/>
      <c r="L21" s="2"/>
      <c r="M21" s="2"/>
      <c r="N21" s="6">
        <f t="shared" si="3"/>
        <v>1.2482066211285781E-2</v>
      </c>
    </row>
    <row r="22" spans="1:14">
      <c r="A22" t="s">
        <v>544</v>
      </c>
      <c r="B22" s="2">
        <v>-1.0699999999999999E-2</v>
      </c>
      <c r="C22" s="2">
        <v>2.963075572270148E-2</v>
      </c>
      <c r="D22" s="2">
        <v>-1.460316098436603E-2</v>
      </c>
      <c r="E22" s="2"/>
      <c r="F22" s="2">
        <f t="shared" si="0"/>
        <v>2.7630755722701482E-2</v>
      </c>
      <c r="G22" s="6">
        <f t="shared" si="1"/>
        <v>-1.2699999999999999E-2</v>
      </c>
      <c r="H22" s="2">
        <f t="shared" si="2"/>
        <v>-1.6603160984366032E-2</v>
      </c>
      <c r="I22" s="6">
        <f t="shared" si="4"/>
        <v>-1.2699999999999999E-2</v>
      </c>
      <c r="J22" s="6"/>
      <c r="K22" s="2"/>
      <c r="L22" s="2"/>
      <c r="M22" s="2"/>
      <c r="N22" s="6">
        <f t="shared" si="3"/>
        <v>-2.0173592147059308E-3</v>
      </c>
    </row>
    <row r="23" spans="1:14">
      <c r="A23" t="s">
        <v>545</v>
      </c>
      <c r="B23" s="2">
        <v>-6.8699999999999997E-2</v>
      </c>
      <c r="C23" s="2">
        <v>1.5673097906819099E-2</v>
      </c>
      <c r="D23" s="2">
        <v>-6.0909566173693884E-2</v>
      </c>
      <c r="E23" s="2"/>
      <c r="F23" s="2">
        <f t="shared" si="0"/>
        <v>1.3673097906819099E-2</v>
      </c>
      <c r="G23" s="6">
        <f t="shared" si="1"/>
        <v>-7.0699999999999999E-2</v>
      </c>
      <c r="H23" s="2">
        <f t="shared" si="2"/>
        <v>-6.2909566173693879E-2</v>
      </c>
      <c r="I23" s="6">
        <f t="shared" si="4"/>
        <v>-7.0699999999999999E-2</v>
      </c>
      <c r="J23" s="6"/>
      <c r="K23" s="2"/>
      <c r="L23" s="2"/>
      <c r="M23" s="2"/>
      <c r="N23" s="6">
        <f t="shared" si="3"/>
        <v>-5.0172834074873524E-2</v>
      </c>
    </row>
    <row r="24" spans="1:14">
      <c r="A24" t="s">
        <v>546</v>
      </c>
      <c r="B24" s="2">
        <v>3.5099999999999999E-2</v>
      </c>
      <c r="C24" s="2">
        <v>-6.290720437901659E-2</v>
      </c>
      <c r="D24" s="2">
        <v>5.3683404458320469E-2</v>
      </c>
      <c r="E24" s="2"/>
      <c r="F24" s="2">
        <f t="shared" si="0"/>
        <v>-6.4907204379016592E-2</v>
      </c>
      <c r="G24" s="6">
        <f t="shared" si="1"/>
        <v>3.3099999999999997E-2</v>
      </c>
      <c r="H24" s="2">
        <f t="shared" si="2"/>
        <v>5.1683404458320467E-2</v>
      </c>
      <c r="I24" s="6">
        <f t="shared" si="4"/>
        <v>3.3099999999999997E-2</v>
      </c>
      <c r="J24" s="6"/>
      <c r="K24" s="2"/>
      <c r="L24" s="2"/>
      <c r="M24" s="2"/>
      <c r="N24" s="6">
        <f t="shared" si="3"/>
        <v>6.1017675415487461E-3</v>
      </c>
    </row>
    <row r="25" spans="1:14">
      <c r="A25" t="s">
        <v>547</v>
      </c>
      <c r="B25" s="2">
        <v>-8.5000000000000006E-3</v>
      </c>
      <c r="C25" s="2">
        <v>0.11076292131236989</v>
      </c>
      <c r="D25" s="2">
        <v>1.8290198542318344E-2</v>
      </c>
      <c r="E25" s="2"/>
      <c r="F25" s="2">
        <f t="shared" si="0"/>
        <v>0.10876292131236989</v>
      </c>
      <c r="G25" s="6">
        <f t="shared" si="1"/>
        <v>-1.0500000000000001E-2</v>
      </c>
      <c r="H25" s="2">
        <f t="shared" si="2"/>
        <v>1.6290198542318342E-2</v>
      </c>
      <c r="I25" s="6">
        <f t="shared" si="4"/>
        <v>-1.0500000000000001E-2</v>
      </c>
      <c r="J25" s="6"/>
      <c r="K25" s="2"/>
      <c r="L25" s="2"/>
      <c r="M25" s="2"/>
      <c r="N25" s="6">
        <f t="shared" si="3"/>
        <v>1.671458112221131E-2</v>
      </c>
    </row>
    <row r="26" spans="1:14">
      <c r="A26" t="s">
        <v>548</v>
      </c>
      <c r="B26" s="2">
        <v>4.1500000000000002E-2</v>
      </c>
      <c r="C26" s="2">
        <v>9.0532208511010723E-2</v>
      </c>
      <c r="D26" s="2">
        <v>1.278684066246645E-2</v>
      </c>
      <c r="E26" s="2"/>
      <c r="F26" s="2">
        <f t="shared" si="0"/>
        <v>8.8532208511010721E-2</v>
      </c>
      <c r="G26" s="6">
        <f>(1-$G$44)*B26+$G$44*C26 -$B$3</f>
        <v>3.95E-2</v>
      </c>
      <c r="H26" s="2">
        <f t="shared" si="2"/>
        <v>1.078684066246645E-2</v>
      </c>
      <c r="I26" s="6">
        <f t="shared" si="4"/>
        <v>3.95E-2</v>
      </c>
      <c r="J26" s="6"/>
      <c r="K26" s="2"/>
      <c r="L26" s="2"/>
      <c r="M26" s="2"/>
      <c r="N26" s="6">
        <f t="shared" si="3"/>
        <v>5.5223156990153816E-2</v>
      </c>
    </row>
    <row r="27" spans="1:14">
      <c r="A27" t="s">
        <v>549</v>
      </c>
      <c r="B27" s="2">
        <v>2.7E-2</v>
      </c>
      <c r="C27" s="2">
        <v>-5.4887557113902649E-3</v>
      </c>
      <c r="D27" s="2">
        <v>-9.7879833003991695E-2</v>
      </c>
      <c r="E27" s="2"/>
      <c r="F27" s="2">
        <f t="shared" si="0"/>
        <v>-7.488755711390265E-3</v>
      </c>
      <c r="G27" s="6">
        <f t="shared" si="1"/>
        <v>2.5000000000000001E-2</v>
      </c>
      <c r="H27" s="2">
        <f t="shared" si="2"/>
        <v>-9.9879833003991697E-2</v>
      </c>
      <c r="I27" s="6">
        <f t="shared" si="4"/>
        <v>2.5000000000000001E-2</v>
      </c>
      <c r="J27" s="6"/>
      <c r="K27" s="2"/>
      <c r="L27" s="2"/>
      <c r="M27" s="2"/>
      <c r="N27" s="6">
        <f t="shared" si="3"/>
        <v>3.1007276509237035E-2</v>
      </c>
    </row>
    <row r="28" spans="1:14">
      <c r="A28" t="s">
        <v>281</v>
      </c>
      <c r="B28" s="2">
        <v>-8.3999999999999995E-3</v>
      </c>
      <c r="C28" s="2">
        <v>7.7859339315323017E-2</v>
      </c>
      <c r="D28" s="2">
        <v>6.2305806697206298E-2</v>
      </c>
      <c r="E28" s="2"/>
      <c r="F28" s="2">
        <f t="shared" si="0"/>
        <v>7.5859339315323016E-2</v>
      </c>
      <c r="G28" s="6">
        <f t="shared" si="1"/>
        <v>-1.04E-2</v>
      </c>
      <c r="H28" s="2">
        <f t="shared" si="2"/>
        <v>6.0305806697206296E-2</v>
      </c>
      <c r="I28" s="6">
        <f t="shared" si="4"/>
        <v>-1.04E-2</v>
      </c>
      <c r="J28" s="6"/>
      <c r="K28" s="2"/>
      <c r="L28" s="2"/>
      <c r="M28" s="2"/>
      <c r="N28" s="6">
        <f t="shared" si="3"/>
        <v>3.4247417273608853E-3</v>
      </c>
    </row>
    <row r="29" spans="1:14">
      <c r="A29" t="s">
        <v>282</v>
      </c>
      <c r="B29" s="2">
        <v>2.2499999999999999E-2</v>
      </c>
      <c r="C29" s="2">
        <v>-5.363140077458059E-2</v>
      </c>
      <c r="D29" s="2">
        <v>2.056753358066131E-2</v>
      </c>
      <c r="E29" s="2"/>
      <c r="F29" s="2">
        <f t="shared" si="0"/>
        <v>-5.5631400774580592E-2</v>
      </c>
      <c r="G29" s="6">
        <f t="shared" si="1"/>
        <v>2.0499999999999997E-2</v>
      </c>
      <c r="H29" s="2">
        <f t="shared" si="2"/>
        <v>1.8567533580661308E-2</v>
      </c>
      <c r="I29" s="6">
        <f t="shared" si="4"/>
        <v>2.0499999999999997E-2</v>
      </c>
      <c r="J29" s="6"/>
      <c r="K29" s="2"/>
      <c r="L29" s="2"/>
      <c r="M29" s="2"/>
      <c r="N29" s="6">
        <f t="shared" si="3"/>
        <v>1.3961862402020598E-3</v>
      </c>
    </row>
    <row r="30" spans="1:14">
      <c r="A30" t="s">
        <v>283</v>
      </c>
      <c r="B30" s="2">
        <v>2.9600000000000001E-2</v>
      </c>
      <c r="C30" s="2">
        <v>-0.11154005527489699</v>
      </c>
      <c r="D30" s="2">
        <v>-1.8678794106262327E-2</v>
      </c>
      <c r="E30" s="2"/>
      <c r="F30" s="2">
        <f t="shared" si="0"/>
        <v>-0.11354005527489699</v>
      </c>
      <c r="G30" s="6">
        <f t="shared" si="1"/>
        <v>2.76E-2</v>
      </c>
      <c r="H30" s="2">
        <f t="shared" si="2"/>
        <v>-2.0678794106262326E-2</v>
      </c>
      <c r="I30" s="6">
        <f t="shared" si="4"/>
        <v>2.76E-2</v>
      </c>
      <c r="J30" s="6"/>
      <c r="K30" s="2"/>
      <c r="L30" s="2"/>
      <c r="M30" s="2"/>
      <c r="N30" s="6">
        <f t="shared" si="3"/>
        <v>-2.7149162983443418E-3</v>
      </c>
    </row>
    <row r="31" spans="1:14">
      <c r="A31" t="s">
        <v>600</v>
      </c>
      <c r="B31" s="2">
        <v>6.6299999999999998E-2</v>
      </c>
      <c r="C31" s="2">
        <v>-5.8750751146949901E-2</v>
      </c>
      <c r="D31" s="2">
        <v>9.6825707536920755E-2</v>
      </c>
      <c r="E31" s="2"/>
      <c r="F31" s="2">
        <f t="shared" si="0"/>
        <v>-6.0750751146949902E-2</v>
      </c>
      <c r="G31" s="6">
        <f t="shared" si="1"/>
        <v>6.4299999999999996E-2</v>
      </c>
      <c r="H31" s="2">
        <f t="shared" si="2"/>
        <v>9.4825707536920753E-2</v>
      </c>
      <c r="I31" s="6">
        <f t="shared" si="4"/>
        <v>6.4299999999999996E-2</v>
      </c>
      <c r="J31" s="6"/>
      <c r="K31" s="2"/>
      <c r="L31" s="2"/>
      <c r="M31" s="2"/>
      <c r="N31" s="6">
        <f t="shared" si="3"/>
        <v>2.9074217193653606E-2</v>
      </c>
    </row>
    <row r="32" spans="1:14">
      <c r="A32" t="s">
        <v>601</v>
      </c>
      <c r="B32" s="2">
        <v>1.2500000000000001E-2</v>
      </c>
      <c r="C32" s="2">
        <v>0.1089115100229759</v>
      </c>
      <c r="D32" s="2">
        <v>-1.9437215884031911E-2</v>
      </c>
      <c r="E32" s="2"/>
      <c r="F32" s="2">
        <f t="shared" si="0"/>
        <v>0.1069115100229759</v>
      </c>
      <c r="G32" s="6">
        <f t="shared" si="1"/>
        <v>1.0500000000000001E-2</v>
      </c>
      <c r="H32" s="2">
        <f t="shared" si="2"/>
        <v>-2.1437215884031913E-2</v>
      </c>
      <c r="I32" s="6">
        <f t="shared" si="4"/>
        <v>1.0500000000000001E-2</v>
      </c>
      <c r="J32" s="6"/>
      <c r="K32" s="2"/>
      <c r="L32" s="2"/>
      <c r="M32" s="2"/>
      <c r="N32" s="6">
        <f t="shared" si="3"/>
        <v>3.8617412356269434E-2</v>
      </c>
    </row>
    <row r="33" spans="1:16">
      <c r="A33" t="s">
        <v>602</v>
      </c>
      <c r="B33" s="2">
        <v>4.8300000000000003E-2</v>
      </c>
      <c r="C33" s="2">
        <v>2.6026018344589591E-2</v>
      </c>
      <c r="D33" s="2">
        <v>7.7471300650258812E-2</v>
      </c>
      <c r="E33" s="2"/>
      <c r="F33" s="2">
        <f t="shared" si="0"/>
        <v>2.4026018344589589E-2</v>
      </c>
      <c r="G33" s="6">
        <f t="shared" si="1"/>
        <v>4.6300000000000001E-2</v>
      </c>
      <c r="H33" s="2">
        <f t="shared" si="2"/>
        <v>7.547130065025881E-2</v>
      </c>
      <c r="I33" s="6">
        <f t="shared" si="4"/>
        <v>4.6300000000000001E-2</v>
      </c>
      <c r="J33" s="6"/>
      <c r="K33" s="2"/>
      <c r="L33" s="2"/>
      <c r="M33" s="2"/>
      <c r="N33" s="6">
        <f t="shared" si="3"/>
        <v>3.731657478412842E-2</v>
      </c>
    </row>
    <row r="34" spans="1:16">
      <c r="A34" t="s">
        <v>603</v>
      </c>
      <c r="B34" s="2">
        <v>-6.0000000000000001E-3</v>
      </c>
      <c r="C34" s="2">
        <v>-5.9647771191371643E-2</v>
      </c>
      <c r="D34" s="2">
        <v>3.5863591913917383E-3</v>
      </c>
      <c r="E34" s="2"/>
      <c r="F34" s="2">
        <f t="shared" si="0"/>
        <v>-6.1647771191371645E-2</v>
      </c>
      <c r="G34" s="6">
        <f t="shared" si="1"/>
        <v>-8.0000000000000002E-3</v>
      </c>
      <c r="H34" s="2">
        <f t="shared" si="2"/>
        <v>1.5863591913917383E-3</v>
      </c>
      <c r="I34" s="6">
        <f t="shared" si="4"/>
        <v>-8.0000000000000002E-3</v>
      </c>
      <c r="J34" s="6"/>
      <c r="K34" s="2"/>
      <c r="L34" s="2"/>
      <c r="M34" s="2"/>
      <c r="N34" s="6">
        <f t="shared" si="3"/>
        <v>-2.2711575174114873E-2</v>
      </c>
    </row>
    <row r="35" spans="1:16">
      <c r="A35" t="s">
        <v>604</v>
      </c>
      <c r="B35" s="2">
        <v>4.5100000000000001E-2</v>
      </c>
      <c r="C35" s="2">
        <v>-2.7641204976468981E-2</v>
      </c>
      <c r="D35" s="2">
        <v>9.2655156828330226E-2</v>
      </c>
      <c r="E35" s="2"/>
      <c r="F35" s="2">
        <f t="shared" si="0"/>
        <v>-2.9641204976468979E-2</v>
      </c>
      <c r="G35" s="6">
        <f t="shared" si="1"/>
        <v>4.3099999999999999E-2</v>
      </c>
      <c r="H35" s="2">
        <f t="shared" si="2"/>
        <v>9.0655156828330224E-2</v>
      </c>
      <c r="I35" s="6">
        <f t="shared" si="4"/>
        <v>4.3099999999999999E-2</v>
      </c>
      <c r="J35" s="6"/>
      <c r="K35" s="2"/>
      <c r="L35" s="2"/>
      <c r="M35" s="109"/>
      <c r="N35" s="6">
        <f t="shared" si="3"/>
        <v>1.9208163247790677E-2</v>
      </c>
    </row>
    <row r="36" spans="1:16">
      <c r="A36" t="s">
        <v>605</v>
      </c>
      <c r="B36" s="2">
        <v>-8.3999999999999995E-3</v>
      </c>
      <c r="C36" s="2">
        <v>8.8427907953730914E-2</v>
      </c>
      <c r="D36" s="2">
        <v>7.2113155715611311E-3</v>
      </c>
      <c r="E36" s="2"/>
      <c r="F36" s="2">
        <f t="shared" si="0"/>
        <v>8.6427907953730912E-2</v>
      </c>
      <c r="G36" s="6">
        <f t="shared" si="1"/>
        <v>-1.04E-2</v>
      </c>
      <c r="H36" s="2">
        <f t="shared" si="2"/>
        <v>5.2113155715611311E-3</v>
      </c>
      <c r="I36" s="6">
        <f t="shared" si="4"/>
        <v>-1.04E-2</v>
      </c>
      <c r="J36" s="6"/>
      <c r="K36" s="2"/>
      <c r="L36" s="2"/>
      <c r="M36" s="109"/>
      <c r="N36" s="6">
        <f t="shared" si="3"/>
        <v>1.2395881455990621E-2</v>
      </c>
    </row>
    <row r="37" spans="1:16">
      <c r="A37" t="s">
        <v>606</v>
      </c>
      <c r="B37" s="2">
        <v>7.4999999999999997E-2</v>
      </c>
      <c r="C37" s="2">
        <v>-1.559869659020922E-2</v>
      </c>
      <c r="D37" s="2">
        <v>0.194594180139879</v>
      </c>
      <c r="E37" s="2"/>
      <c r="F37" s="2">
        <f t="shared" si="0"/>
        <v>-1.7598696590209219E-2</v>
      </c>
      <c r="G37" s="6">
        <f t="shared" si="1"/>
        <v>7.2999999999999995E-2</v>
      </c>
      <c r="H37" s="2">
        <f t="shared" si="2"/>
        <v>0.192594180139879</v>
      </c>
      <c r="I37" s="6">
        <f t="shared" si="4"/>
        <v>7.2999999999999995E-2</v>
      </c>
      <c r="J37" s="6"/>
      <c r="K37" s="2"/>
      <c r="L37" s="2"/>
      <c r="M37" s="109"/>
      <c r="N37" s="6">
        <f t="shared" si="3"/>
        <v>3.6352819082655294E-2</v>
      </c>
    </row>
    <row r="38" spans="1:16">
      <c r="A38" t="s">
        <v>607</v>
      </c>
      <c r="B38" s="2">
        <v>-2.7699999999999999E-2</v>
      </c>
      <c r="C38" s="2">
        <v>6.791870983756082E-2</v>
      </c>
      <c r="D38" s="2">
        <v>-7.4882049557809666E-3</v>
      </c>
      <c r="E38" s="2"/>
      <c r="F38" s="2">
        <f t="shared" si="0"/>
        <v>6.5918709837560818E-2</v>
      </c>
      <c r="G38" s="6">
        <f t="shared" si="1"/>
        <v>-2.9699999999999997E-2</v>
      </c>
      <c r="H38" s="2">
        <f t="shared" si="2"/>
        <v>-9.4882049557809666E-3</v>
      </c>
      <c r="I38" s="6">
        <f t="shared" si="4"/>
        <v>-2.9699999999999997E-2</v>
      </c>
      <c r="J38" s="6"/>
      <c r="K38" s="2"/>
      <c r="L38" s="2"/>
      <c r="M38" s="109"/>
      <c r="N38" s="6">
        <f t="shared" si="3"/>
        <v>-7.7361507294914688E-3</v>
      </c>
    </row>
    <row r="39" spans="1:16">
      <c r="A39" t="s">
        <v>608</v>
      </c>
      <c r="B39" s="2">
        <v>5.6399999999999999E-2</v>
      </c>
      <c r="C39" s="2">
        <v>-3.682001155311395E-2</v>
      </c>
      <c r="D39" s="2">
        <v>0.14636484000827299</v>
      </c>
      <c r="E39" s="2"/>
      <c r="F39" s="2">
        <f t="shared" si="0"/>
        <v>-3.8820011553113952E-2</v>
      </c>
      <c r="G39" s="6">
        <f t="shared" si="1"/>
        <v>5.4399999999999997E-2</v>
      </c>
      <c r="H39" s="2">
        <f t="shared" si="2"/>
        <v>0.14436484000827299</v>
      </c>
      <c r="I39" s="6">
        <f t="shared" si="4"/>
        <v>5.4399999999999997E-2</v>
      </c>
      <c r="J39" s="6"/>
      <c r="K39" s="2"/>
      <c r="L39" s="2"/>
      <c r="M39" s="109"/>
      <c r="N39" s="6">
        <f t="shared" si="3"/>
        <v>2.0469367344512754E-2</v>
      </c>
    </row>
    <row r="40" spans="1:16">
      <c r="A40" t="s">
        <v>609</v>
      </c>
      <c r="B40" s="2">
        <v>3.7000000000000012E-2</v>
      </c>
      <c r="C40" s="2">
        <v>-2.215091565057439E-2</v>
      </c>
      <c r="D40" s="2">
        <v>4.7081503909800912E-2</v>
      </c>
      <c r="E40" s="2"/>
      <c r="F40" s="2">
        <f t="shared" si="0"/>
        <v>-2.4150915650574388E-2</v>
      </c>
      <c r="G40" s="6">
        <f t="shared" si="1"/>
        <v>3.500000000000001E-2</v>
      </c>
      <c r="H40" s="2">
        <f t="shared" si="2"/>
        <v>4.508150390980091E-2</v>
      </c>
      <c r="I40" s="6">
        <f t="shared" si="4"/>
        <v>3.500000000000001E-2</v>
      </c>
      <c r="J40" s="6"/>
      <c r="K40" s="2"/>
      <c r="L40" s="2"/>
      <c r="M40" s="109"/>
      <c r="N40" s="6">
        <f t="shared" si="3"/>
        <v>1.883504884332951E-2</v>
      </c>
    </row>
    <row r="41" spans="1:16">
      <c r="A41" t="s">
        <v>610</v>
      </c>
      <c r="B41" s="2">
        <v>3.4100000000000012E-2</v>
      </c>
      <c r="C41" s="2">
        <v>3.6070988476215531E-2</v>
      </c>
      <c r="D41" s="2">
        <v>-2.3073908456216711E-2</v>
      </c>
      <c r="E41" s="2"/>
      <c r="F41" s="2">
        <f t="shared" si="0"/>
        <v>3.4070988476215529E-2</v>
      </c>
      <c r="G41" s="6">
        <f t="shared" si="1"/>
        <v>3.210000000000001E-2</v>
      </c>
      <c r="H41" s="2">
        <f t="shared" si="2"/>
        <v>-2.5073908456216709E-2</v>
      </c>
      <c r="I41" s="6">
        <f t="shared" si="4"/>
        <v>3.210000000000001E-2</v>
      </c>
      <c r="J41" s="6"/>
      <c r="K41" s="213"/>
      <c r="L41" s="213"/>
      <c r="M41" s="214"/>
      <c r="N41" s="6">
        <f t="shared" si="3"/>
        <v>3.9126167460396183E-2</v>
      </c>
    </row>
    <row r="42" spans="1:16">
      <c r="A42" t="s">
        <v>611</v>
      </c>
      <c r="B42" s="2">
        <v>2.81E-2</v>
      </c>
      <c r="C42" s="2">
        <v>-9.6361876804817503E-2</v>
      </c>
      <c r="D42" s="2">
        <v>1.1258710506408955E-2</v>
      </c>
      <c r="E42" s="2"/>
      <c r="F42" s="2">
        <f t="shared" si="0"/>
        <v>-9.8361876804817505E-2</v>
      </c>
      <c r="G42" s="6">
        <f>(1-$G$44)*B42+$G$44*C42 -$B$3</f>
        <v>2.6099999999999998E-2</v>
      </c>
      <c r="H42" s="2">
        <f t="shared" si="2"/>
        <v>9.2587105064089546E-3</v>
      </c>
      <c r="I42" s="6">
        <f t="shared" si="4"/>
        <v>2.6099999999999998E-2</v>
      </c>
      <c r="J42" s="6"/>
      <c r="K42" s="302" t="s">
        <v>353</v>
      </c>
      <c r="L42" s="302"/>
      <c r="M42" s="302"/>
      <c r="N42" s="6">
        <f>$K$44*B42+$L$44*C42+$M$44*D42-$B$3</f>
        <v>-3.56980473454537E-3</v>
      </c>
    </row>
    <row r="43" spans="1:16">
      <c r="A43" s="40"/>
      <c r="B43" s="40"/>
      <c r="C43" s="40"/>
      <c r="D43" s="40"/>
      <c r="F43" s="40"/>
      <c r="G43" s="41"/>
      <c r="H43" s="41"/>
      <c r="I43" s="40"/>
      <c r="K43" s="40" t="s">
        <v>17</v>
      </c>
      <c r="L43" s="124" t="s">
        <v>145</v>
      </c>
      <c r="M43" s="40" t="s">
        <v>146</v>
      </c>
    </row>
    <row r="44" spans="1:16">
      <c r="A44" s="40"/>
      <c r="B44" s="38" t="s">
        <v>17</v>
      </c>
      <c r="C44" s="38" t="s">
        <v>145</v>
      </c>
      <c r="D44" s="38" t="s">
        <v>146</v>
      </c>
      <c r="E44" s="1"/>
      <c r="F44" s="37" t="s">
        <v>150</v>
      </c>
      <c r="G44" s="93">
        <v>0</v>
      </c>
      <c r="H44" s="37" t="s">
        <v>150</v>
      </c>
      <c r="I44" s="93">
        <v>0</v>
      </c>
      <c r="J44" s="4"/>
      <c r="K44" s="217">
        <v>0.86031135897224686</v>
      </c>
      <c r="L44" s="217">
        <v>0.25382938873054317</v>
      </c>
      <c r="M44" s="217">
        <f>1-SUM(K44:L44)</f>
        <v>-0.11414074770279004</v>
      </c>
      <c r="N44" s="3"/>
      <c r="O44" s="3"/>
      <c r="P44" s="1"/>
    </row>
    <row r="45" spans="1:16">
      <c r="A45" t="s">
        <v>13</v>
      </c>
      <c r="B45" s="17">
        <f>AVERAGE(B7:B42)</f>
        <v>1.5475000000000001E-2</v>
      </c>
      <c r="C45" s="17">
        <f>AVERAGE(C7:C42)</f>
        <v>1.9327654199999961E-3</v>
      </c>
      <c r="D45" s="17">
        <f>AVERAGE(D7:D42)</f>
        <v>1.7351614568155441E-2</v>
      </c>
      <c r="E45" s="17"/>
      <c r="F45" s="3" t="s">
        <v>13</v>
      </c>
      <c r="G45" s="17">
        <f>AVERAGE(G7:G42)+B3</f>
        <v>1.5475000000000001E-2</v>
      </c>
      <c r="H45" s="3" t="s">
        <v>13</v>
      </c>
      <c r="I45" s="17">
        <f>AVERAGE(I7:I42)+B3</f>
        <v>1.5475000000000001E-2</v>
      </c>
      <c r="J45" s="6"/>
      <c r="L45" s="117"/>
      <c r="M45" s="3" t="s">
        <v>13</v>
      </c>
      <c r="N45" s="17">
        <f>AVERAGE(N7:N42)+B3</f>
        <v>1.1823384684553769E-2</v>
      </c>
      <c r="O45" s="1"/>
      <c r="P45" s="6"/>
    </row>
    <row r="46" spans="1:16">
      <c r="A46" s="43" t="s">
        <v>152</v>
      </c>
      <c r="B46" s="17">
        <f>STDEVP(B7:B42)</f>
        <v>4.7312990787121263E-2</v>
      </c>
      <c r="C46" s="17">
        <f>STDEVP(C7:C42)</f>
        <v>6.5808207878340366E-2</v>
      </c>
      <c r="D46" s="17">
        <f>STDEVP(D7:D42)</f>
        <v>7.7741197535062409E-2</v>
      </c>
      <c r="E46" s="27"/>
      <c r="F46" s="3" t="s">
        <v>151</v>
      </c>
      <c r="G46" s="17">
        <f>AVERAGE(G7:G42)</f>
        <v>1.3475000000000001E-2</v>
      </c>
      <c r="H46" s="3" t="s">
        <v>151</v>
      </c>
      <c r="I46" s="17">
        <f>AVERAGE(I7:I42)</f>
        <v>1.3475000000000001E-2</v>
      </c>
      <c r="J46" s="6"/>
      <c r="K46" s="1"/>
      <c r="L46" s="119"/>
      <c r="M46" s="3" t="s">
        <v>151</v>
      </c>
      <c r="N46" s="17">
        <f>AVERAGE(N7:N42)</f>
        <v>9.8233846845537688E-3</v>
      </c>
      <c r="O46" s="1"/>
      <c r="P46" s="6"/>
    </row>
    <row r="47" spans="1:16">
      <c r="A47" s="40" t="s">
        <v>141</v>
      </c>
      <c r="B47" s="92">
        <f>(B45-B3)/B46</f>
        <v>0.28480550005027239</v>
      </c>
      <c r="C47" s="93">
        <f>(C45-$B$3)/C46</f>
        <v>-1.0216746841716241E-3</v>
      </c>
      <c r="D47" s="93">
        <f>(D45-$B$3)/D46</f>
        <v>0.19747077553354692</v>
      </c>
      <c r="E47" s="6"/>
      <c r="F47" s="95" t="s">
        <v>152</v>
      </c>
      <c r="G47" s="17">
        <f>STDEVP(G7:G42)</f>
        <v>4.731299078712127E-2</v>
      </c>
      <c r="H47" s="3" t="s">
        <v>31</v>
      </c>
      <c r="I47" s="17">
        <f>STDEVP(I7:I42)</f>
        <v>4.731299078712127E-2</v>
      </c>
      <c r="K47" s="1"/>
      <c r="L47" s="120"/>
      <c r="M47" s="3" t="s">
        <v>31</v>
      </c>
      <c r="N47" s="17">
        <f>STDEVP(N7:N42)</f>
        <v>2.9568479036392224E-2</v>
      </c>
      <c r="O47" s="1"/>
      <c r="P47" s="6"/>
    </row>
    <row r="48" spans="1:16">
      <c r="E48" s="6"/>
      <c r="F48" s="37" t="s">
        <v>141</v>
      </c>
      <c r="G48" s="93">
        <f>(G46)/G47</f>
        <v>0.28480550005027233</v>
      </c>
      <c r="H48" s="37" t="s">
        <v>141</v>
      </c>
      <c r="I48" s="93">
        <f>(I46)/I47</f>
        <v>0.28480550005027233</v>
      </c>
      <c r="J48" s="24"/>
      <c r="M48" s="37" t="s">
        <v>141</v>
      </c>
      <c r="N48" s="94">
        <f>(N46)/N47</f>
        <v>0.33222488963545826</v>
      </c>
      <c r="O48" s="1"/>
      <c r="P48" s="27"/>
    </row>
    <row r="49" spans="1:16">
      <c r="F49" s="52" t="s">
        <v>153</v>
      </c>
      <c r="G49" s="216">
        <f>INTERCEPT(F7:F42,G7:G42)</f>
        <v>9.1796413233198194E-3</v>
      </c>
      <c r="H49" s="51" t="s">
        <v>153</v>
      </c>
      <c r="I49" s="216">
        <f>INTERCEPT(H7:H42,I7:I42)</f>
        <v>-2.4008774237008947E-3</v>
      </c>
      <c r="J49" s="44"/>
      <c r="N49" s="115" t="s">
        <v>145</v>
      </c>
      <c r="O49" s="115" t="s">
        <v>146</v>
      </c>
      <c r="P49" s="53"/>
    </row>
    <row r="50" spans="1:16">
      <c r="F50" s="52" t="s">
        <v>154</v>
      </c>
      <c r="G50" s="215">
        <f>SLOPE(F7:F42,G7:G42)</f>
        <v>-0.68622455683264005</v>
      </c>
      <c r="H50" s="115" t="s">
        <v>154</v>
      </c>
      <c r="I50" s="215">
        <f>SLOPE(H7:H42,I7:I42)</f>
        <v>1.3174391088576127</v>
      </c>
      <c r="J50" s="24"/>
      <c r="M50" s="51" t="s">
        <v>153</v>
      </c>
      <c r="N50" s="4">
        <f>INTERCEPT(F7:F42,N7:N42)</f>
        <v>4.012391447604435E-8</v>
      </c>
      <c r="O50" s="4">
        <f>INTERCEPT(H7:H42,N7:N42)</f>
        <v>-4.2407935978844291E-8</v>
      </c>
      <c r="P50" s="54"/>
    </row>
    <row r="51" spans="1:16">
      <c r="D51" s="1"/>
      <c r="E51" s="1"/>
      <c r="F51" s="116" t="s">
        <v>350</v>
      </c>
      <c r="G51" s="6">
        <f>(C45-G45)/(G46)</f>
        <v>-1.0049895792207795</v>
      </c>
      <c r="H51" s="116" t="s">
        <v>350</v>
      </c>
      <c r="I51" s="6">
        <f>($D$45-I45)/I46</f>
        <v>0.13926638724715693</v>
      </c>
      <c r="M51" s="115" t="s">
        <v>154</v>
      </c>
      <c r="N51" s="4">
        <f>SLOPE(F7:F42,N7:N42)</f>
        <v>-6.848424048817239E-3</v>
      </c>
      <c r="O51" s="25">
        <f>SLOPE(H7:H42,N7:N42)</f>
        <v>1.5627665482988027</v>
      </c>
      <c r="P51" s="54"/>
    </row>
    <row r="52" spans="1:16">
      <c r="F52" s="116" t="s">
        <v>351</v>
      </c>
      <c r="G52" s="6">
        <f>G50-1</f>
        <v>-1.6862245568326402</v>
      </c>
      <c r="H52" s="116" t="s">
        <v>351</v>
      </c>
      <c r="I52" s="6">
        <f>I50-1</f>
        <v>0.31743910885761273</v>
      </c>
      <c r="M52" s="116" t="s">
        <v>350</v>
      </c>
      <c r="N52" s="24">
        <f>($C$45-N45)/N46</f>
        <v>-1.0068443395183051</v>
      </c>
      <c r="O52" s="24">
        <f>($D$45-N45)/N46</f>
        <v>0.56276223125968261</v>
      </c>
      <c r="P52" s="54"/>
    </row>
    <row r="53" spans="1:16">
      <c r="A53" s="40"/>
      <c r="B53" s="40"/>
      <c r="C53" s="40"/>
      <c r="D53" s="40"/>
      <c r="E53" s="40"/>
      <c r="F53" s="40"/>
      <c r="G53" s="123"/>
      <c r="H53" s="123"/>
      <c r="I53" s="40"/>
      <c r="K53" s="40"/>
      <c r="L53" s="40"/>
      <c r="M53" s="125" t="s">
        <v>351</v>
      </c>
      <c r="N53" s="94">
        <f>N51-1</f>
        <v>-1.0068484240488171</v>
      </c>
      <c r="O53" s="126">
        <f>O51-1</f>
        <v>0.56276654829880268</v>
      </c>
    </row>
    <row r="54" spans="1:16">
      <c r="G54" s="24"/>
      <c r="H54" s="24"/>
      <c r="I54" s="4"/>
      <c r="J54" s="4"/>
    </row>
  </sheetData>
  <mergeCells count="4">
    <mergeCell ref="B5:D5"/>
    <mergeCell ref="B4:D4"/>
    <mergeCell ref="F3:I3"/>
    <mergeCell ref="K42:M4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M28"/>
  <sheetViews>
    <sheetView workbookViewId="0"/>
  </sheetViews>
  <sheetFormatPr defaultColWidth="9.140625" defaultRowHeight="15"/>
  <cols>
    <col min="2" max="2" width="10" bestFit="1" customWidth="1"/>
    <col min="3" max="3" width="9.5703125" customWidth="1"/>
    <col min="4" max="4" width="10" bestFit="1" customWidth="1"/>
    <col min="5" max="5" width="10.28515625" bestFit="1" customWidth="1"/>
    <col min="8" max="10" width="9.5703125" bestFit="1" customWidth="1"/>
    <col min="11" max="11" width="12.5703125" bestFit="1" customWidth="1"/>
  </cols>
  <sheetData>
    <row r="1" spans="1:10" ht="21">
      <c r="A1" s="194" t="s">
        <v>630</v>
      </c>
      <c r="B1" s="194"/>
      <c r="C1" s="194"/>
      <c r="D1" s="194"/>
      <c r="E1" s="194"/>
      <c r="F1" s="194"/>
    </row>
    <row r="3" spans="1:10">
      <c r="B3" s="295" t="s">
        <v>155</v>
      </c>
      <c r="C3" s="303"/>
      <c r="D3" s="303"/>
    </row>
    <row r="4" spans="1:10">
      <c r="B4" s="1" t="s">
        <v>145</v>
      </c>
      <c r="C4" s="1" t="s">
        <v>146</v>
      </c>
      <c r="D4" s="1" t="s">
        <v>358</v>
      </c>
      <c r="E4" s="3" t="s">
        <v>136</v>
      </c>
    </row>
    <row r="5" spans="1:10">
      <c r="B5">
        <v>0.15</v>
      </c>
      <c r="C5">
        <v>0.26</v>
      </c>
      <c r="D5">
        <v>0.04</v>
      </c>
      <c r="E5">
        <v>0.01</v>
      </c>
    </row>
    <row r="7" spans="1:10">
      <c r="B7" s="295" t="s">
        <v>135</v>
      </c>
      <c r="C7" s="303"/>
      <c r="D7" s="303"/>
    </row>
    <row r="8" spans="1:10">
      <c r="F8" s="295"/>
      <c r="G8" s="303"/>
      <c r="H8" s="303"/>
    </row>
    <row r="9" spans="1:10">
      <c r="B9" s="1" t="s">
        <v>145</v>
      </c>
      <c r="C9" s="1" t="s">
        <v>146</v>
      </c>
      <c r="D9" s="1" t="s">
        <v>358</v>
      </c>
      <c r="F9" s="1"/>
      <c r="G9" s="1"/>
      <c r="H9" s="1"/>
    </row>
    <row r="10" spans="1:10">
      <c r="A10" s="1" t="s">
        <v>145</v>
      </c>
      <c r="B10" s="5">
        <v>2.5600000000000001E-2</v>
      </c>
      <c r="C10" s="5">
        <v>1.2800000000000001E-2</v>
      </c>
      <c r="D10" s="5">
        <v>-1.1039999999999999E-2</v>
      </c>
    </row>
    <row r="11" spans="1:10">
      <c r="A11" s="1" t="s">
        <v>146</v>
      </c>
      <c r="B11" s="5">
        <v>1.2800000000000001E-2</v>
      </c>
      <c r="C11" s="5">
        <v>4.0000000000000008E-2</v>
      </c>
      <c r="D11" s="5">
        <v>-8.9999999999999993E-3</v>
      </c>
    </row>
    <row r="12" spans="1:10">
      <c r="A12" s="1" t="s">
        <v>358</v>
      </c>
      <c r="B12" s="5">
        <v>-1.1039999999999999E-2</v>
      </c>
      <c r="C12" s="5">
        <v>-8.9999999999999993E-3</v>
      </c>
      <c r="D12" s="5">
        <v>0.09</v>
      </c>
    </row>
    <row r="15" spans="1:10">
      <c r="B15" s="295" t="s">
        <v>156</v>
      </c>
      <c r="C15" s="303"/>
      <c r="D15" s="303"/>
      <c r="H15" s="295" t="s">
        <v>157</v>
      </c>
      <c r="I15" s="303"/>
      <c r="J15" s="303"/>
    </row>
    <row r="16" spans="1:10">
      <c r="B16" s="304" t="s">
        <v>158</v>
      </c>
      <c r="C16" s="303"/>
      <c r="D16" s="303"/>
      <c r="H16" s="304" t="s">
        <v>158</v>
      </c>
      <c r="I16" s="303"/>
      <c r="J16" s="303"/>
    </row>
    <row r="17" spans="1:13">
      <c r="B17" s="1" t="s">
        <v>145</v>
      </c>
      <c r="C17" s="1" t="s">
        <v>146</v>
      </c>
      <c r="D17" s="1" t="s">
        <v>358</v>
      </c>
      <c r="F17" s="1"/>
      <c r="H17" s="1" t="s">
        <v>145</v>
      </c>
      <c r="I17" s="1" t="s">
        <v>146</v>
      </c>
      <c r="J17" s="1" t="s">
        <v>358</v>
      </c>
    </row>
    <row r="18" spans="1:13">
      <c r="B18" s="5">
        <v>0.5</v>
      </c>
      <c r="C18" s="5">
        <v>0.3</v>
      </c>
      <c r="D18" s="5">
        <f>1-SUM(B18:C18)</f>
        <v>0.19999999999999996</v>
      </c>
      <c r="F18" s="1"/>
      <c r="H18" s="5">
        <v>0.32605675075148888</v>
      </c>
      <c r="I18" s="5">
        <v>0.54616928765323192</v>
      </c>
      <c r="J18" s="5">
        <f>1-SUM(H18:I18)</f>
        <v>0.12777396159527921</v>
      </c>
    </row>
    <row r="20" spans="1:13">
      <c r="B20" t="s">
        <v>159</v>
      </c>
      <c r="C20" t="s">
        <v>160</v>
      </c>
      <c r="D20" t="s">
        <v>13</v>
      </c>
      <c r="E20" t="s">
        <v>161</v>
      </c>
      <c r="H20" t="s">
        <v>159</v>
      </c>
      <c r="I20" t="s">
        <v>160</v>
      </c>
      <c r="J20" t="s">
        <v>13</v>
      </c>
      <c r="K20" t="s">
        <v>161</v>
      </c>
    </row>
    <row r="21" spans="1:13">
      <c r="A21" s="1" t="s">
        <v>145</v>
      </c>
      <c r="B21" s="5">
        <f>SUMPRODUCT($B$18:$D$18,B10:D10)</f>
        <v>1.4432000000000002E-2</v>
      </c>
      <c r="C21" s="5">
        <f>B21/$B$25</f>
        <v>1.0197851893725269</v>
      </c>
      <c r="D21" s="5">
        <f>B5</f>
        <v>0.15</v>
      </c>
      <c r="E21" s="5">
        <f>D21-(0.01+C21*($B$26-0.01))</f>
        <v>-1.3987563595251579E-2</v>
      </c>
      <c r="F21" s="28"/>
      <c r="G21" s="1" t="s">
        <v>145</v>
      </c>
      <c r="H21" s="5">
        <f>SUMPRODUCT($H$18:$J$18,B10:D10)</f>
        <v>1.3927395165187604E-2</v>
      </c>
      <c r="I21" s="5">
        <f>H21/$H$25</f>
        <v>0.75259337657122194</v>
      </c>
      <c r="J21" s="5">
        <f>D21</f>
        <v>0.15</v>
      </c>
      <c r="K21" s="5">
        <f>J21-(0.01+I21*($H$26-0.01))</f>
        <v>-4.3349724004881907E-8</v>
      </c>
      <c r="M21" t="s">
        <v>152</v>
      </c>
    </row>
    <row r="22" spans="1:13">
      <c r="A22" s="1" t="s">
        <v>146</v>
      </c>
      <c r="B22" s="5">
        <f>SUMPRODUCT($B$18:$D$18,B11:D11)</f>
        <v>1.6600000000000004E-2</v>
      </c>
      <c r="C22" s="5">
        <f>B22/$B$25</f>
        <v>1.1729790842283778</v>
      </c>
      <c r="D22" s="5">
        <f>C5</f>
        <v>0.26</v>
      </c>
      <c r="E22" s="5">
        <f>D22-(0.01+C22*($B$26-0.01))</f>
        <v>7.2880158281514951E-2</v>
      </c>
      <c r="G22" s="1" t="s">
        <v>146</v>
      </c>
      <c r="H22" s="5">
        <f>SUMPRODUCT($H$18:$J$18,B11:D11)</f>
        <v>2.4870332261390828E-2</v>
      </c>
      <c r="I22" s="5">
        <f>H22/$H$25</f>
        <v>1.3439158658923709</v>
      </c>
      <c r="J22" s="5">
        <f>D22</f>
        <v>0.26</v>
      </c>
      <c r="K22" s="5">
        <f>J22-(0.01+I22*($H$26-0.01))</f>
        <v>8.5915573710959592E-8</v>
      </c>
    </row>
    <row r="23" spans="1:13">
      <c r="A23" s="1" t="s">
        <v>358</v>
      </c>
      <c r="B23" s="5">
        <f>SUMPRODUCT($B$18:$D$18,B12:D12)</f>
        <v>9.7799999999999953E-3</v>
      </c>
      <c r="C23" s="5">
        <f>B23/$B$25</f>
        <v>0.69106840022611604</v>
      </c>
      <c r="D23" s="5">
        <f>D5</f>
        <v>0.04</v>
      </c>
      <c r="E23" s="5">
        <f>D23-(0.01+C23*($B$26-0.01))</f>
        <v>-7.4351328434143521E-2</v>
      </c>
      <c r="G23" s="1" t="s">
        <v>358</v>
      </c>
      <c r="H23" s="5">
        <f>SUMPRODUCT($H$18:$J$18,B12:D12)</f>
        <v>2.9844664263996047E-3</v>
      </c>
      <c r="I23" s="5">
        <f>H23/$H$25</f>
        <v>0.16127133885895395</v>
      </c>
      <c r="J23" s="5">
        <f>D23</f>
        <v>0.04</v>
      </c>
      <c r="K23" s="5">
        <f>J23-(0.01+I23*($H$26-0.01))</f>
        <v>-2.5662487995736782E-7</v>
      </c>
    </row>
    <row r="25" spans="1:13">
      <c r="A25" t="s">
        <v>162</v>
      </c>
      <c r="B25" s="5" cm="1">
        <f t="array" ref="B25">MMULT(MMULT(B18:D18,B10:D12),TRANSPOSE(B18:D18))</f>
        <v>1.4152000000000001E-2</v>
      </c>
      <c r="G25" t="s">
        <v>162</v>
      </c>
      <c r="H25" s="5">
        <f>SUMPRODUCT(MMULT(H18:J18,B10:D12),H18:J18)</f>
        <v>1.8505869967445267E-2</v>
      </c>
    </row>
    <row r="26" spans="1:13">
      <c r="A26" t="s">
        <v>37</v>
      </c>
      <c r="B26" s="5">
        <f>SUMPRODUCT(B18:D18,B5:D5)</f>
        <v>0.161</v>
      </c>
      <c r="G26" t="s">
        <v>37</v>
      </c>
      <c r="H26" s="5">
        <f>SUMPRODUCT(H18:J18,B5:D5)</f>
        <v>0.1960234858663748</v>
      </c>
    </row>
    <row r="27" spans="1:13">
      <c r="A27" t="s">
        <v>141</v>
      </c>
      <c r="B27" s="5">
        <f>(B26-0.01)/SQRT(B25)</f>
        <v>1.2693109813750256</v>
      </c>
      <c r="G27" t="s">
        <v>141</v>
      </c>
      <c r="H27" s="5">
        <f>(H26-0.01)/SQRT(H25)</f>
        <v>1.3674549421487867</v>
      </c>
    </row>
    <row r="28" spans="1:13">
      <c r="B28" s="1"/>
    </row>
  </sheetData>
  <mergeCells count="7">
    <mergeCell ref="B3:D3"/>
    <mergeCell ref="B15:D15"/>
    <mergeCell ref="H15:J15"/>
    <mergeCell ref="H16:J16"/>
    <mergeCell ref="F8:H8"/>
    <mergeCell ref="B7:D7"/>
    <mergeCell ref="B16:D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904-28FF-4E7C-AEB7-46AA132FCD13}">
  <dimension ref="A1:Q35"/>
  <sheetViews>
    <sheetView topLeftCell="A3" workbookViewId="0">
      <selection activeCell="G14" sqref="G14"/>
    </sheetView>
  </sheetViews>
  <sheetFormatPr defaultRowHeight="15"/>
  <cols>
    <col min="4" max="4" width="10.5703125" bestFit="1" customWidth="1"/>
    <col min="5" max="5" width="9.28515625" bestFit="1" customWidth="1"/>
    <col min="8" max="8" width="10.7109375" bestFit="1" customWidth="1"/>
    <col min="13" max="13" width="10.85546875" customWidth="1"/>
    <col min="14" max="14" width="13.5703125" bestFit="1" customWidth="1"/>
    <col min="17" max="17" width="8.28515625" bestFit="1" customWidth="1"/>
  </cols>
  <sheetData>
    <row r="1" spans="1:17" ht="21">
      <c r="A1" s="306" t="s">
        <v>641</v>
      </c>
      <c r="B1" s="306"/>
      <c r="C1" s="306"/>
      <c r="D1" s="306"/>
      <c r="E1" s="306"/>
    </row>
    <row r="2" spans="1:17">
      <c r="B2" s="40"/>
      <c r="C2" s="40"/>
      <c r="D2" s="40"/>
      <c r="E2" s="40"/>
      <c r="F2" s="40"/>
      <c r="G2" s="40"/>
      <c r="H2" s="40"/>
    </row>
    <row r="3" spans="1:17">
      <c r="B3" s="294" t="s">
        <v>644</v>
      </c>
      <c r="C3" s="294"/>
      <c r="D3" s="294"/>
      <c r="E3" s="294"/>
      <c r="F3" s="294"/>
      <c r="G3" s="294"/>
      <c r="H3" s="294"/>
    </row>
    <row r="4" spans="1:17">
      <c r="B4" s="1"/>
      <c r="C4" s="1" t="s">
        <v>632</v>
      </c>
      <c r="D4" s="1" t="s">
        <v>633</v>
      </c>
      <c r="E4" s="1" t="s">
        <v>637</v>
      </c>
      <c r="F4" s="1" t="s">
        <v>7</v>
      </c>
      <c r="G4" s="1"/>
      <c r="H4" s="1"/>
    </row>
    <row r="5" spans="1:17">
      <c r="B5" s="1" t="s">
        <v>631</v>
      </c>
      <c r="C5" s="1" t="s">
        <v>164</v>
      </c>
      <c r="D5" s="1" t="s">
        <v>164</v>
      </c>
      <c r="E5" s="1" t="s">
        <v>638</v>
      </c>
      <c r="F5" s="1" t="s">
        <v>640</v>
      </c>
      <c r="G5" s="1"/>
      <c r="H5" s="1"/>
    </row>
    <row r="6" spans="1:17">
      <c r="B6">
        <v>0.5</v>
      </c>
      <c r="C6" s="136">
        <f>50/80-1</f>
        <v>-0.375</v>
      </c>
      <c r="D6" s="136">
        <v>0</v>
      </c>
      <c r="E6" s="219">
        <f>C6</f>
        <v>-0.375</v>
      </c>
      <c r="F6">
        <f>80*(1+E6)</f>
        <v>50</v>
      </c>
      <c r="H6" s="111"/>
    </row>
    <row r="7" spans="1:17">
      <c r="B7">
        <v>0.5</v>
      </c>
      <c r="C7" s="136">
        <f>150/80-1</f>
        <v>0.875</v>
      </c>
      <c r="D7" s="136">
        <v>0</v>
      </c>
      <c r="E7" s="219">
        <f>C7</f>
        <v>0.875</v>
      </c>
      <c r="F7">
        <f>80*(1+E7)</f>
        <v>150</v>
      </c>
    </row>
    <row r="9" spans="1:17">
      <c r="B9" t="s">
        <v>639</v>
      </c>
      <c r="C9" s="112">
        <f>SUMPRODUCT($B$14:$B$15,C6:C7)</f>
        <v>0.25</v>
      </c>
      <c r="D9" s="112">
        <f>SUMPRODUCT($B$14:$B$15,D6:D7)</f>
        <v>0</v>
      </c>
      <c r="E9" s="112">
        <f>SUMPRODUCT($B$14:$B$15,E6:E7)</f>
        <v>0.25</v>
      </c>
      <c r="F9" s="220">
        <f>SUMPRODUCT($B$14:$B$15,F6:F7)</f>
        <v>100</v>
      </c>
    </row>
    <row r="11" spans="1:17">
      <c r="B11" s="294" t="s">
        <v>349</v>
      </c>
      <c r="C11" s="294"/>
      <c r="D11" s="294"/>
      <c r="E11" s="294"/>
      <c r="F11" s="294"/>
      <c r="G11" s="294"/>
      <c r="H11" s="294"/>
      <c r="I11" s="294"/>
    </row>
    <row r="12" spans="1:17">
      <c r="B12" s="3"/>
      <c r="C12" s="3" t="s">
        <v>632</v>
      </c>
      <c r="D12" s="3" t="s">
        <v>633</v>
      </c>
      <c r="E12" s="3" t="s">
        <v>637</v>
      </c>
      <c r="F12" s="3" t="s">
        <v>7</v>
      </c>
      <c r="G12" s="3"/>
      <c r="H12" s="3"/>
      <c r="I12" s="3" t="s">
        <v>640</v>
      </c>
    </row>
    <row r="13" spans="1:17">
      <c r="B13" s="3" t="s">
        <v>631</v>
      </c>
      <c r="C13" s="3" t="s">
        <v>164</v>
      </c>
      <c r="D13" s="3" t="s">
        <v>164</v>
      </c>
      <c r="E13" s="3" t="s">
        <v>638</v>
      </c>
      <c r="F13" s="3" t="s">
        <v>640</v>
      </c>
      <c r="G13" s="3" t="s">
        <v>443</v>
      </c>
      <c r="H13" s="3" t="s">
        <v>634</v>
      </c>
      <c r="I13" s="3" t="s">
        <v>154</v>
      </c>
      <c r="J13" s="219"/>
    </row>
    <row r="14" spans="1:17">
      <c r="B14">
        <v>0.5</v>
      </c>
      <c r="C14" s="136">
        <f>50/80-1</f>
        <v>-0.375</v>
      </c>
      <c r="D14" s="136">
        <f>50/G14-1</f>
        <v>1.5</v>
      </c>
      <c r="E14" s="219">
        <f>$H$14*D14+(1-$H$14)*C14</f>
        <v>0.1875</v>
      </c>
      <c r="F14">
        <f>80*(1+E14)</f>
        <v>95</v>
      </c>
      <c r="G14">
        <v>20</v>
      </c>
      <c r="H14" s="111">
        <v>0.3</v>
      </c>
      <c r="I14" s="96">
        <f>(D15-D14)/($E$7-$E$6)</f>
        <v>-2</v>
      </c>
      <c r="Q14" s="105"/>
    </row>
    <row r="15" spans="1:17">
      <c r="B15">
        <v>0.5</v>
      </c>
      <c r="C15" s="136">
        <f>150/80-1</f>
        <v>0.875</v>
      </c>
      <c r="D15" s="136">
        <f>0/G14-1</f>
        <v>-1</v>
      </c>
      <c r="E15" s="219">
        <f>$H$14*D15+(1-$H$14)*C15</f>
        <v>0.31249999999999994</v>
      </c>
      <c r="F15">
        <f>80*(1+E15)</f>
        <v>105</v>
      </c>
      <c r="Q15" s="137"/>
    </row>
    <row r="17" spans="2:17">
      <c r="B17" t="s">
        <v>639</v>
      </c>
      <c r="C17" s="112">
        <f>SUMPRODUCT($B$14:$B$15,C14:C15)</f>
        <v>0.25</v>
      </c>
      <c r="D17" s="112">
        <f>SUMPRODUCT($B$14:$B$15,D14:D15)</f>
        <v>0.25</v>
      </c>
      <c r="E17" s="112">
        <f>SUMPRODUCT($B$14:$B$15,E14:E15)</f>
        <v>0.24999999999999997</v>
      </c>
      <c r="F17" s="220">
        <f>SUMPRODUCT($B$14:$B$15,F14:F15)</f>
        <v>100</v>
      </c>
      <c r="N17" s="224"/>
    </row>
    <row r="18" spans="2:17">
      <c r="P18" s="137"/>
      <c r="Q18" s="223"/>
    </row>
    <row r="19" spans="2:17">
      <c r="P19" s="111"/>
      <c r="Q19" s="111"/>
    </row>
    <row r="20" spans="2:17">
      <c r="B20" s="294" t="s">
        <v>642</v>
      </c>
      <c r="C20" s="294"/>
      <c r="D20" s="294"/>
      <c r="E20" s="294"/>
      <c r="F20" s="294"/>
      <c r="G20" s="294"/>
      <c r="H20" s="294"/>
      <c r="I20" s="294"/>
      <c r="P20" s="137"/>
      <c r="Q20" s="112"/>
    </row>
    <row r="21" spans="2:17">
      <c r="B21" s="3"/>
      <c r="C21" s="3" t="s">
        <v>632</v>
      </c>
      <c r="D21" s="3" t="s">
        <v>633</v>
      </c>
      <c r="E21" s="3" t="s">
        <v>637</v>
      </c>
      <c r="F21" s="3" t="s">
        <v>7</v>
      </c>
      <c r="G21" s="3"/>
      <c r="H21" s="3"/>
      <c r="I21" s="3" t="s">
        <v>640</v>
      </c>
      <c r="P21" s="137"/>
      <c r="Q21" s="223"/>
    </row>
    <row r="22" spans="2:17">
      <c r="B22" s="3" t="s">
        <v>631</v>
      </c>
      <c r="C22" s="3" t="s">
        <v>164</v>
      </c>
      <c r="D22" s="3" t="s">
        <v>164</v>
      </c>
      <c r="E22" s="3" t="s">
        <v>638</v>
      </c>
      <c r="F22" s="3" t="s">
        <v>640</v>
      </c>
      <c r="G22" s="3" t="s">
        <v>443</v>
      </c>
      <c r="H22" s="3" t="s">
        <v>635</v>
      </c>
      <c r="I22" s="3" t="s">
        <v>154</v>
      </c>
      <c r="J22" s="219"/>
    </row>
    <row r="23" spans="2:17">
      <c r="B23">
        <v>0.5</v>
      </c>
      <c r="C23" s="136">
        <f>50/80-1</f>
        <v>-0.375</v>
      </c>
      <c r="D23" s="136">
        <f>20/G23-1</f>
        <v>0</v>
      </c>
      <c r="E23" s="219">
        <f>$H$23*D23+(1-$H$23)*C23</f>
        <v>-0.26249999999999996</v>
      </c>
      <c r="F23">
        <f>80*(1+E23)</f>
        <v>59</v>
      </c>
      <c r="G23">
        <v>20</v>
      </c>
      <c r="H23" s="111">
        <v>0.3</v>
      </c>
      <c r="I23" s="96">
        <f>(D24-D23)/($E$7-$E$6)</f>
        <v>0.4</v>
      </c>
      <c r="P23" s="137"/>
      <c r="Q23" s="137"/>
    </row>
    <row r="24" spans="2:17">
      <c r="B24">
        <v>0.5</v>
      </c>
      <c r="C24" s="136">
        <f>150/80-1</f>
        <v>0.875</v>
      </c>
      <c r="D24" s="136">
        <f>30/G23-1</f>
        <v>0.5</v>
      </c>
      <c r="E24" s="219">
        <f>$H$23*D24+(1-$H$23)*C24</f>
        <v>0.76249999999999996</v>
      </c>
      <c r="F24">
        <f>80*(1+E24)</f>
        <v>141</v>
      </c>
      <c r="P24" s="305"/>
      <c r="Q24" s="305"/>
    </row>
    <row r="25" spans="2:17">
      <c r="P25" s="225"/>
      <c r="Q25" s="225"/>
    </row>
    <row r="26" spans="2:17">
      <c r="B26" t="s">
        <v>639</v>
      </c>
      <c r="C26" s="112">
        <f>SUMPRODUCT($B$23:$B$24,C23:C24)</f>
        <v>0.25</v>
      </c>
      <c r="D26" s="112">
        <f>SUMPRODUCT($B$23:$B$24,D23:D24)</f>
        <v>0.25</v>
      </c>
      <c r="E26" s="112">
        <f>SUMPRODUCT($B$23:$B$24,E23:E24)</f>
        <v>0.25</v>
      </c>
      <c r="F26" s="220">
        <f>SUMPRODUCT($B$23:$B$24,F23:F24)</f>
        <v>100</v>
      </c>
    </row>
    <row r="29" spans="2:17">
      <c r="B29" s="294" t="s">
        <v>643</v>
      </c>
      <c r="C29" s="294"/>
      <c r="D29" s="294"/>
      <c r="E29" s="294"/>
      <c r="F29" s="294"/>
      <c r="G29" s="294"/>
      <c r="H29" s="294"/>
      <c r="I29" s="294"/>
    </row>
    <row r="30" spans="2:17">
      <c r="B30" s="1"/>
      <c r="C30" s="1" t="s">
        <v>632</v>
      </c>
      <c r="D30" s="1" t="s">
        <v>633</v>
      </c>
      <c r="E30" s="1" t="s">
        <v>637</v>
      </c>
      <c r="F30" s="1" t="s">
        <v>7</v>
      </c>
      <c r="G30" s="1"/>
      <c r="H30" s="1"/>
      <c r="I30" s="3" t="s">
        <v>640</v>
      </c>
    </row>
    <row r="31" spans="2:17">
      <c r="B31" s="1" t="s">
        <v>631</v>
      </c>
      <c r="C31" s="1" t="s">
        <v>164</v>
      </c>
      <c r="D31" s="1" t="s">
        <v>164</v>
      </c>
      <c r="E31" s="1" t="s">
        <v>638</v>
      </c>
      <c r="F31" s="1" t="s">
        <v>640</v>
      </c>
      <c r="G31" s="1" t="s">
        <v>443</v>
      </c>
      <c r="H31" s="1" t="s">
        <v>636</v>
      </c>
      <c r="I31" s="3" t="s">
        <v>154</v>
      </c>
      <c r="J31" s="219"/>
    </row>
    <row r="32" spans="2:17">
      <c r="B32">
        <v>0.5</v>
      </c>
      <c r="C32" s="136">
        <f>50/80-1</f>
        <v>-0.375</v>
      </c>
      <c r="D32" s="136">
        <f>5/G32-1</f>
        <v>-0.75</v>
      </c>
      <c r="E32" s="219">
        <f>$H$14*D32+(1-$H$14)*C32</f>
        <v>-0.48749999999999993</v>
      </c>
      <c r="F32" s="105">
        <f>80*(1+E32)</f>
        <v>41.000000000000007</v>
      </c>
      <c r="G32">
        <v>20</v>
      </c>
      <c r="H32" s="111">
        <v>0.3</v>
      </c>
      <c r="I32" s="96">
        <f>(D33-D32)/($E$7-$E$6)</f>
        <v>1.6</v>
      </c>
    </row>
    <row r="33" spans="2:8">
      <c r="B33">
        <v>0.5</v>
      </c>
      <c r="C33" s="136">
        <f>150/80-1</f>
        <v>0.875</v>
      </c>
      <c r="D33" s="136">
        <f>45/G32-1</f>
        <v>1.25</v>
      </c>
      <c r="E33" s="219">
        <f>$H$14*D33+(1-$H$14)*C33</f>
        <v>0.98749999999999993</v>
      </c>
      <c r="F33">
        <f>80*(1+E33)</f>
        <v>159</v>
      </c>
    </row>
    <row r="35" spans="2:8">
      <c r="B35" s="40" t="s">
        <v>639</v>
      </c>
      <c r="C35" s="221">
        <f>SUMPRODUCT($B$14:$B$15,C32:C33)</f>
        <v>0.25</v>
      </c>
      <c r="D35" s="221">
        <f>SUMPRODUCT($B$14:$B$15,D32:D33)</f>
        <v>0.25</v>
      </c>
      <c r="E35" s="221">
        <f>SUMPRODUCT($B$14:$B$15,E32:E33)</f>
        <v>0.25</v>
      </c>
      <c r="F35" s="222">
        <f>SUMPRODUCT($B$14:$B$15,F32:F33)</f>
        <v>100</v>
      </c>
      <c r="G35" s="40"/>
      <c r="H35" s="40"/>
    </row>
  </sheetData>
  <mergeCells count="6">
    <mergeCell ref="B29:I29"/>
    <mergeCell ref="P24:Q24"/>
    <mergeCell ref="A1:E1"/>
    <mergeCell ref="B3:H3"/>
    <mergeCell ref="B11:I11"/>
    <mergeCell ref="B20:I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I64"/>
  <sheetViews>
    <sheetView workbookViewId="0">
      <selection sqref="A1:I1"/>
    </sheetView>
  </sheetViews>
  <sheetFormatPr defaultRowHeight="15"/>
  <cols>
    <col min="1" max="1" width="9.5703125" bestFit="1" customWidth="1"/>
    <col min="4" max="4" width="4" customWidth="1"/>
    <col min="8" max="8" width="11.42578125" bestFit="1" customWidth="1"/>
    <col min="9" max="9" width="13.85546875" bestFit="1" customWidth="1"/>
  </cols>
  <sheetData>
    <row r="1" spans="1:9" ht="21">
      <c r="A1" s="307" t="s">
        <v>645</v>
      </c>
      <c r="B1" s="307"/>
      <c r="C1" s="307"/>
      <c r="D1" s="307"/>
      <c r="E1" s="307"/>
      <c r="F1" s="307"/>
      <c r="G1" s="307"/>
      <c r="H1" s="307"/>
      <c r="I1" s="307"/>
    </row>
    <row r="3" spans="1:9">
      <c r="B3" s="294" t="s">
        <v>47</v>
      </c>
      <c r="C3" s="294"/>
    </row>
    <row r="4" spans="1:9">
      <c r="A4" s="150" t="s">
        <v>163</v>
      </c>
      <c r="B4" s="227" t="s">
        <v>166</v>
      </c>
      <c r="C4" s="227" t="s">
        <v>167</v>
      </c>
    </row>
    <row r="5" spans="1:9">
      <c r="A5" s="179" t="s">
        <v>102</v>
      </c>
      <c r="B5" s="147">
        <v>5.0843903694797889E-2</v>
      </c>
      <c r="C5" s="147">
        <v>1.9800000000000002E-2</v>
      </c>
      <c r="E5" t="s">
        <v>168</v>
      </c>
      <c r="F5" t="s">
        <v>169</v>
      </c>
      <c r="G5" s="4" t="s">
        <v>154</v>
      </c>
      <c r="H5" t="s">
        <v>170</v>
      </c>
      <c r="I5" t="s">
        <v>171</v>
      </c>
    </row>
    <row r="6" spans="1:9">
      <c r="A6" s="179" t="s">
        <v>103</v>
      </c>
      <c r="B6" s="147">
        <v>3.7895950238514511E-2</v>
      </c>
      <c r="C6" s="147">
        <v>3.6099999999999903E-2</v>
      </c>
      <c r="D6" s="99"/>
      <c r="E6">
        <f>VARP(B5:B64)</f>
        <v>4.8063692339585552E-3</v>
      </c>
      <c r="F6">
        <f>VARP(C5:C64)</f>
        <v>2.1075625977138917E-3</v>
      </c>
      <c r="G6">
        <f>SLOPE(B5:B64,C5:C64)</f>
        <v>1.0566050102592908</v>
      </c>
      <c r="H6" s="97">
        <f>(G6^2*F6)/E6</f>
        <v>0.48954056310066146</v>
      </c>
      <c r="I6" s="97">
        <f>1-H6</f>
        <v>0.51045943689933848</v>
      </c>
    </row>
    <row r="7" spans="1:9">
      <c r="A7" s="179" t="s">
        <v>104</v>
      </c>
      <c r="B7" s="147">
        <v>-3.2152122497598683E-2</v>
      </c>
      <c r="C7" s="147">
        <v>2E-3</v>
      </c>
      <c r="D7" s="99"/>
    </row>
    <row r="8" spans="1:9">
      <c r="A8" s="179" t="s">
        <v>105</v>
      </c>
      <c r="B8" s="147">
        <v>-7.9307355781586278E-2</v>
      </c>
      <c r="C8" s="147">
        <v>1.14E-2</v>
      </c>
      <c r="D8" s="99"/>
    </row>
    <row r="9" spans="1:9">
      <c r="A9" s="179" t="s">
        <v>106</v>
      </c>
      <c r="B9" s="147">
        <v>-3.7663882554005039E-2</v>
      </c>
      <c r="C9" s="147">
        <v>1.12E-2</v>
      </c>
      <c r="D9" s="99"/>
    </row>
    <row r="10" spans="1:9">
      <c r="A10" s="179" t="s">
        <v>107</v>
      </c>
      <c r="B10" s="147">
        <v>8.4383313704003895E-3</v>
      </c>
      <c r="C10" s="147">
        <v>8.3999999999999995E-3</v>
      </c>
      <c r="D10" s="99"/>
    </row>
    <row r="11" spans="1:9">
      <c r="A11" s="179" t="s">
        <v>108</v>
      </c>
      <c r="B11" s="147">
        <v>-5.7677310033791798E-2</v>
      </c>
      <c r="C11" s="147">
        <v>1.9400000000000001E-2</v>
      </c>
      <c r="D11" s="99"/>
    </row>
    <row r="12" spans="1:9">
      <c r="A12" s="179" t="s">
        <v>109</v>
      </c>
      <c r="B12" s="147">
        <v>-1.250289387472992E-3</v>
      </c>
      <c r="C12" s="147">
        <v>2.5000000000000001E-3</v>
      </c>
      <c r="D12" s="99"/>
    </row>
    <row r="13" spans="1:9">
      <c r="A13" s="179" t="s">
        <v>110</v>
      </c>
      <c r="B13" s="147">
        <v>1.5634894260993029E-2</v>
      </c>
      <c r="C13" s="147">
        <v>2.5999999999999999E-2</v>
      </c>
      <c r="D13" s="99"/>
    </row>
    <row r="14" spans="1:9">
      <c r="A14" s="179" t="s">
        <v>111</v>
      </c>
      <c r="B14" s="147">
        <v>6.2851017703577816E-2</v>
      </c>
      <c r="C14" s="147">
        <v>2.3400000000000001E-2</v>
      </c>
      <c r="D14" s="99"/>
    </row>
    <row r="15" spans="1:9">
      <c r="A15" s="179" t="s">
        <v>112</v>
      </c>
      <c r="B15" s="147">
        <v>8.1864131934943022E-3</v>
      </c>
      <c r="C15" s="147">
        <v>3.2000000000000001E-2</v>
      </c>
      <c r="D15" s="99"/>
    </row>
    <row r="16" spans="1:9">
      <c r="A16" s="179" t="s">
        <v>522</v>
      </c>
      <c r="B16" s="147">
        <v>-2.1634586666526758E-3</v>
      </c>
      <c r="C16" s="147">
        <v>1.15E-2</v>
      </c>
      <c r="D16" s="99"/>
    </row>
    <row r="17" spans="1:4">
      <c r="A17" s="179" t="s">
        <v>523</v>
      </c>
      <c r="B17" s="147">
        <v>6.7950355972360377E-2</v>
      </c>
      <c r="C17" s="147">
        <v>5.6899999999999999E-2</v>
      </c>
      <c r="D17" s="99"/>
    </row>
    <row r="18" spans="1:4">
      <c r="A18" s="179" t="s">
        <v>524</v>
      </c>
      <c r="B18" s="147">
        <v>-4.0626472410250108E-2</v>
      </c>
      <c r="C18" s="147">
        <v>-3.5400000000000001E-2</v>
      </c>
      <c r="D18" s="99"/>
    </row>
    <row r="19" spans="1:4">
      <c r="A19" s="179" t="s">
        <v>525</v>
      </c>
      <c r="B19" s="147">
        <v>-1.511755089332196E-2</v>
      </c>
      <c r="C19" s="147">
        <v>-2.23E-2</v>
      </c>
      <c r="D19" s="99"/>
    </row>
    <row r="20" spans="1:4">
      <c r="A20" s="179" t="s">
        <v>526</v>
      </c>
      <c r="B20" s="147">
        <v>-5.6176209421377958E-2</v>
      </c>
      <c r="C20" s="147">
        <v>4.3E-3</v>
      </c>
      <c r="D20" s="99"/>
    </row>
    <row r="21" spans="1:4">
      <c r="A21" s="179" t="s">
        <v>527</v>
      </c>
      <c r="B21" s="147">
        <v>-1.5911531162417541E-2</v>
      </c>
      <c r="C21" s="147">
        <v>2.7900000000000001E-2</v>
      </c>
      <c r="D21" s="99"/>
    </row>
    <row r="22" spans="1:4">
      <c r="A22" s="179" t="s">
        <v>528</v>
      </c>
      <c r="B22" s="147">
        <v>-1.0600635052978501E-2</v>
      </c>
      <c r="C22" s="147">
        <v>6.1999999999999998E-3</v>
      </c>
      <c r="D22" s="99"/>
    </row>
    <row r="23" spans="1:4">
      <c r="A23" s="179" t="s">
        <v>529</v>
      </c>
      <c r="B23" s="147">
        <v>3.8913394252502682E-2</v>
      </c>
      <c r="C23" s="147">
        <v>3.3499999999999898E-2</v>
      </c>
      <c r="D23" s="99"/>
    </row>
    <row r="24" spans="1:4">
      <c r="A24" s="179" t="s">
        <v>530</v>
      </c>
      <c r="B24" s="147">
        <v>2.3196412840078791E-2</v>
      </c>
      <c r="C24" s="147">
        <v>3.5999999999999997E-2</v>
      </c>
      <c r="D24" s="99"/>
    </row>
    <row r="25" spans="1:4">
      <c r="A25" s="179" t="s">
        <v>531</v>
      </c>
      <c r="B25" s="147">
        <v>3.1710989315308302E-2</v>
      </c>
      <c r="C25" s="147">
        <v>2.0999999999999999E-3</v>
      </c>
      <c r="D25" s="99"/>
    </row>
    <row r="26" spans="1:4">
      <c r="A26" s="179" t="s">
        <v>275</v>
      </c>
      <c r="B26" s="147">
        <v>-0.2357214774062989</v>
      </c>
      <c r="C26" s="147">
        <v>-7.4899999999999994E-2</v>
      </c>
      <c r="D26" s="99"/>
    </row>
    <row r="27" spans="1:4">
      <c r="A27" s="179" t="s">
        <v>276</v>
      </c>
      <c r="B27" s="147">
        <v>8.989623584892964E-2</v>
      </c>
      <c r="C27" s="147">
        <v>1.8699999999999901E-2</v>
      </c>
      <c r="D27" s="99"/>
    </row>
    <row r="28" spans="1:4">
      <c r="A28" s="179" t="s">
        <v>277</v>
      </c>
      <c r="B28" s="147">
        <v>-8.6153304283064516E-2</v>
      </c>
      <c r="C28" s="147">
        <v>-9.3600000000000003E-2</v>
      </c>
      <c r="D28" s="99"/>
    </row>
    <row r="29" spans="1:4">
      <c r="A29" s="179" t="s">
        <v>532</v>
      </c>
      <c r="B29" s="147">
        <v>0.18369298535781869</v>
      </c>
      <c r="C29" s="147">
        <v>8.6199999999999999E-2</v>
      </c>
      <c r="D29" s="99"/>
    </row>
    <row r="30" spans="1:4">
      <c r="A30" s="179" t="s">
        <v>533</v>
      </c>
      <c r="B30" s="147">
        <v>4.0922642823122482E-2</v>
      </c>
      <c r="C30" s="147">
        <v>3.5799999999999998E-2</v>
      </c>
      <c r="D30" s="99"/>
    </row>
    <row r="31" spans="1:4">
      <c r="A31" s="179" t="s">
        <v>534</v>
      </c>
      <c r="B31" s="147">
        <v>2.2579257390105401E-2</v>
      </c>
      <c r="C31" s="147">
        <v>1.29E-2</v>
      </c>
      <c r="D31" s="99"/>
    </row>
    <row r="32" spans="1:4">
      <c r="A32" s="179" t="s">
        <v>535</v>
      </c>
      <c r="B32" s="147">
        <v>-6.2542798365952694E-3</v>
      </c>
      <c r="C32" s="147">
        <v>4.1699999999999897E-2</v>
      </c>
      <c r="D32" s="99"/>
    </row>
    <row r="33" spans="1:4">
      <c r="A33" s="179" t="s">
        <v>536</v>
      </c>
      <c r="B33" s="147">
        <v>-8.5101151780856879E-2</v>
      </c>
      <c r="C33" s="147">
        <v>-6.7299999999999999E-2</v>
      </c>
      <c r="D33" s="99"/>
    </row>
    <row r="34" spans="1:4">
      <c r="A34" s="179" t="s">
        <v>537</v>
      </c>
      <c r="B34" s="147">
        <v>8.7034053125332092E-2</v>
      </c>
      <c r="C34" s="147">
        <v>7.1099999999999997E-2</v>
      </c>
      <c r="D34" s="99"/>
    </row>
    <row r="35" spans="1:4">
      <c r="A35" s="179" t="s">
        <v>538</v>
      </c>
      <c r="B35" s="147">
        <v>7.6017440324677707E-2</v>
      </c>
      <c r="C35" s="147">
        <v>1.38E-2</v>
      </c>
      <c r="D35" s="99"/>
    </row>
    <row r="36" spans="1:4">
      <c r="A36" s="179" t="s">
        <v>539</v>
      </c>
      <c r="B36" s="147">
        <v>-7.6065421717074755E-2</v>
      </c>
      <c r="C36" s="147">
        <v>-2.4199999999999999E-2</v>
      </c>
      <c r="D36" s="99"/>
    </row>
    <row r="37" spans="1:4">
      <c r="A37" s="179" t="s">
        <v>540</v>
      </c>
      <c r="B37" s="147">
        <v>7.2895892696218753E-2</v>
      </c>
      <c r="C37" s="147">
        <v>1.61E-2</v>
      </c>
      <c r="D37" s="99"/>
    </row>
    <row r="38" spans="1:4">
      <c r="A38" s="179" t="s">
        <v>278</v>
      </c>
      <c r="B38" s="147">
        <v>-8.0268660519472818E-2</v>
      </c>
      <c r="C38" s="147">
        <v>2.2100000000000002E-2</v>
      </c>
      <c r="D38" s="99"/>
    </row>
    <row r="39" spans="1:4">
      <c r="A39" s="179" t="s">
        <v>279</v>
      </c>
      <c r="B39" s="147">
        <v>1.8246479147417342E-2</v>
      </c>
      <c r="C39" s="147">
        <v>3.9899999999999998E-2</v>
      </c>
      <c r="D39" s="99"/>
    </row>
    <row r="40" spans="1:4">
      <c r="A40" s="179" t="s">
        <v>280</v>
      </c>
      <c r="B40" s="147">
        <v>-1.7876956249486861E-3</v>
      </c>
      <c r="C40" s="147">
        <v>2.9100000000000001E-2</v>
      </c>
      <c r="D40" s="99"/>
    </row>
    <row r="41" spans="1:4">
      <c r="A41" s="179" t="s">
        <v>541</v>
      </c>
      <c r="B41" s="147">
        <v>7.353837027289048E-2</v>
      </c>
      <c r="C41" s="147">
        <v>1.9999999999999901E-4</v>
      </c>
      <c r="D41" s="99"/>
    </row>
    <row r="42" spans="1:4">
      <c r="A42" s="179" t="s">
        <v>542</v>
      </c>
      <c r="B42" s="147">
        <v>-8.4428787635322008E-2</v>
      </c>
      <c r="C42" s="147">
        <v>-8.0100000000000005E-2</v>
      </c>
      <c r="D42" s="99"/>
    </row>
    <row r="43" spans="1:4">
      <c r="A43" s="179" t="s">
        <v>543</v>
      </c>
      <c r="B43" s="147">
        <v>-0.14778281211724181</v>
      </c>
      <c r="C43" s="147">
        <v>-0.1326</v>
      </c>
      <c r="D43" s="99"/>
    </row>
    <row r="44" spans="1:4">
      <c r="A44" s="179" t="s">
        <v>544</v>
      </c>
      <c r="B44" s="147">
        <v>0.13155101120000551</v>
      </c>
      <c r="C44" s="147">
        <v>0.13650000000000001</v>
      </c>
      <c r="D44" s="99"/>
    </row>
    <row r="45" spans="1:4">
      <c r="A45" s="179" t="s">
        <v>545</v>
      </c>
      <c r="B45" s="147">
        <v>6.8144793969852737E-3</v>
      </c>
      <c r="C45" s="147">
        <v>5.5899999999999998E-2</v>
      </c>
      <c r="D45" s="99"/>
    </row>
    <row r="46" spans="1:4">
      <c r="A46" s="179" t="s">
        <v>546</v>
      </c>
      <c r="B46" s="147">
        <v>-3.1714980993078012E-2</v>
      </c>
      <c r="C46" s="147">
        <v>2.47E-2</v>
      </c>
      <c r="D46" s="99"/>
    </row>
    <row r="47" spans="1:4">
      <c r="A47" s="179" t="s">
        <v>547</v>
      </c>
      <c r="B47" s="147">
        <v>1.7035732531146749E-2</v>
      </c>
      <c r="C47" s="147">
        <v>5.7799999999999997E-2</v>
      </c>
      <c r="D47" s="99"/>
    </row>
    <row r="48" spans="1:4">
      <c r="A48" s="179" t="s">
        <v>548</v>
      </c>
      <c r="B48" s="147">
        <v>1.7656448853695831E-2</v>
      </c>
      <c r="C48" s="147">
        <v>7.6399999999999996E-2</v>
      </c>
      <c r="D48" s="99"/>
    </row>
    <row r="49" spans="1:4">
      <c r="A49" s="179" t="s">
        <v>549</v>
      </c>
      <c r="B49" s="147">
        <v>-1.2869741154377159E-2</v>
      </c>
      <c r="C49" s="147">
        <v>-3.6199999999999899E-2</v>
      </c>
      <c r="D49" s="99"/>
    </row>
    <row r="50" spans="1:4">
      <c r="A50" s="179" t="s">
        <v>281</v>
      </c>
      <c r="B50" s="147">
        <v>-8.1299130349501675E-2</v>
      </c>
      <c r="C50" s="147">
        <v>-2.0899999999999998E-2</v>
      </c>
      <c r="D50" s="99"/>
    </row>
    <row r="51" spans="1:4">
      <c r="A51" s="179" t="s">
        <v>282</v>
      </c>
      <c r="B51" s="147">
        <v>0.1223153204810587</v>
      </c>
      <c r="C51" s="147">
        <v>0.12479999999999999</v>
      </c>
      <c r="D51" s="99"/>
    </row>
    <row r="52" spans="1:4">
      <c r="A52" s="179" t="s">
        <v>283</v>
      </c>
      <c r="B52" s="147">
        <v>1.7501782408830529E-2</v>
      </c>
      <c r="C52" s="147">
        <v>4.6399999999999997E-2</v>
      </c>
      <c r="D52" s="99"/>
    </row>
    <row r="53" spans="1:4">
      <c r="A53" s="179" t="s">
        <v>600</v>
      </c>
      <c r="B53" s="147">
        <v>-5.4897313557708612E-2</v>
      </c>
      <c r="C53" s="147">
        <v>-2.9999999999999997E-4</v>
      </c>
      <c r="D53" s="99"/>
    </row>
    <row r="54" spans="1:4">
      <c r="A54" s="179" t="s">
        <v>601</v>
      </c>
      <c r="B54" s="147">
        <v>1.1996391966177539E-2</v>
      </c>
      <c r="C54" s="147">
        <v>2.7799999999999998E-2</v>
      </c>
      <c r="D54" s="99"/>
    </row>
    <row r="55" spans="1:4">
      <c r="A55" s="179" t="s">
        <v>602</v>
      </c>
      <c r="B55" s="147">
        <v>0.1203781510755961</v>
      </c>
      <c r="C55" s="147">
        <v>3.0800000000000001E-2</v>
      </c>
      <c r="D55" s="99"/>
    </row>
    <row r="56" spans="1:4">
      <c r="A56" s="179" t="s">
        <v>603</v>
      </c>
      <c r="B56" s="147">
        <v>6.4112003736934015E-2</v>
      </c>
      <c r="C56" s="147">
        <v>4.9299999999999997E-2</v>
      </c>
      <c r="D56" s="99"/>
    </row>
    <row r="57" spans="1:4">
      <c r="A57" s="179" t="s">
        <v>604</v>
      </c>
      <c r="B57" s="147">
        <v>2.406050237626231E-2</v>
      </c>
      <c r="C57" s="147">
        <v>2.8999999999999998E-3</v>
      </c>
      <c r="D57" s="99"/>
    </row>
    <row r="58" spans="1:4">
      <c r="A58" s="179" t="s">
        <v>605</v>
      </c>
      <c r="B58" s="147">
        <v>1.974072745087279E-2</v>
      </c>
      <c r="C58" s="147">
        <v>2.75E-2</v>
      </c>
      <c r="D58" s="99"/>
    </row>
    <row r="59" spans="1:4">
      <c r="A59" s="179" t="s">
        <v>606</v>
      </c>
      <c r="B59" s="147">
        <v>-3.9441009904520902E-2</v>
      </c>
      <c r="C59" s="147">
        <v>1.2699999999999999E-2</v>
      </c>
      <c r="D59" s="99"/>
    </row>
    <row r="60" spans="1:4">
      <c r="A60" s="179" t="s">
        <v>607</v>
      </c>
      <c r="B60" s="147">
        <v>7.7179265708166639E-3</v>
      </c>
      <c r="C60" s="147">
        <v>2.8999999999999901E-2</v>
      </c>
      <c r="D60" s="99"/>
    </row>
    <row r="61" spans="1:4">
      <c r="A61" s="179" t="s">
        <v>608</v>
      </c>
      <c r="B61" s="147">
        <v>-9.9484856940726708E-3</v>
      </c>
      <c r="C61" s="147">
        <v>-4.3700000000000003E-2</v>
      </c>
      <c r="D61" s="99"/>
    </row>
    <row r="62" spans="1:4">
      <c r="A62" s="179" t="s">
        <v>609</v>
      </c>
      <c r="B62" s="147">
        <v>-9.7863096962537852E-2</v>
      </c>
      <c r="C62" s="147">
        <v>6.6500000000000004E-2</v>
      </c>
      <c r="D62" s="99"/>
    </row>
    <row r="63" spans="1:4">
      <c r="A63" s="179" t="s">
        <v>610</v>
      </c>
      <c r="B63" s="147">
        <v>-8.7905842258344281E-3</v>
      </c>
      <c r="C63" s="147">
        <v>-1.55E-2</v>
      </c>
      <c r="D63" s="99"/>
    </row>
    <row r="64" spans="1:4">
      <c r="A64" s="179" t="s">
        <v>611</v>
      </c>
      <c r="B64" s="147">
        <v>4.2824211999999999E-3</v>
      </c>
      <c r="C64" s="226">
        <v>2.3157238530000001E-3</v>
      </c>
      <c r="D64" s="99"/>
    </row>
  </sheetData>
  <mergeCells count="2">
    <mergeCell ref="A1:I1"/>
    <mergeCell ref="B3:C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5EF6-8090-4B29-B048-AE30F42A164C}">
  <dimension ref="A1:S75"/>
  <sheetViews>
    <sheetView workbookViewId="0">
      <selection sqref="A1:I1"/>
    </sheetView>
  </sheetViews>
  <sheetFormatPr defaultRowHeight="15"/>
  <sheetData>
    <row r="1" spans="1:14" ht="21">
      <c r="A1" s="307" t="s">
        <v>646</v>
      </c>
      <c r="B1" s="307"/>
      <c r="C1" s="307"/>
      <c r="D1" s="307"/>
      <c r="E1" s="307"/>
      <c r="F1" s="307"/>
      <c r="G1" s="307"/>
      <c r="H1" s="307"/>
      <c r="I1" s="307"/>
    </row>
    <row r="2" spans="1:14" ht="21">
      <c r="A2" s="228"/>
      <c r="B2" s="228"/>
      <c r="C2" s="228"/>
      <c r="D2" s="228"/>
      <c r="E2" s="228"/>
      <c r="F2" s="228"/>
      <c r="G2" s="228"/>
      <c r="H2" s="228"/>
      <c r="I2" s="228"/>
    </row>
    <row r="3" spans="1:14">
      <c r="A3" s="147"/>
      <c r="B3" s="148" t="s">
        <v>0</v>
      </c>
      <c r="C3" s="148" t="s">
        <v>1</v>
      </c>
      <c r="D3" s="150" t="s">
        <v>49</v>
      </c>
    </row>
    <row r="4" spans="1:14">
      <c r="A4" s="147" t="s">
        <v>78</v>
      </c>
      <c r="B4" s="180">
        <v>-5.9805949919264502E-2</v>
      </c>
      <c r="C4" s="180">
        <v>0.16640051538037101</v>
      </c>
      <c r="D4" s="147">
        <v>2E-3</v>
      </c>
    </row>
    <row r="5" spans="1:14">
      <c r="A5" s="147" t="s">
        <v>79</v>
      </c>
      <c r="B5" s="180">
        <v>-0.15423443993830499</v>
      </c>
      <c r="C5" s="180">
        <v>0.610094547826877</v>
      </c>
    </row>
    <row r="6" spans="1:14">
      <c r="A6" s="147" t="s">
        <v>80</v>
      </c>
      <c r="B6" s="180">
        <v>0.15503144609269501</v>
      </c>
      <c r="C6" s="180">
        <v>0.16443620858541999</v>
      </c>
      <c r="E6" s="1" t="s">
        <v>649</v>
      </c>
      <c r="M6" s="1" t="s">
        <v>647</v>
      </c>
    </row>
    <row r="7" spans="1:14">
      <c r="A7" s="147" t="s">
        <v>81</v>
      </c>
      <c r="B7" s="180">
        <v>-0.401290374213366</v>
      </c>
      <c r="C7" s="180">
        <v>0.37554906214661699</v>
      </c>
      <c r="E7" s="295" t="s">
        <v>135</v>
      </c>
      <c r="F7" s="295"/>
      <c r="M7" s="295" t="s">
        <v>135</v>
      </c>
      <c r="N7" s="295"/>
    </row>
    <row r="8" spans="1:14">
      <c r="A8" s="147" t="s">
        <v>82</v>
      </c>
      <c r="B8" s="180">
        <v>0.19958064325717001</v>
      </c>
      <c r="C8" s="180">
        <v>0.38188877250466402</v>
      </c>
      <c r="E8" s="4" t="s">
        <v>0</v>
      </c>
      <c r="F8" s="4" t="s">
        <v>1</v>
      </c>
      <c r="M8" s="4" t="s">
        <v>0</v>
      </c>
      <c r="N8" s="4" t="s">
        <v>1</v>
      </c>
    </row>
    <row r="9" spans="1:14">
      <c r="A9" s="147" t="s">
        <v>83</v>
      </c>
      <c r="B9" s="180">
        <v>0.22856774322680901</v>
      </c>
      <c r="C9" s="180">
        <v>0.109399421225858</v>
      </c>
      <c r="D9" s="55" t="s">
        <v>0</v>
      </c>
      <c r="E9" s="5">
        <f>VARP(B40:B75)</f>
        <v>6.6563002046945416E-2</v>
      </c>
      <c r="F9" s="5">
        <f>COVAR(B40:B75,C40:C75)</f>
        <v>2.1591892510912569E-3</v>
      </c>
      <c r="M9" s="5">
        <f>VARP(B4:B39)</f>
        <v>5.6093541079874874E-2</v>
      </c>
      <c r="N9" s="5">
        <f>COVAR(B4:B39,C4:C39)</f>
        <v>-9.9584006415833985E-3</v>
      </c>
    </row>
    <row r="10" spans="1:14">
      <c r="A10" s="147" t="s">
        <v>84</v>
      </c>
      <c r="B10" s="180">
        <v>6.8180135876544895E-2</v>
      </c>
      <c r="C10" s="180">
        <v>-0.30460700465083801</v>
      </c>
      <c r="D10" s="55" t="s">
        <v>1</v>
      </c>
      <c r="E10" s="5">
        <f>F9</f>
        <v>2.1591892510912569E-3</v>
      </c>
      <c r="F10" s="5">
        <f>VARP(C40:C75)</f>
        <v>4.5091131149286638E-2</v>
      </c>
      <c r="M10" s="5">
        <f>N9</f>
        <v>-9.9584006415833985E-3</v>
      </c>
      <c r="N10" s="5">
        <f>VARP(C4:C39)</f>
        <v>7.1696545324463207E-2</v>
      </c>
    </row>
    <row r="11" spans="1:14">
      <c r="A11" s="147" t="s">
        <v>85</v>
      </c>
      <c r="B11" s="180">
        <v>0.59728234040105499</v>
      </c>
      <c r="C11" s="180">
        <v>0.12462136022084599</v>
      </c>
    </row>
    <row r="12" spans="1:14">
      <c r="A12" s="147" t="s">
        <v>86</v>
      </c>
      <c r="B12" s="180">
        <v>0.36408766152343303</v>
      </c>
      <c r="C12" s="180">
        <v>0.33802019055030802</v>
      </c>
      <c r="E12" s="295" t="s">
        <v>648</v>
      </c>
      <c r="F12" s="295"/>
      <c r="M12" s="295" t="s">
        <v>648</v>
      </c>
      <c r="N12" s="295"/>
    </row>
    <row r="13" spans="1:14">
      <c r="A13" s="147" t="s">
        <v>87</v>
      </c>
      <c r="B13" s="180">
        <v>0.38634233497258802</v>
      </c>
      <c r="C13" s="180">
        <v>-0.13167010739715601</v>
      </c>
      <c r="E13" s="3" t="s">
        <v>0</v>
      </c>
      <c r="F13" s="3" t="s">
        <v>1</v>
      </c>
      <c r="M13" s="4" t="s">
        <v>0</v>
      </c>
      <c r="N13" s="4" t="s">
        <v>1</v>
      </c>
    </row>
    <row r="14" spans="1:14">
      <c r="A14" s="147" t="s">
        <v>88</v>
      </c>
      <c r="B14" s="180">
        <v>-0.338079137976801</v>
      </c>
      <c r="C14" s="180">
        <v>0.111047779725752</v>
      </c>
      <c r="E14" s="5">
        <f>AVERAGE(B40:B75)</f>
        <v>9.0716446647630358E-2</v>
      </c>
      <c r="F14" s="5">
        <f>AVERAGE(C40:C75)</f>
        <v>0.1525561250508706</v>
      </c>
      <c r="M14" s="5">
        <f>AVERAGE(B4:B39)</f>
        <v>0.11842493661834909</v>
      </c>
      <c r="N14" s="5">
        <f>AVERAGE(C4:C39)</f>
        <v>0.20090990837969977</v>
      </c>
    </row>
    <row r="15" spans="1:14">
      <c r="A15" s="147" t="s">
        <v>89</v>
      </c>
      <c r="B15" s="180">
        <v>0.103861518917792</v>
      </c>
      <c r="C15" s="180">
        <v>-0.166967322818488</v>
      </c>
    </row>
    <row r="16" spans="1:14">
      <c r="A16" s="147" t="s">
        <v>90</v>
      </c>
      <c r="B16" s="180">
        <v>0.234461058713299</v>
      </c>
      <c r="C16" s="180">
        <v>0.267776310989501</v>
      </c>
      <c r="E16" s="1" t="s">
        <v>173</v>
      </c>
      <c r="M16" s="1" t="s">
        <v>173</v>
      </c>
    </row>
    <row r="17" spans="1:19">
      <c r="A17" s="147" t="s">
        <v>91</v>
      </c>
      <c r="B17" s="180">
        <v>0.40227404563675501</v>
      </c>
      <c r="C17" s="180">
        <v>0.35913810521273498</v>
      </c>
      <c r="E17" s="3" t="s">
        <v>0</v>
      </c>
      <c r="F17" s="3" t="s">
        <v>1</v>
      </c>
      <c r="G17" s="3" t="s">
        <v>13</v>
      </c>
      <c r="H17" s="3" t="s">
        <v>174</v>
      </c>
      <c r="I17" s="3" t="s">
        <v>141</v>
      </c>
      <c r="M17" s="3" t="s">
        <v>0</v>
      </c>
      <c r="N17" s="3" t="s">
        <v>1</v>
      </c>
      <c r="O17" s="3" t="s">
        <v>13</v>
      </c>
      <c r="P17" s="3" t="s">
        <v>174</v>
      </c>
      <c r="Q17" s="3" t="s">
        <v>141</v>
      </c>
    </row>
    <row r="18" spans="1:19">
      <c r="A18" s="147" t="s">
        <v>92</v>
      </c>
      <c r="B18" s="180">
        <v>0.26304837269958498</v>
      </c>
      <c r="C18" s="180">
        <v>0.160890450117087</v>
      </c>
      <c r="E18" s="5">
        <v>0.27213633869831833</v>
      </c>
      <c r="F18" s="5">
        <f>1-E18</f>
        <v>0.72786366130168167</v>
      </c>
      <c r="G18" s="5">
        <f>SUMPRODUCT(E18:F18,E14:F14)</f>
        <v>0.13572730138393133</v>
      </c>
      <c r="H18" s="5" cm="1">
        <f t="array" ref="H18">SQRT(MMULT(MMULT(E18:F18,E9:F10),TRANSPOSE(E18:F18)))</f>
        <v>0.17226009277333165</v>
      </c>
      <c r="I18" s="5">
        <f>(G18-D4)/H18</f>
        <v>0.77631039918163935</v>
      </c>
      <c r="M18" s="5">
        <v>0.45733150079273938</v>
      </c>
      <c r="N18" s="5">
        <f>1-M18</f>
        <v>0.54266849920726057</v>
      </c>
      <c r="O18" s="5">
        <f>SUMPRODUCT(M18:N18,M14:N14)</f>
        <v>0.16318693245123453</v>
      </c>
      <c r="P18" s="5" cm="1">
        <f t="array" ref="P18">SQRT(MMULT(MMULT(M18:N18,M9:N10),TRANSPOSE(M18:N18)))</f>
        <v>0.16704189096168928</v>
      </c>
      <c r="Q18" s="5">
        <f>(O18-L4)/P18</f>
        <v>0.9769222050333537</v>
      </c>
    </row>
    <row r="19" spans="1:19">
      <c r="A19" s="147" t="s">
        <v>93</v>
      </c>
      <c r="B19" s="180">
        <v>0.197987300792587</v>
      </c>
      <c r="C19" s="180">
        <v>0.73991016492267403</v>
      </c>
    </row>
    <row r="20" spans="1:19">
      <c r="A20" s="147" t="s">
        <v>94</v>
      </c>
      <c r="B20" s="180">
        <v>0.11616360941705001</v>
      </c>
      <c r="C20" s="180">
        <v>-6.5195511700143899E-2</v>
      </c>
      <c r="F20" s="295" t="s">
        <v>47</v>
      </c>
      <c r="G20" s="295"/>
      <c r="H20" s="295"/>
      <c r="J20" s="295" t="s">
        <v>161</v>
      </c>
      <c r="K20" s="295"/>
      <c r="N20" s="295" t="s">
        <v>47</v>
      </c>
      <c r="O20" s="295"/>
      <c r="P20" s="295"/>
      <c r="R20" s="295" t="s">
        <v>161</v>
      </c>
      <c r="S20" s="295"/>
    </row>
    <row r="21" spans="1:19">
      <c r="A21" s="147" t="s">
        <v>95</v>
      </c>
      <c r="B21" s="180">
        <v>-0.12127184673691099</v>
      </c>
      <c r="C21" s="180">
        <v>-0.13661931719211201</v>
      </c>
      <c r="F21" s="4" t="s">
        <v>0</v>
      </c>
      <c r="G21" s="4" t="s">
        <v>1</v>
      </c>
      <c r="H21" s="4" t="s">
        <v>167</v>
      </c>
      <c r="J21" s="4" t="s">
        <v>0</v>
      </c>
      <c r="K21" s="4" t="s">
        <v>1</v>
      </c>
      <c r="N21" s="4" t="s">
        <v>0</v>
      </c>
      <c r="O21" s="4" t="s">
        <v>1</v>
      </c>
      <c r="P21" s="4" t="s">
        <v>167</v>
      </c>
      <c r="R21" s="4" t="s">
        <v>0</v>
      </c>
      <c r="S21" s="4" t="s">
        <v>1</v>
      </c>
    </row>
    <row r="22" spans="1:19">
      <c r="A22" s="147" t="s">
        <v>96</v>
      </c>
      <c r="B22" s="180">
        <v>7.9191508108955797E-2</v>
      </c>
      <c r="C22" s="180">
        <v>-0.31605115471332801</v>
      </c>
      <c r="E22" t="s">
        <v>523</v>
      </c>
      <c r="F22" s="5">
        <f t="shared" ref="F22:F57" si="0">B40-$D$4</f>
        <v>0.11692601489136099</v>
      </c>
      <c r="G22" s="5">
        <f t="shared" ref="G22:G57" si="1">C40-$D$4</f>
        <v>0.31812922495609403</v>
      </c>
      <c r="H22" s="5">
        <f t="shared" ref="H22:H57" si="2">SUMPRODUCT($E$18:$F$18,B40:C40)-$D$4</f>
        <v>0.26337452003472894</v>
      </c>
      <c r="J22" s="27">
        <f>INTERCEPT(F22:F57,H22:H57)</f>
        <v>3.8257907883365583E-8</v>
      </c>
      <c r="K22" s="27">
        <f>INTERCEPT(G22:G57,H22:H57)</f>
        <v>-1.4304007173171485E-8</v>
      </c>
      <c r="M22" t="s">
        <v>523</v>
      </c>
      <c r="N22" s="5">
        <f>B40-$D$4</f>
        <v>0.11692601489136099</v>
      </c>
      <c r="O22" s="5">
        <f>C40-$D$4</f>
        <v>0.31812922495609403</v>
      </c>
      <c r="P22" s="5">
        <f>SUMPRODUCT($M$18:$N$18,B40:C40)-$D$4</f>
        <v>0.22611265893287286</v>
      </c>
      <c r="R22" s="27">
        <f>INTERCEPT(N22:N57,P22:P57)</f>
        <v>-4.800665119043919E-2</v>
      </c>
      <c r="S22" s="27">
        <f>INTERCEPT(O22:O57,P22:P57)</f>
        <v>4.0457395019296752E-2</v>
      </c>
    </row>
    <row r="23" spans="1:19">
      <c r="A23" s="147" t="s">
        <v>97</v>
      </c>
      <c r="B23" s="180">
        <v>0.45910361539273697</v>
      </c>
      <c r="C23" s="180">
        <v>0.31664353522023198</v>
      </c>
      <c r="E23" t="s">
        <v>524</v>
      </c>
      <c r="F23" s="5">
        <f t="shared" si="0"/>
        <v>0.535894452080666</v>
      </c>
      <c r="G23" s="5">
        <f t="shared" si="1"/>
        <v>0.255704631720227</v>
      </c>
      <c r="H23" s="5">
        <f t="shared" si="2"/>
        <v>0.33195446357365643</v>
      </c>
      <c r="M23" t="s">
        <v>524</v>
      </c>
      <c r="N23" s="5">
        <f t="shared" ref="N23:O57" si="3">B41-$D$4</f>
        <v>0.535894452080666</v>
      </c>
      <c r="O23" s="5">
        <f t="shared" si="3"/>
        <v>0.255704631720227</v>
      </c>
      <c r="P23" s="5">
        <f t="shared" ref="P23:P57" si="4">SUMPRODUCT($M$18:$N$18,B41:C41)-$D$4</f>
        <v>0.3838442627725146</v>
      </c>
    </row>
    <row r="24" spans="1:19">
      <c r="A24" s="147" t="s">
        <v>98</v>
      </c>
      <c r="B24" s="180">
        <v>-0.13934262961806301</v>
      </c>
      <c r="C24" s="180">
        <v>0.24210331182745501</v>
      </c>
      <c r="E24" t="s">
        <v>525</v>
      </c>
      <c r="F24" s="5">
        <f t="shared" si="0"/>
        <v>4.4825776105008097E-2</v>
      </c>
      <c r="G24" s="5">
        <f t="shared" si="1"/>
        <v>0.13039640294857999</v>
      </c>
      <c r="H24" s="5">
        <f t="shared" si="2"/>
        <v>0.10710952585925031</v>
      </c>
      <c r="M24" t="s">
        <v>525</v>
      </c>
      <c r="N24" s="5">
        <f t="shared" si="3"/>
        <v>4.4825776105008097E-2</v>
      </c>
      <c r="O24" s="5">
        <f t="shared" si="3"/>
        <v>0.13039640294857999</v>
      </c>
      <c r="P24" s="5">
        <f t="shared" si="4"/>
        <v>9.1262259750433783E-2</v>
      </c>
    </row>
    <row r="25" spans="1:19">
      <c r="A25" s="147" t="s">
        <v>99</v>
      </c>
      <c r="B25" s="180">
        <v>0.122712879184754</v>
      </c>
      <c r="C25" s="180">
        <v>0.142472191716846</v>
      </c>
      <c r="E25" t="s">
        <v>526</v>
      </c>
      <c r="F25" s="5">
        <f t="shared" si="0"/>
        <v>0.411709909691716</v>
      </c>
      <c r="G25" s="5">
        <f t="shared" si="1"/>
        <v>0.54909791676487196</v>
      </c>
      <c r="H25" s="5">
        <f t="shared" si="2"/>
        <v>0.51170964753892467</v>
      </c>
      <c r="M25" t="s">
        <v>526</v>
      </c>
      <c r="N25" s="5">
        <f t="shared" si="3"/>
        <v>0.411709909691716</v>
      </c>
      <c r="O25" s="5">
        <f t="shared" si="3"/>
        <v>0.54909791676487196</v>
      </c>
      <c r="P25" s="5">
        <f t="shared" si="4"/>
        <v>0.48626605329918204</v>
      </c>
    </row>
    <row r="26" spans="1:19">
      <c r="A26" s="147" t="s">
        <v>100</v>
      </c>
      <c r="B26" s="180">
        <v>0.530644128624707</v>
      </c>
      <c r="C26" s="180">
        <v>7.4006566972297003E-2</v>
      </c>
      <c r="E26" t="s">
        <v>527</v>
      </c>
      <c r="F26" s="5">
        <f t="shared" si="0"/>
        <v>0.22040442671813198</v>
      </c>
      <c r="G26" s="5">
        <f t="shared" si="1"/>
        <v>2.0161538659158602E-2</v>
      </c>
      <c r="H26" s="5">
        <f t="shared" si="2"/>
        <v>7.4654905065904817E-2</v>
      </c>
      <c r="M26" t="s">
        <v>527</v>
      </c>
      <c r="N26" s="5">
        <f t="shared" si="3"/>
        <v>0.22040442671813198</v>
      </c>
      <c r="O26" s="5">
        <f t="shared" si="3"/>
        <v>2.0161538659158602E-2</v>
      </c>
      <c r="P26" s="5">
        <f t="shared" si="4"/>
        <v>0.1117389191782414</v>
      </c>
    </row>
    <row r="27" spans="1:19">
      <c r="A27" s="147" t="s">
        <v>101</v>
      </c>
      <c r="B27" s="180">
        <v>0.18132952345903999</v>
      </c>
      <c r="C27" s="180">
        <v>0.52055827138391297</v>
      </c>
      <c r="E27" t="s">
        <v>528</v>
      </c>
      <c r="F27" s="5">
        <f t="shared" si="0"/>
        <v>-2.7397733909769302E-2</v>
      </c>
      <c r="G27" s="5">
        <f t="shared" si="1"/>
        <v>8.39313065935203E-2</v>
      </c>
      <c r="H27" s="5">
        <f t="shared" si="2"/>
        <v>5.3634629120158282E-2</v>
      </c>
      <c r="M27" t="s">
        <v>528</v>
      </c>
      <c r="N27" s="5">
        <f t="shared" si="3"/>
        <v>-2.7397733909769302E-2</v>
      </c>
      <c r="O27" s="5">
        <f t="shared" si="3"/>
        <v>8.39313065935203E-2</v>
      </c>
      <c r="P27" s="5">
        <f t="shared" si="4"/>
        <v>3.3017029418335189E-2</v>
      </c>
    </row>
    <row r="28" spans="1:19">
      <c r="A28" s="147" t="s">
        <v>102</v>
      </c>
      <c r="B28" s="180">
        <v>3.41242000107135E-2</v>
      </c>
      <c r="C28" s="180">
        <v>-0.26736221118362502</v>
      </c>
      <c r="E28" t="s">
        <v>529</v>
      </c>
      <c r="F28" s="5">
        <f t="shared" si="0"/>
        <v>-0.33692317519382597</v>
      </c>
      <c r="G28" s="5">
        <f t="shared" si="1"/>
        <v>0.36006931076548399</v>
      </c>
      <c r="H28" s="5">
        <f t="shared" si="2"/>
        <v>0.17039232753627831</v>
      </c>
      <c r="M28" t="s">
        <v>529</v>
      </c>
      <c r="N28" s="5">
        <f t="shared" si="3"/>
        <v>-0.33692317519382597</v>
      </c>
      <c r="O28" s="5">
        <f t="shared" si="3"/>
        <v>0.36006931076548399</v>
      </c>
      <c r="P28" s="5">
        <f t="shared" si="4"/>
        <v>4.1312691120450412E-2</v>
      </c>
    </row>
    <row r="29" spans="1:19">
      <c r="A29" s="147" t="s">
        <v>103</v>
      </c>
      <c r="B29" s="180">
        <v>-2.2264315170559199E-3</v>
      </c>
      <c r="C29" s="180">
        <v>0.105398105289345</v>
      </c>
      <c r="E29" t="s">
        <v>530</v>
      </c>
      <c r="F29" s="5">
        <f t="shared" si="0"/>
        <v>-0.134879061226862</v>
      </c>
      <c r="G29" s="5">
        <f t="shared" si="1"/>
        <v>-0.24435067456303899</v>
      </c>
      <c r="H29" s="5">
        <f t="shared" si="2"/>
        <v>-0.21455947051833379</v>
      </c>
      <c r="M29" t="s">
        <v>530</v>
      </c>
      <c r="N29" s="5">
        <f t="shared" si="3"/>
        <v>-0.134879061226862</v>
      </c>
      <c r="O29" s="5">
        <f t="shared" si="3"/>
        <v>-0.24435067456303899</v>
      </c>
      <c r="P29" s="5">
        <f t="shared" si="4"/>
        <v>-0.1942858573418027</v>
      </c>
    </row>
    <row r="30" spans="1:19">
      <c r="A30" s="147" t="s">
        <v>104</v>
      </c>
      <c r="B30" s="180">
        <v>0.25762245199219302</v>
      </c>
      <c r="C30" s="180">
        <v>0.40734497077883502</v>
      </c>
      <c r="E30" t="s">
        <v>531</v>
      </c>
      <c r="F30" s="5">
        <f t="shared" si="0"/>
        <v>0.12814538416650301</v>
      </c>
      <c r="G30" s="5">
        <f t="shared" si="1"/>
        <v>-0.109724744653886</v>
      </c>
      <c r="H30" s="5">
        <f t="shared" si="2"/>
        <v>-4.499163871100801E-2</v>
      </c>
      <c r="M30" t="s">
        <v>531</v>
      </c>
      <c r="N30" s="5">
        <f t="shared" si="3"/>
        <v>0.12814538416650301</v>
      </c>
      <c r="O30" s="5">
        <f t="shared" si="3"/>
        <v>-0.109724744653886</v>
      </c>
      <c r="P30" s="5">
        <f t="shared" si="4"/>
        <v>-9.3924164669523767E-4</v>
      </c>
    </row>
    <row r="31" spans="1:19">
      <c r="A31" s="147" t="s">
        <v>105</v>
      </c>
      <c r="B31" s="180">
        <v>-0.24733228772465199</v>
      </c>
      <c r="C31" s="180">
        <v>0.437742702979937</v>
      </c>
      <c r="E31" t="s">
        <v>275</v>
      </c>
      <c r="F31" s="5">
        <f t="shared" si="0"/>
        <v>-0.28991341947275501</v>
      </c>
      <c r="G31" s="5">
        <f t="shared" si="1"/>
        <v>2.4492621590601699E-2</v>
      </c>
      <c r="H31" s="5">
        <f t="shared" si="2"/>
        <v>-6.1068687289013317E-2</v>
      </c>
      <c r="M31" t="s">
        <v>275</v>
      </c>
      <c r="N31" s="5">
        <f t="shared" si="3"/>
        <v>-0.28991341947275501</v>
      </c>
      <c r="O31" s="5">
        <f t="shared" si="3"/>
        <v>2.4492621590601699E-2</v>
      </c>
      <c r="P31" s="5">
        <f t="shared" si="4"/>
        <v>-0.11929516502720687</v>
      </c>
    </row>
    <row r="32" spans="1:19">
      <c r="A32" s="147" t="s">
        <v>106</v>
      </c>
      <c r="B32" s="180">
        <v>0.33275818038192001</v>
      </c>
      <c r="C32" s="180">
        <v>0.16396983339912799</v>
      </c>
      <c r="E32" t="s">
        <v>276</v>
      </c>
      <c r="F32" s="5">
        <f t="shared" si="0"/>
        <v>0.15968163530542001</v>
      </c>
      <c r="G32" s="5">
        <f t="shared" si="1"/>
        <v>0.58024443907015899</v>
      </c>
      <c r="H32" s="5">
        <f t="shared" si="2"/>
        <v>0.46579401746092358</v>
      </c>
      <c r="M32" t="s">
        <v>276</v>
      </c>
      <c r="N32" s="5">
        <f t="shared" si="3"/>
        <v>0.15968163530542001</v>
      </c>
      <c r="O32" s="5">
        <f t="shared" si="3"/>
        <v>0.58024443907015899</v>
      </c>
      <c r="P32" s="5">
        <f t="shared" si="4"/>
        <v>0.38790782084682857</v>
      </c>
    </row>
    <row r="33" spans="1:16">
      <c r="A33" s="147" t="s">
        <v>107</v>
      </c>
      <c r="B33" s="180">
        <v>-4.57942791432411E-2</v>
      </c>
      <c r="C33" s="180">
        <v>0.47260376126296499</v>
      </c>
      <c r="E33" t="s">
        <v>277</v>
      </c>
      <c r="F33" s="5">
        <f t="shared" si="0"/>
        <v>-0.22823977800359699</v>
      </c>
      <c r="G33" s="5">
        <f t="shared" si="1"/>
        <v>0.28373298105074102</v>
      </c>
      <c r="H33" s="5">
        <f t="shared" si="2"/>
        <v>0.14440658888841718</v>
      </c>
      <c r="M33" t="s">
        <v>277</v>
      </c>
      <c r="N33" s="5">
        <f t="shared" si="3"/>
        <v>-0.22823977800359699</v>
      </c>
      <c r="O33" s="5">
        <f t="shared" si="3"/>
        <v>0.28373298105074102</v>
      </c>
      <c r="P33" s="5">
        <f t="shared" si="4"/>
        <v>4.9591710787421056E-2</v>
      </c>
    </row>
    <row r="34" spans="1:16">
      <c r="A34" s="147" t="s">
        <v>108</v>
      </c>
      <c r="B34" s="180">
        <v>0.224596845230918</v>
      </c>
      <c r="C34" s="180">
        <v>0.18554902548473201</v>
      </c>
      <c r="E34" t="s">
        <v>532</v>
      </c>
      <c r="F34" s="5">
        <f t="shared" si="0"/>
        <v>0.109180199938746</v>
      </c>
      <c r="G34" s="5">
        <f t="shared" si="1"/>
        <v>2.6926685440872303E-2</v>
      </c>
      <c r="H34" s="5">
        <f t="shared" si="2"/>
        <v>4.9310855721392696E-2</v>
      </c>
      <c r="M34" t="s">
        <v>532</v>
      </c>
      <c r="N34" s="5">
        <f t="shared" si="3"/>
        <v>0.109180199938746</v>
      </c>
      <c r="O34" s="5">
        <f t="shared" si="3"/>
        <v>2.6926685440872303E-2</v>
      </c>
      <c r="P34" s="5">
        <f t="shared" si="4"/>
        <v>6.4543808671662234E-2</v>
      </c>
    </row>
    <row r="35" spans="1:16">
      <c r="A35" s="147" t="s">
        <v>109</v>
      </c>
      <c r="B35" s="180">
        <v>0.43725344867317101</v>
      </c>
      <c r="C35" s="180">
        <v>-6.6820491221123296E-2</v>
      </c>
      <c r="E35" t="s">
        <v>533</v>
      </c>
      <c r="F35" s="5">
        <f t="shared" si="0"/>
        <v>0.134103924660853</v>
      </c>
      <c r="G35" s="5">
        <f t="shared" si="1"/>
        <v>-0.15011964010016901</v>
      </c>
      <c r="H35" s="5">
        <f t="shared" si="2"/>
        <v>-7.2772079814320115E-2</v>
      </c>
      <c r="M35" t="s">
        <v>533</v>
      </c>
      <c r="N35" s="5">
        <f t="shared" si="3"/>
        <v>0.134103924660853</v>
      </c>
      <c r="O35" s="5">
        <f t="shared" si="3"/>
        <v>-0.15011964010016901</v>
      </c>
      <c r="P35" s="5">
        <f t="shared" si="4"/>
        <v>-2.0135250667348455E-2</v>
      </c>
    </row>
    <row r="36" spans="1:16">
      <c r="A36" s="147" t="s">
        <v>110</v>
      </c>
      <c r="B36" s="180">
        <v>-0.19694331922959599</v>
      </c>
      <c r="C36" s="180">
        <v>0.559656294606654</v>
      </c>
      <c r="E36" t="s">
        <v>534</v>
      </c>
      <c r="F36" s="5">
        <f t="shared" si="0"/>
        <v>6.3376697561621197E-3</v>
      </c>
      <c r="G36" s="5">
        <f t="shared" si="1"/>
        <v>3.6844522465931298E-2</v>
      </c>
      <c r="H36" s="5">
        <f t="shared" si="2"/>
        <v>2.8542499264285842E-2</v>
      </c>
      <c r="M36" t="s">
        <v>534</v>
      </c>
      <c r="N36" s="5">
        <f t="shared" si="3"/>
        <v>6.3376697561621197E-3</v>
      </c>
      <c r="O36" s="5">
        <f t="shared" si="3"/>
        <v>3.6844522465931298E-2</v>
      </c>
      <c r="P36" s="5">
        <f t="shared" si="4"/>
        <v>2.2892777731709509E-2</v>
      </c>
    </row>
    <row r="37" spans="1:16">
      <c r="A37" s="147" t="s">
        <v>111</v>
      </c>
      <c r="B37" s="180">
        <v>7.0281060358906799E-2</v>
      </c>
      <c r="C37" s="180">
        <v>0.49336384969951003</v>
      </c>
      <c r="E37" t="s">
        <v>535</v>
      </c>
      <c r="F37" s="5">
        <f t="shared" si="0"/>
        <v>0.53403429672619496</v>
      </c>
      <c r="G37" s="5">
        <f t="shared" si="1"/>
        <v>-9.5622752053848306E-2</v>
      </c>
      <c r="H37" s="5">
        <f t="shared" si="2"/>
        <v>7.5729811836741087E-2</v>
      </c>
      <c r="M37" t="s">
        <v>535</v>
      </c>
      <c r="N37" s="5">
        <f t="shared" si="3"/>
        <v>0.53403429672619496</v>
      </c>
      <c r="O37" s="5">
        <f t="shared" si="3"/>
        <v>-9.5622752053848306E-2</v>
      </c>
      <c r="P37" s="5">
        <f t="shared" si="4"/>
        <v>0.19233925104945598</v>
      </c>
    </row>
    <row r="38" spans="1:16">
      <c r="A38" s="147" t="s">
        <v>112</v>
      </c>
      <c r="B38" s="180">
        <v>-5.1859414347751702E-3</v>
      </c>
      <c r="C38" s="180">
        <v>3.3945025055911203E-2</v>
      </c>
      <c r="E38" t="s">
        <v>536</v>
      </c>
      <c r="F38" s="5">
        <f t="shared" si="0"/>
        <v>-0.14326542148778501</v>
      </c>
      <c r="G38" s="5">
        <f t="shared" si="1"/>
        <v>0.239635954495765</v>
      </c>
      <c r="H38" s="5">
        <f t="shared" si="2"/>
        <v>0.13543457595305353</v>
      </c>
      <c r="M38" t="s">
        <v>536</v>
      </c>
      <c r="N38" s="5">
        <f t="shared" si="3"/>
        <v>-0.14326542148778501</v>
      </c>
      <c r="O38" s="5">
        <f t="shared" si="3"/>
        <v>0.239635954495765</v>
      </c>
      <c r="P38" s="5">
        <f t="shared" si="4"/>
        <v>6.4523093561603073E-2</v>
      </c>
    </row>
    <row r="39" spans="1:16">
      <c r="A39" s="147" t="s">
        <v>522</v>
      </c>
      <c r="B39" s="180">
        <v>-7.1681697232780506E-2</v>
      </c>
      <c r="C39" s="180">
        <v>0.623519487459536</v>
      </c>
      <c r="E39" t="s">
        <v>537</v>
      </c>
      <c r="F39" s="5">
        <f t="shared" si="0"/>
        <v>-0.127943516597187</v>
      </c>
      <c r="G39" s="5">
        <f t="shared" si="1"/>
        <v>0.47120354973831902</v>
      </c>
      <c r="H39" s="5">
        <f t="shared" si="2"/>
        <v>0.30815386076393597</v>
      </c>
      <c r="M39" t="s">
        <v>537</v>
      </c>
      <c r="N39" s="5">
        <f t="shared" si="3"/>
        <v>-0.127943516597187</v>
      </c>
      <c r="O39" s="5">
        <f t="shared" si="3"/>
        <v>0.47120354973831902</v>
      </c>
      <c r="P39" s="5">
        <f t="shared" si="4"/>
        <v>0.19719472269553504</v>
      </c>
    </row>
    <row r="40" spans="1:16">
      <c r="A40" s="147" t="s">
        <v>523</v>
      </c>
      <c r="B40" s="180">
        <v>0.118926014891361</v>
      </c>
      <c r="C40" s="180">
        <v>0.32012922495609403</v>
      </c>
      <c r="E40" t="s">
        <v>538</v>
      </c>
      <c r="F40" s="5">
        <f t="shared" si="0"/>
        <v>-0.350539073940491</v>
      </c>
      <c r="G40" s="5">
        <f t="shared" si="1"/>
        <v>0.35415991745338299</v>
      </c>
      <c r="H40" s="5">
        <f t="shared" si="2"/>
        <v>0.1623857140510564</v>
      </c>
      <c r="M40" t="s">
        <v>538</v>
      </c>
      <c r="N40" s="5">
        <f t="shared" si="3"/>
        <v>-0.350539073940491</v>
      </c>
      <c r="O40" s="5">
        <f t="shared" si="3"/>
        <v>0.35415991745338299</v>
      </c>
      <c r="P40" s="5">
        <f t="shared" si="4"/>
        <v>3.1878870112092839E-2</v>
      </c>
    </row>
    <row r="41" spans="1:16">
      <c r="A41" s="147" t="s">
        <v>524</v>
      </c>
      <c r="B41" s="180">
        <v>0.537894452080666</v>
      </c>
      <c r="C41" s="180">
        <v>0.25770463172022701</v>
      </c>
      <c r="E41" t="s">
        <v>539</v>
      </c>
      <c r="F41" s="5">
        <f t="shared" si="0"/>
        <v>7.8322470324249993E-2</v>
      </c>
      <c r="G41" s="5">
        <f t="shared" si="1"/>
        <v>-0.18604088873917601</v>
      </c>
      <c r="H41" s="5">
        <f t="shared" si="2"/>
        <v>-0.11409801211766638</v>
      </c>
      <c r="M41" t="s">
        <v>539</v>
      </c>
      <c r="N41" s="5">
        <f t="shared" si="3"/>
        <v>7.8322470324249993E-2</v>
      </c>
      <c r="O41" s="5">
        <f t="shared" si="3"/>
        <v>-0.18604088873917601</v>
      </c>
      <c r="P41" s="5">
        <f t="shared" si="4"/>
        <v>-6.5139196984089556E-2</v>
      </c>
    </row>
    <row r="42" spans="1:16">
      <c r="A42" s="147" t="s">
        <v>525</v>
      </c>
      <c r="B42" s="180">
        <v>4.6825776105008099E-2</v>
      </c>
      <c r="C42" s="180">
        <v>0.13239640294857999</v>
      </c>
      <c r="E42" t="s">
        <v>540</v>
      </c>
      <c r="F42" s="5">
        <f t="shared" si="0"/>
        <v>0.20918876937978301</v>
      </c>
      <c r="G42" s="5">
        <f t="shared" si="1"/>
        <v>0.363091591898004</v>
      </c>
      <c r="H42" s="5">
        <f t="shared" si="2"/>
        <v>0.32120904126255823</v>
      </c>
      <c r="M42" t="s">
        <v>540</v>
      </c>
      <c r="N42" s="5">
        <f t="shared" si="3"/>
        <v>0.20918876937978301</v>
      </c>
      <c r="O42" s="5">
        <f t="shared" si="3"/>
        <v>0.363091591898004</v>
      </c>
      <c r="P42" s="5">
        <f t="shared" si="4"/>
        <v>0.29270698309950738</v>
      </c>
    </row>
    <row r="43" spans="1:16">
      <c r="A43" s="147" t="s">
        <v>526</v>
      </c>
      <c r="B43" s="180">
        <v>0.413709909691716</v>
      </c>
      <c r="C43" s="180">
        <v>0.55109791676487196</v>
      </c>
      <c r="E43" t="s">
        <v>278</v>
      </c>
      <c r="F43" s="5">
        <f t="shared" si="0"/>
        <v>3.6204935073460898E-2</v>
      </c>
      <c r="G43" s="5">
        <f t="shared" si="1"/>
        <v>0.16592315532131099</v>
      </c>
      <c r="H43" s="5">
        <f t="shared" si="2"/>
        <v>0.13062211380059902</v>
      </c>
      <c r="M43" t="s">
        <v>278</v>
      </c>
      <c r="N43" s="5">
        <f t="shared" si="3"/>
        <v>3.6204935073460898E-2</v>
      </c>
      <c r="O43" s="5">
        <f t="shared" si="3"/>
        <v>0.16592315532131099</v>
      </c>
      <c r="P43" s="5">
        <f t="shared" si="4"/>
        <v>0.1065989269751986</v>
      </c>
    </row>
    <row r="44" spans="1:16">
      <c r="A44" s="147" t="s">
        <v>527</v>
      </c>
      <c r="B44" s="180">
        <v>0.22240442671813199</v>
      </c>
      <c r="C44" s="180">
        <v>2.2161538659158601E-2</v>
      </c>
      <c r="E44" t="s">
        <v>279</v>
      </c>
      <c r="F44" s="5">
        <f t="shared" si="0"/>
        <v>-0.15731308562158799</v>
      </c>
      <c r="G44" s="5">
        <f t="shared" si="1"/>
        <v>-0.16935397116729001</v>
      </c>
      <c r="H44" s="5">
        <f t="shared" si="2"/>
        <v>-0.16607720866019715</v>
      </c>
      <c r="M44" t="s">
        <v>279</v>
      </c>
      <c r="N44" s="5">
        <f t="shared" si="3"/>
        <v>-0.15731308562158799</v>
      </c>
      <c r="O44" s="5">
        <f t="shared" si="3"/>
        <v>-0.16935397116729001</v>
      </c>
      <c r="P44" s="5">
        <f t="shared" si="4"/>
        <v>-0.16384729490980049</v>
      </c>
    </row>
    <row r="45" spans="1:16">
      <c r="A45" s="147" t="s">
        <v>528</v>
      </c>
      <c r="B45" s="180">
        <v>-2.53977339097693E-2</v>
      </c>
      <c r="C45" s="180">
        <v>8.5931306593520301E-2</v>
      </c>
      <c r="E45" t="s">
        <v>280</v>
      </c>
      <c r="F45" s="5">
        <f t="shared" si="0"/>
        <v>0.34765714626454297</v>
      </c>
      <c r="G45" s="5">
        <f t="shared" si="1"/>
        <v>-9.2222488976523003E-3</v>
      </c>
      <c r="H45" s="5">
        <f t="shared" si="2"/>
        <v>8.7897603058657847E-2</v>
      </c>
      <c r="M45" t="s">
        <v>280</v>
      </c>
      <c r="N45" s="5">
        <f t="shared" si="3"/>
        <v>0.34765714626454297</v>
      </c>
      <c r="O45" s="5">
        <f t="shared" si="3"/>
        <v>-9.2222488976523003E-3</v>
      </c>
      <c r="P45" s="5">
        <f t="shared" si="4"/>
        <v>0.15398994049387957</v>
      </c>
    </row>
    <row r="46" spans="1:16">
      <c r="A46" s="147" t="s">
        <v>529</v>
      </c>
      <c r="B46" s="180">
        <v>-0.33492317519382597</v>
      </c>
      <c r="C46" s="180">
        <v>0.36206931076548399</v>
      </c>
      <c r="E46" t="s">
        <v>541</v>
      </c>
      <c r="F46" s="5">
        <f t="shared" si="0"/>
        <v>-0.293193731266571</v>
      </c>
      <c r="G46" s="5">
        <f t="shared" si="1"/>
        <v>0.377740233874998</v>
      </c>
      <c r="H46" s="5">
        <f t="shared" si="2"/>
        <v>0.19515472109302626</v>
      </c>
      <c r="M46" t="s">
        <v>541</v>
      </c>
      <c r="N46" s="5">
        <f t="shared" si="3"/>
        <v>-0.293193731266571</v>
      </c>
      <c r="O46" s="5">
        <f t="shared" si="3"/>
        <v>0.377740233874998</v>
      </c>
      <c r="P46" s="5">
        <f t="shared" si="4"/>
        <v>7.0900996663980725E-2</v>
      </c>
    </row>
    <row r="47" spans="1:16">
      <c r="A47" s="147" t="s">
        <v>530</v>
      </c>
      <c r="B47" s="180">
        <v>-0.13287906122686199</v>
      </c>
      <c r="C47" s="180">
        <v>-0.24235067456303899</v>
      </c>
      <c r="E47" t="s">
        <v>542</v>
      </c>
      <c r="F47" s="5">
        <f t="shared" si="0"/>
        <v>4.4712826188075101E-2</v>
      </c>
      <c r="G47" s="5">
        <f t="shared" si="1"/>
        <v>0.28760806594292199</v>
      </c>
      <c r="H47" s="5">
        <f t="shared" si="2"/>
        <v>0.22150744470878775</v>
      </c>
      <c r="M47" t="s">
        <v>542</v>
      </c>
      <c r="N47" s="5">
        <f t="shared" si="3"/>
        <v>4.4712826188075101E-2</v>
      </c>
      <c r="O47" s="5">
        <f t="shared" si="3"/>
        <v>0.28760806594292199</v>
      </c>
      <c r="P47" s="5">
        <f t="shared" si="4"/>
        <v>0.17652442141042557</v>
      </c>
    </row>
    <row r="48" spans="1:16">
      <c r="A48" s="147" t="s">
        <v>531</v>
      </c>
      <c r="B48" s="180">
        <v>0.13014538416650301</v>
      </c>
      <c r="C48" s="180">
        <v>-0.107724744653886</v>
      </c>
      <c r="E48" t="s">
        <v>543</v>
      </c>
      <c r="F48" s="5">
        <f t="shared" si="0"/>
        <v>0.223652229420084</v>
      </c>
      <c r="G48" s="5">
        <f t="shared" si="1"/>
        <v>-3.90631089229291E-2</v>
      </c>
      <c r="H48" s="5">
        <f t="shared" si="2"/>
        <v>3.2431281373628412E-2</v>
      </c>
      <c r="M48" t="s">
        <v>543</v>
      </c>
      <c r="N48" s="5">
        <f t="shared" si="3"/>
        <v>0.223652229420084</v>
      </c>
      <c r="O48" s="5">
        <f t="shared" si="3"/>
        <v>-3.90631089229291E-2</v>
      </c>
      <c r="P48" s="5">
        <f t="shared" si="4"/>
        <v>8.108489104275339E-2</v>
      </c>
    </row>
    <row r="49" spans="1:16">
      <c r="A49" s="147" t="s">
        <v>275</v>
      </c>
      <c r="B49" s="180">
        <v>-0.28791341947275501</v>
      </c>
      <c r="C49" s="180">
        <v>2.64926215906017E-2</v>
      </c>
      <c r="E49" t="s">
        <v>544</v>
      </c>
      <c r="F49" s="5">
        <f t="shared" si="0"/>
        <v>0.415663573825995</v>
      </c>
      <c r="G49" s="5">
        <f t="shared" si="1"/>
        <v>0.39374679157831399</v>
      </c>
      <c r="H49" s="5">
        <f t="shared" si="2"/>
        <v>0.39971114445524619</v>
      </c>
      <c r="M49" t="s">
        <v>544</v>
      </c>
      <c r="N49" s="5">
        <f t="shared" si="3"/>
        <v>0.415663573825995</v>
      </c>
      <c r="O49" s="5">
        <f t="shared" si="3"/>
        <v>0.39374679157831399</v>
      </c>
      <c r="P49" s="5">
        <f t="shared" si="4"/>
        <v>0.40377002649619359</v>
      </c>
    </row>
    <row r="50" spans="1:16">
      <c r="A50" s="147" t="s">
        <v>276</v>
      </c>
      <c r="B50" s="180">
        <v>0.16168163530542001</v>
      </c>
      <c r="C50" s="180">
        <v>0.58224443907015899</v>
      </c>
      <c r="E50" t="s">
        <v>545</v>
      </c>
      <c r="F50" s="5">
        <f t="shared" si="0"/>
        <v>-1.38067125240269E-2</v>
      </c>
      <c r="G50" s="5">
        <f t="shared" si="1"/>
        <v>-2.5286976925524403E-2</v>
      </c>
      <c r="H50" s="5">
        <f t="shared" si="2"/>
        <v>-2.2162779804012232E-2</v>
      </c>
      <c r="M50" t="s">
        <v>545</v>
      </c>
      <c r="N50" s="5">
        <f t="shared" si="3"/>
        <v>-1.38067125240269E-2</v>
      </c>
      <c r="O50" s="5">
        <f t="shared" si="3"/>
        <v>-2.5286976925524403E-2</v>
      </c>
      <c r="P50" s="5">
        <f t="shared" si="4"/>
        <v>-2.0036690377290091E-2</v>
      </c>
    </row>
    <row r="51" spans="1:16">
      <c r="A51" s="147" t="s">
        <v>277</v>
      </c>
      <c r="B51" s="180">
        <v>-0.22623977800359699</v>
      </c>
      <c r="C51" s="180">
        <v>0.28573298105074102</v>
      </c>
      <c r="E51" t="s">
        <v>546</v>
      </c>
      <c r="F51" s="5">
        <f t="shared" si="0"/>
        <v>0.38012596558858802</v>
      </c>
      <c r="G51" s="5">
        <f t="shared" si="1"/>
        <v>0.20562222083293899</v>
      </c>
      <c r="H51" s="5">
        <f t="shared" si="2"/>
        <v>0.25311103101988719</v>
      </c>
      <c r="M51" t="s">
        <v>546</v>
      </c>
      <c r="N51" s="5">
        <f t="shared" si="3"/>
        <v>0.38012596558858802</v>
      </c>
      <c r="O51" s="5">
        <f t="shared" si="3"/>
        <v>0.20562222083293899</v>
      </c>
      <c r="P51" s="5">
        <f t="shared" si="4"/>
        <v>0.2854282803159931</v>
      </c>
    </row>
    <row r="52" spans="1:16">
      <c r="A52" s="147" t="s">
        <v>532</v>
      </c>
      <c r="B52" s="180">
        <v>0.111180199938746</v>
      </c>
      <c r="C52" s="180">
        <v>2.8926685440872301E-2</v>
      </c>
      <c r="E52" t="s">
        <v>547</v>
      </c>
      <c r="F52" s="5">
        <f t="shared" si="0"/>
        <v>4.0499856136393196E-2</v>
      </c>
      <c r="G52" s="5">
        <f t="shared" si="1"/>
        <v>6.2489133104916703E-2</v>
      </c>
      <c r="H52" s="5">
        <f t="shared" si="2"/>
        <v>5.650505178007946E-2</v>
      </c>
      <c r="M52" t="s">
        <v>547</v>
      </c>
      <c r="N52" s="5">
        <f t="shared" si="3"/>
        <v>4.0499856136393196E-2</v>
      </c>
      <c r="O52" s="5">
        <f t="shared" si="3"/>
        <v>6.2489133104916703E-2</v>
      </c>
      <c r="P52" s="5">
        <f t="shared" si="4"/>
        <v>5.2432744067554625E-2</v>
      </c>
    </row>
    <row r="53" spans="1:16">
      <c r="A53" s="147" t="s">
        <v>533</v>
      </c>
      <c r="B53" s="180">
        <v>0.136103924660853</v>
      </c>
      <c r="C53" s="180">
        <v>-0.14811964010016901</v>
      </c>
      <c r="E53" t="s">
        <v>548</v>
      </c>
      <c r="F53" s="5">
        <f t="shared" si="0"/>
        <v>-0.24987800388426501</v>
      </c>
      <c r="G53" s="5">
        <f t="shared" si="1"/>
        <v>-4.1373196288179405E-2</v>
      </c>
      <c r="H53" s="5">
        <f t="shared" si="2"/>
        <v>-9.8114931228375446E-2</v>
      </c>
      <c r="M53" t="s">
        <v>548</v>
      </c>
      <c r="N53" s="5">
        <f t="shared" si="3"/>
        <v>-0.24987800388426501</v>
      </c>
      <c r="O53" s="5">
        <f t="shared" si="3"/>
        <v>-4.1373196288179405E-2</v>
      </c>
      <c r="P53" s="5">
        <f t="shared" si="4"/>
        <v>-0.13672901286859859</v>
      </c>
    </row>
    <row r="54" spans="1:16">
      <c r="A54" s="147" t="s">
        <v>534</v>
      </c>
      <c r="B54" s="180">
        <v>8.3376697561621197E-3</v>
      </c>
      <c r="C54" s="180">
        <v>3.88445224659313E-2</v>
      </c>
      <c r="E54" t="s">
        <v>549</v>
      </c>
      <c r="F54" s="5">
        <f t="shared" si="0"/>
        <v>0.50577539093020296</v>
      </c>
      <c r="G54" s="5">
        <f t="shared" si="1"/>
        <v>0.30966161084280602</v>
      </c>
      <c r="H54" s="5">
        <f t="shared" si="2"/>
        <v>0.36303129692407743</v>
      </c>
      <c r="M54" t="s">
        <v>549</v>
      </c>
      <c r="N54" s="5">
        <f t="shared" si="3"/>
        <v>0.50577539093020296</v>
      </c>
      <c r="O54" s="5">
        <f t="shared" si="3"/>
        <v>0.30966161084280602</v>
      </c>
      <c r="P54" s="5">
        <f t="shared" si="4"/>
        <v>0.39935062021631251</v>
      </c>
    </row>
    <row r="55" spans="1:16">
      <c r="A55" s="147" t="s">
        <v>535</v>
      </c>
      <c r="B55" s="180">
        <v>0.53603429672619496</v>
      </c>
      <c r="C55" s="180">
        <v>-9.3622752053848304E-2</v>
      </c>
      <c r="E55" t="s">
        <v>281</v>
      </c>
      <c r="F55" s="5">
        <f t="shared" si="0"/>
        <v>0.36025455909792198</v>
      </c>
      <c r="G55" s="5">
        <f t="shared" si="1"/>
        <v>9.7049116887232501E-2</v>
      </c>
      <c r="H55" s="5">
        <f t="shared" si="2"/>
        <v>0.16867688225592134</v>
      </c>
      <c r="M55" t="s">
        <v>281</v>
      </c>
      <c r="N55" s="5">
        <f t="shared" si="3"/>
        <v>0.36025455909792198</v>
      </c>
      <c r="O55" s="5">
        <f t="shared" si="3"/>
        <v>9.7049116887232501E-2</v>
      </c>
      <c r="P55" s="5">
        <f t="shared" si="4"/>
        <v>0.21742125679026375</v>
      </c>
    </row>
    <row r="56" spans="1:16">
      <c r="A56" s="147" t="s">
        <v>536</v>
      </c>
      <c r="B56" s="180">
        <v>-0.14126542148778501</v>
      </c>
      <c r="C56" s="180">
        <v>0.241635954495765</v>
      </c>
      <c r="E56" t="s">
        <v>282</v>
      </c>
      <c r="F56" s="5">
        <f t="shared" si="0"/>
        <v>-1.6806961274589499E-2</v>
      </c>
      <c r="G56" s="5">
        <f t="shared" si="1"/>
        <v>0.313589839693098</v>
      </c>
      <c r="H56" s="5">
        <f t="shared" si="2"/>
        <v>0.22367686396011452</v>
      </c>
      <c r="M56" t="s">
        <v>282</v>
      </c>
      <c r="N56" s="5">
        <f t="shared" si="3"/>
        <v>-1.6806961274589499E-2</v>
      </c>
      <c r="O56" s="5">
        <f t="shared" si="3"/>
        <v>0.313589839693098</v>
      </c>
      <c r="P56" s="5">
        <f t="shared" si="4"/>
        <v>0.16248897484942545</v>
      </c>
    </row>
    <row r="57" spans="1:16">
      <c r="A57" s="147" t="s">
        <v>537</v>
      </c>
      <c r="B57" s="180">
        <v>-0.125943516597187</v>
      </c>
      <c r="C57" s="180">
        <v>0.47320354973831902</v>
      </c>
      <c r="E57" t="s">
        <v>283</v>
      </c>
      <c r="F57" s="5">
        <f t="shared" si="0"/>
        <v>0.52059034144794603</v>
      </c>
      <c r="G57" s="5">
        <f t="shared" si="1"/>
        <v>0.17892594045278701</v>
      </c>
      <c r="H57" s="5">
        <f t="shared" si="2"/>
        <v>0.27190523960316365</v>
      </c>
      <c r="M57" t="s">
        <v>283</v>
      </c>
      <c r="N57" s="5">
        <f t="shared" si="3"/>
        <v>0.52059034144794603</v>
      </c>
      <c r="O57" s="5">
        <f t="shared" si="3"/>
        <v>0.17892594045278701</v>
      </c>
      <c r="P57" s="5">
        <f t="shared" si="4"/>
        <v>0.33517983372735538</v>
      </c>
    </row>
    <row r="58" spans="1:16">
      <c r="A58" s="147" t="s">
        <v>538</v>
      </c>
      <c r="B58" s="180">
        <v>-0.348539073940491</v>
      </c>
      <c r="C58" s="180">
        <v>0.35615991745338299</v>
      </c>
    </row>
    <row r="59" spans="1:16">
      <c r="A59" s="147" t="s">
        <v>539</v>
      </c>
      <c r="B59" s="180">
        <v>8.0322470324249995E-2</v>
      </c>
      <c r="C59" s="180">
        <v>-0.18404088873917601</v>
      </c>
    </row>
    <row r="60" spans="1:16">
      <c r="A60" s="147" t="s">
        <v>540</v>
      </c>
      <c r="B60" s="180">
        <v>0.21118876937978301</v>
      </c>
      <c r="C60" s="180">
        <v>0.365091591898004</v>
      </c>
    </row>
    <row r="61" spans="1:16">
      <c r="A61" s="147" t="s">
        <v>278</v>
      </c>
      <c r="B61" s="180">
        <v>3.8204935073460899E-2</v>
      </c>
      <c r="C61" s="180">
        <v>0.167923155321311</v>
      </c>
    </row>
    <row r="62" spans="1:16">
      <c r="A62" s="147" t="s">
        <v>279</v>
      </c>
      <c r="B62" s="180">
        <v>-0.15531308562158799</v>
      </c>
      <c r="C62" s="180">
        <v>-0.16735397116729001</v>
      </c>
    </row>
    <row r="63" spans="1:16">
      <c r="A63" s="147" t="s">
        <v>280</v>
      </c>
      <c r="B63" s="180">
        <v>0.34965714626454297</v>
      </c>
      <c r="C63" s="180">
        <v>-7.2222488976523003E-3</v>
      </c>
    </row>
    <row r="64" spans="1:16">
      <c r="A64" s="147" t="s">
        <v>541</v>
      </c>
      <c r="B64" s="180">
        <v>-0.291193731266571</v>
      </c>
      <c r="C64" s="180">
        <v>0.379740233874998</v>
      </c>
    </row>
    <row r="65" spans="1:3">
      <c r="A65" s="147" t="s">
        <v>542</v>
      </c>
      <c r="B65" s="180">
        <v>4.6712826188075103E-2</v>
      </c>
      <c r="C65" s="180">
        <v>0.28960806594292199</v>
      </c>
    </row>
    <row r="66" spans="1:3">
      <c r="A66" s="147" t="s">
        <v>543</v>
      </c>
      <c r="B66" s="180">
        <v>0.22565222942008401</v>
      </c>
      <c r="C66" s="180">
        <v>-3.7063108922929099E-2</v>
      </c>
    </row>
    <row r="67" spans="1:3">
      <c r="A67" s="147" t="s">
        <v>544</v>
      </c>
      <c r="B67" s="180">
        <v>0.417663573825995</v>
      </c>
      <c r="C67" s="180">
        <v>0.39574679157831399</v>
      </c>
    </row>
    <row r="68" spans="1:3">
      <c r="A68" s="147" t="s">
        <v>545</v>
      </c>
      <c r="B68" s="180">
        <v>-1.18067125240269E-2</v>
      </c>
      <c r="C68" s="180">
        <v>-2.3286976925524401E-2</v>
      </c>
    </row>
    <row r="69" spans="1:3">
      <c r="A69" s="147" t="s">
        <v>546</v>
      </c>
      <c r="B69" s="180">
        <v>0.38212596558858802</v>
      </c>
      <c r="C69" s="180">
        <v>0.20762222083293899</v>
      </c>
    </row>
    <row r="70" spans="1:3">
      <c r="A70" s="147" t="s">
        <v>547</v>
      </c>
      <c r="B70" s="180">
        <v>4.2499856136393198E-2</v>
      </c>
      <c r="C70" s="180">
        <v>6.4489133104916704E-2</v>
      </c>
    </row>
    <row r="71" spans="1:3">
      <c r="A71" s="147" t="s">
        <v>548</v>
      </c>
      <c r="B71" s="180">
        <v>-0.24787800388426501</v>
      </c>
      <c r="C71" s="180">
        <v>-3.9373196288179403E-2</v>
      </c>
    </row>
    <row r="72" spans="1:3">
      <c r="A72" s="147" t="s">
        <v>549</v>
      </c>
      <c r="B72" s="180">
        <v>0.50777539093020296</v>
      </c>
      <c r="C72" s="180">
        <v>0.31166161084280603</v>
      </c>
    </row>
    <row r="73" spans="1:3">
      <c r="A73" s="147" t="s">
        <v>281</v>
      </c>
      <c r="B73" s="180">
        <v>0.36225455909792198</v>
      </c>
      <c r="C73" s="180">
        <v>9.9049116887232502E-2</v>
      </c>
    </row>
    <row r="74" spans="1:3">
      <c r="A74" s="147" t="s">
        <v>282</v>
      </c>
      <c r="B74" s="180">
        <v>-1.4806961274589499E-2</v>
      </c>
      <c r="C74" s="180">
        <v>0.31558983969309801</v>
      </c>
    </row>
    <row r="75" spans="1:3">
      <c r="A75" s="147" t="s">
        <v>283</v>
      </c>
      <c r="B75" s="180">
        <v>0.52259034144794603</v>
      </c>
      <c r="C75" s="180">
        <v>0.18092594045278701</v>
      </c>
    </row>
  </sheetData>
  <mergeCells count="9">
    <mergeCell ref="M7:N7"/>
    <mergeCell ref="M12:N12"/>
    <mergeCell ref="N20:P20"/>
    <mergeCell ref="R20:S20"/>
    <mergeCell ref="A1:I1"/>
    <mergeCell ref="E12:F12"/>
    <mergeCell ref="E7:F7"/>
    <mergeCell ref="F20:H20"/>
    <mergeCell ref="J20:K2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CC5F-B6E2-4A46-A67D-3A6D27E56643}">
  <dimension ref="A1:AG750"/>
  <sheetViews>
    <sheetView workbookViewId="0">
      <selection activeCell="I18" sqref="I18:M18"/>
    </sheetView>
  </sheetViews>
  <sheetFormatPr defaultRowHeight="15"/>
  <cols>
    <col min="2" max="2" width="10.85546875" bestFit="1" customWidth="1"/>
    <col min="8" max="8" width="12.42578125" bestFit="1" customWidth="1"/>
    <col min="9" max="13" width="10" bestFit="1" customWidth="1"/>
    <col min="18" max="18" width="10.42578125" bestFit="1" customWidth="1"/>
  </cols>
  <sheetData>
    <row r="1" spans="1:30" ht="21">
      <c r="A1" s="307" t="s">
        <v>1267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3" spans="1:30">
      <c r="H3" t="s">
        <v>1264</v>
      </c>
    </row>
    <row r="4" spans="1:30">
      <c r="A4" s="147"/>
      <c r="B4" s="148" t="s">
        <v>319</v>
      </c>
      <c r="C4" s="150" t="s">
        <v>315</v>
      </c>
      <c r="D4" s="150" t="s">
        <v>316</v>
      </c>
      <c r="E4" s="150" t="s">
        <v>317</v>
      </c>
      <c r="F4" s="150" t="s">
        <v>318</v>
      </c>
      <c r="I4" t="s">
        <v>319</v>
      </c>
      <c r="J4" t="s">
        <v>315</v>
      </c>
      <c r="K4" t="s">
        <v>316</v>
      </c>
      <c r="L4" t="s">
        <v>317</v>
      </c>
      <c r="M4" t="s">
        <v>318</v>
      </c>
    </row>
    <row r="5" spans="1:30">
      <c r="A5" s="230" t="s">
        <v>653</v>
      </c>
      <c r="B5" s="147">
        <v>-1.2000000000000001E-3</v>
      </c>
      <c r="C5" s="147">
        <v>-4.0999999999999995E-3</v>
      </c>
      <c r="D5" s="147">
        <v>-9.7000000000000003E-3</v>
      </c>
      <c r="E5" s="147">
        <v>6.8000000000000005E-3</v>
      </c>
      <c r="F5" s="147">
        <v>-1.18E-2</v>
      </c>
      <c r="H5" t="s">
        <v>319</v>
      </c>
      <c r="I5" s="27">
        <f>COVAR($B5:$B682,B5:B682)</f>
        <v>1.9084746692292942E-3</v>
      </c>
      <c r="J5" s="27">
        <f>COVAR($B5:$B682,C5:C682)</f>
        <v>3.6232243386761332E-4</v>
      </c>
      <c r="K5" s="27">
        <f>COVAR($B5:$B682,D5:D682)</f>
        <v>-2.975706822730397E-4</v>
      </c>
      <c r="L5" s="27">
        <f>COVAR($B5:$B682,E5:E682)</f>
        <v>-2.1192711360412859E-4</v>
      </c>
      <c r="M5" s="27">
        <f>COVAR($B5:$B682,F5:F682)</f>
        <v>-3.3259201766865976E-4</v>
      </c>
    </row>
    <row r="6" spans="1:30">
      <c r="A6" s="230" t="s">
        <v>654</v>
      </c>
      <c r="B6" s="147">
        <v>5.3200000000000004E-2</v>
      </c>
      <c r="C6" s="147">
        <v>-8.0000000000000002E-3</v>
      </c>
      <c r="D6" s="147">
        <v>1.8000000000000002E-2</v>
      </c>
      <c r="E6" s="147">
        <v>3.5999999999999999E-3</v>
      </c>
      <c r="F6" s="147">
        <v>-3.4999999999999996E-3</v>
      </c>
      <c r="H6" t="s">
        <v>315</v>
      </c>
      <c r="I6" s="27">
        <f>COVAR(B5:B682,$C5:$C682)</f>
        <v>3.6232243386761332E-4</v>
      </c>
      <c r="J6" s="27">
        <f>COVAR(C5:C682,$C5:$C682)</f>
        <v>9.0313168309099235E-4</v>
      </c>
      <c r="K6" s="27">
        <f>COVAR(D5:D682,$C5:$C682)</f>
        <v>-5.1212784760835793E-5</v>
      </c>
      <c r="L6" s="27">
        <f>COVAR(E5:E682,$C5:$C682)</f>
        <v>-2.2792556219054848E-4</v>
      </c>
      <c r="M6" s="27">
        <f>COVAR(F5:F682,$C5:$C682)</f>
        <v>-6.1393223975600666E-5</v>
      </c>
    </row>
    <row r="7" spans="1:30">
      <c r="A7" s="230" t="s">
        <v>655</v>
      </c>
      <c r="B7" s="147">
        <v>-1.3000000000000001E-2</v>
      </c>
      <c r="C7" s="147">
        <v>-5.2000000000000006E-3</v>
      </c>
      <c r="D7" s="147">
        <v>1.3000000000000002E-3</v>
      </c>
      <c r="E7" s="147">
        <v>-7.0999999999999995E-3</v>
      </c>
      <c r="F7" s="147">
        <v>2.8999999999999998E-3</v>
      </c>
      <c r="H7" t="s">
        <v>316</v>
      </c>
      <c r="I7" s="27">
        <f>COVAR(B5:B682,$D5:$D682)</f>
        <v>-2.975706822730397E-4</v>
      </c>
      <c r="J7" s="27">
        <f>COVAR(C5:C682,$D5:$D682)</f>
        <v>-5.1212784760835793E-5</v>
      </c>
      <c r="K7" s="27">
        <f>COVAR(D5:D682,$D5:$D682)</f>
        <v>7.8297424267540318E-4</v>
      </c>
      <c r="L7" s="27">
        <f>COVAR(E5:E682,$D5:$D682)</f>
        <v>4.3854252334212265E-5</v>
      </c>
      <c r="M7" s="27">
        <f>COVAR(F5:F682,$D5:$D682)</f>
        <v>3.8087882068986515E-4</v>
      </c>
      <c r="Y7" s="229"/>
      <c r="Z7" s="229"/>
    </row>
    <row r="8" spans="1:30">
      <c r="A8" s="230" t="s">
        <v>656</v>
      </c>
      <c r="B8" s="147">
        <v>2.8199999999999999E-2</v>
      </c>
      <c r="C8" s="147">
        <v>-1.3899999999999999E-2</v>
      </c>
      <c r="D8" s="147">
        <v>-1E-3</v>
      </c>
      <c r="E8" s="147">
        <v>2.7999999999999997E-2</v>
      </c>
      <c r="F8" s="147">
        <v>-2.01E-2</v>
      </c>
      <c r="H8" t="s">
        <v>317</v>
      </c>
      <c r="I8" s="27">
        <f>COVAR(B5:B682,$E5:$E682)</f>
        <v>-2.1192711360412859E-4</v>
      </c>
      <c r="J8" s="27">
        <f>COVAR(C5:C682,$E5:$E682)</f>
        <v>-2.2792556219054848E-4</v>
      </c>
      <c r="K8" s="27">
        <f>COVAR(D5:D682,$E5:$E682)</f>
        <v>4.3854252334212265E-5</v>
      </c>
      <c r="L8" s="27">
        <f>COVAR(E5:E682,$E5:$E682)</f>
        <v>4.7235710899226429E-4</v>
      </c>
      <c r="M8" s="27">
        <f>COVAR(F5:F682,$E5:$E682)</f>
        <v>-1.6686625051122035E-5</v>
      </c>
    </row>
    <row r="9" spans="1:30">
      <c r="A9" s="230" t="s">
        <v>657</v>
      </c>
      <c r="B9" s="147">
        <v>-5.8000000000000005E-3</v>
      </c>
      <c r="C9" s="147">
        <v>-8.8000000000000005E-3</v>
      </c>
      <c r="D9" s="147">
        <v>1.7500000000000002E-2</v>
      </c>
      <c r="E9" s="147">
        <v>-5.1000000000000004E-3</v>
      </c>
      <c r="F9" s="147">
        <v>2.2400000000000003E-2</v>
      </c>
      <c r="H9" t="s">
        <v>318</v>
      </c>
      <c r="I9" s="27">
        <f t="shared" ref="I9:K9" si="0">COVAR(B5:B682,$F5:$F682)</f>
        <v>-3.3259201766865976E-4</v>
      </c>
      <c r="J9" s="27">
        <f t="shared" si="0"/>
        <v>-6.1393223975600666E-5</v>
      </c>
      <c r="K9" s="27">
        <f t="shared" si="0"/>
        <v>3.8087882068986515E-4</v>
      </c>
      <c r="L9" s="27">
        <f>COVAR(E5:E682,$F5:$F682)</f>
        <v>-1.6686625051122035E-5</v>
      </c>
      <c r="M9" s="27">
        <f>COVAR(F5:F682,$F5:$F682)</f>
        <v>3.8842501981796207E-4</v>
      </c>
    </row>
    <row r="10" spans="1:30">
      <c r="A10" s="230" t="s">
        <v>658</v>
      </c>
      <c r="B10" s="147">
        <v>2.12E-2</v>
      </c>
      <c r="C10" s="147">
        <v>-2.1000000000000001E-2</v>
      </c>
      <c r="D10" s="147">
        <v>-2.0000000000000001E-4</v>
      </c>
      <c r="E10" s="147">
        <v>2.9999999999999997E-4</v>
      </c>
      <c r="F10" s="147">
        <v>-7.000000000000001E-4</v>
      </c>
    </row>
    <row r="11" spans="1:30">
      <c r="A11" s="230" t="s">
        <v>659</v>
      </c>
      <c r="B11" s="147">
        <v>2.5400000000000002E-2</v>
      </c>
      <c r="C11" s="147">
        <v>1.3000000000000002E-3</v>
      </c>
      <c r="D11" s="147">
        <v>1.4800000000000001E-2</v>
      </c>
      <c r="E11" s="147">
        <v>1.7000000000000001E-3</v>
      </c>
      <c r="F11" s="147">
        <v>1.47E-2</v>
      </c>
      <c r="H11" t="s">
        <v>1263</v>
      </c>
    </row>
    <row r="12" spans="1:30">
      <c r="A12" s="230" t="s">
        <v>660</v>
      </c>
      <c r="B12" s="147">
        <v>1.8000000000000002E-2</v>
      </c>
      <c r="C12" s="147">
        <v>2.8000000000000004E-3</v>
      </c>
      <c r="D12" s="147">
        <v>2.81E-2</v>
      </c>
      <c r="E12" s="147">
        <v>-5.0000000000000001E-4</v>
      </c>
      <c r="F12" s="147">
        <v>9.1000000000000004E-3</v>
      </c>
      <c r="I12" t="s">
        <v>319</v>
      </c>
      <c r="J12" t="s">
        <v>315</v>
      </c>
      <c r="K12" t="s">
        <v>316</v>
      </c>
      <c r="L12" t="s">
        <v>317</v>
      </c>
      <c r="M12" t="s">
        <v>318</v>
      </c>
      <c r="N12" t="s">
        <v>321</v>
      </c>
    </row>
    <row r="13" spans="1:30">
      <c r="A13" s="230" t="s">
        <v>661</v>
      </c>
      <c r="B13" s="147">
        <v>1.72E-2</v>
      </c>
      <c r="C13" s="147">
        <v>1.23E-2</v>
      </c>
      <c r="D13" s="147">
        <v>3.4000000000000002E-2</v>
      </c>
      <c r="E13" s="147">
        <v>-2.2100000000000002E-2</v>
      </c>
      <c r="F13" s="147">
        <v>3.2199999999999999E-2</v>
      </c>
      <c r="H13" t="s">
        <v>320</v>
      </c>
      <c r="I13" s="27">
        <f>AVERAGE(B5:B682)</f>
        <v>9.1974926253687184E-3</v>
      </c>
      <c r="J13" s="27">
        <f>AVERAGE(C5:C682)</f>
        <v>2.282448377581122E-3</v>
      </c>
      <c r="K13" s="27">
        <f>AVERAGE(D5:D682)</f>
        <v>3.033775811209438E-3</v>
      </c>
      <c r="L13" s="27">
        <f>AVERAGE(E5:E682)</f>
        <v>2.5452802359881995E-3</v>
      </c>
      <c r="M13" s="27">
        <f>AVERAGE(F5:F682)</f>
        <v>2.7541297935103209E-3</v>
      </c>
      <c r="N13" s="27">
        <v>3.5000000000000001E-3</v>
      </c>
    </row>
    <row r="14" spans="1:30">
      <c r="A14" s="230" t="s">
        <v>662</v>
      </c>
      <c r="B14" s="147">
        <v>3.8999999999999998E-3</v>
      </c>
      <c r="C14" s="147">
        <v>-1.52E-2</v>
      </c>
      <c r="D14" s="147">
        <v>-6.7000000000000002E-3</v>
      </c>
      <c r="E14" s="147">
        <v>-1.2700000000000001E-2</v>
      </c>
      <c r="F14" s="147">
        <v>-1.0800000000000001E-2</v>
      </c>
      <c r="H14" t="s">
        <v>176</v>
      </c>
      <c r="I14" s="27">
        <f t="shared" ref="I14:N14" si="1">I13*12</f>
        <v>0.11036991150442463</v>
      </c>
      <c r="J14" s="27">
        <f t="shared" si="1"/>
        <v>2.7389380530973464E-2</v>
      </c>
      <c r="K14" s="27">
        <f t="shared" si="1"/>
        <v>3.6405309734513253E-2</v>
      </c>
      <c r="L14" s="27">
        <f t="shared" si="1"/>
        <v>3.0543362831858392E-2</v>
      </c>
      <c r="M14" s="27">
        <f t="shared" si="1"/>
        <v>3.3049557522123851E-2</v>
      </c>
      <c r="N14" s="27">
        <f t="shared" si="1"/>
        <v>4.2000000000000003E-2</v>
      </c>
    </row>
    <row r="15" spans="1:30">
      <c r="A15" s="230" t="s">
        <v>663</v>
      </c>
      <c r="B15" s="147">
        <v>1.6799999999999999E-2</v>
      </c>
      <c r="C15" s="147">
        <v>-6.3E-3</v>
      </c>
      <c r="D15" s="147">
        <v>1.8600000000000002E-2</v>
      </c>
      <c r="E15" s="147">
        <v>-1.6000000000000001E-3</v>
      </c>
      <c r="F15" s="147">
        <v>1.7000000000000001E-3</v>
      </c>
      <c r="Y15" s="23"/>
      <c r="Z15" s="23"/>
      <c r="AA15" s="23"/>
      <c r="AB15" s="23"/>
      <c r="AC15" s="23"/>
      <c r="AD15" s="23"/>
    </row>
    <row r="16" spans="1:30">
      <c r="A16" s="230" t="s">
        <v>664</v>
      </c>
      <c r="B16" s="147">
        <v>1.5700000000000002E-2</v>
      </c>
      <c r="C16" s="147">
        <v>2.8999999999999998E-3</v>
      </c>
      <c r="D16" s="147">
        <v>6.1999999999999998E-3</v>
      </c>
      <c r="E16" s="147">
        <v>-2.8000000000000004E-3</v>
      </c>
      <c r="F16" s="147">
        <v>-1.7000000000000001E-3</v>
      </c>
      <c r="H16" t="s">
        <v>1261</v>
      </c>
    </row>
    <row r="17" spans="1:33">
      <c r="A17" s="230" t="s">
        <v>665</v>
      </c>
      <c r="B17" s="147">
        <v>2.0399999999999998E-2</v>
      </c>
      <c r="C17" s="147">
        <v>5.0000000000000001E-3</v>
      </c>
      <c r="D17" s="147">
        <v>7.4999999999999997E-3</v>
      </c>
      <c r="E17" s="147">
        <v>8.0000000000000004E-4</v>
      </c>
      <c r="F17" s="147">
        <v>1.9099999999999999E-2</v>
      </c>
      <c r="I17" s="4" t="s">
        <v>319</v>
      </c>
      <c r="J17" s="4" t="s">
        <v>315</v>
      </c>
      <c r="K17" s="4" t="s">
        <v>316</v>
      </c>
      <c r="L17" s="4" t="s">
        <v>317</v>
      </c>
      <c r="M17" s="4" t="s">
        <v>318</v>
      </c>
    </row>
    <row r="18" spans="1:33">
      <c r="A18" s="230" t="s">
        <v>666</v>
      </c>
      <c r="B18" s="147">
        <v>-1.1599999999999999E-2</v>
      </c>
      <c r="C18" s="147">
        <v>4.0999999999999995E-3</v>
      </c>
      <c r="D18" s="147">
        <v>8.0000000000000004E-4</v>
      </c>
      <c r="E18" s="147">
        <v>1.1999999999999999E-3</v>
      </c>
      <c r="F18" s="147">
        <v>3.4999999999999996E-3</v>
      </c>
      <c r="I18" s="4">
        <v>1</v>
      </c>
      <c r="J18" s="27">
        <v>0.65658206575254285</v>
      </c>
      <c r="K18" s="27">
        <v>-0.20876202727709545</v>
      </c>
      <c r="L18" s="27">
        <v>1.8159647704524535</v>
      </c>
      <c r="M18" s="27">
        <v>2.4840785525851858</v>
      </c>
    </row>
    <row r="19" spans="1:33">
      <c r="A19" s="230" t="s">
        <v>667</v>
      </c>
      <c r="B19" s="147">
        <v>2.9700000000000001E-2</v>
      </c>
      <c r="C19" s="147">
        <v>-3.4000000000000002E-3</v>
      </c>
      <c r="D19" s="147">
        <v>1.7000000000000001E-2</v>
      </c>
      <c r="E19" s="147">
        <v>-5.6000000000000008E-3</v>
      </c>
      <c r="F19" s="147">
        <v>6.1999999999999998E-3</v>
      </c>
    </row>
    <row r="20" spans="1:33">
      <c r="A20" s="230" t="s">
        <v>668</v>
      </c>
      <c r="B20" s="147">
        <v>8.7999999999999988E-3</v>
      </c>
      <c r="C20" s="147">
        <v>8.6999999999999994E-3</v>
      </c>
      <c r="D20" s="147">
        <v>1.17E-2</v>
      </c>
      <c r="E20" s="147">
        <v>-4.3E-3</v>
      </c>
      <c r="F20" s="147">
        <v>4.7000000000000002E-3</v>
      </c>
      <c r="H20" t="s">
        <v>1259</v>
      </c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>
      <c r="A21" s="230" t="s">
        <v>669</v>
      </c>
      <c r="B21" s="147">
        <v>2.8999999999999998E-3</v>
      </c>
      <c r="C21" s="147">
        <v>-1.5E-3</v>
      </c>
      <c r="D21" s="147">
        <v>-1.9599999999999999E-2</v>
      </c>
      <c r="E21" s="147">
        <v>6.3E-3</v>
      </c>
      <c r="F21" s="147">
        <v>-2.6000000000000003E-3</v>
      </c>
      <c r="I21" s="4" t="s">
        <v>13</v>
      </c>
      <c r="J21" s="4" t="s">
        <v>24</v>
      </c>
      <c r="K21" s="4" t="s">
        <v>174</v>
      </c>
      <c r="L21" s="4" t="s">
        <v>141</v>
      </c>
    </row>
    <row r="22" spans="1:33">
      <c r="A22" s="230" t="s">
        <v>670</v>
      </c>
      <c r="B22" s="147">
        <v>3.3999999999999998E-3</v>
      </c>
      <c r="C22" s="147">
        <v>-6.8999999999999999E-3</v>
      </c>
      <c r="D22" s="147">
        <v>-2.4799999999999999E-2</v>
      </c>
      <c r="E22" s="147">
        <v>1.0700000000000001E-2</v>
      </c>
      <c r="F22" s="147">
        <v>-1.4999999999999999E-2</v>
      </c>
      <c r="H22" t="s">
        <v>320</v>
      </c>
      <c r="I22" s="27">
        <f>SUMPRODUCT(I13:M13,I18:M18)</f>
        <v>2.1526384098020507E-2</v>
      </c>
      <c r="J22" s="27" cm="1">
        <f t="array" ref="J22">MMULT(MMULT(I18:M18,I5:M9),TRANSPOSE(I18:M18))</f>
        <v>3.1558536618269098E-3</v>
      </c>
      <c r="K22" s="27">
        <f>SQRT(J22)</f>
        <v>5.6176985161424511E-2</v>
      </c>
      <c r="L22" s="27">
        <f>(I22-N13)/K22</f>
        <v>0.3208855734465228</v>
      </c>
    </row>
    <row r="23" spans="1:33">
      <c r="A23" s="230" t="s">
        <v>671</v>
      </c>
      <c r="B23" s="147">
        <v>3.8199999999999998E-2</v>
      </c>
      <c r="C23" s="147">
        <v>2.4400000000000002E-2</v>
      </c>
      <c r="D23" s="147">
        <v>1.1999999999999999E-3</v>
      </c>
      <c r="E23" s="147">
        <v>9.1000000000000004E-3</v>
      </c>
      <c r="F23" s="147">
        <v>1E-3</v>
      </c>
      <c r="H23" t="s">
        <v>176</v>
      </c>
      <c r="I23" s="27">
        <f>I22*12</f>
        <v>0.2583166091762461</v>
      </c>
      <c r="J23" s="27">
        <f>J22*12</f>
        <v>3.7870243941922919E-2</v>
      </c>
      <c r="K23" s="27">
        <f>K22*SQRT(12)</f>
        <v>0.1946027850312603</v>
      </c>
      <c r="L23" s="27">
        <f>(I23-N14)/K23</f>
        <v>1.1115802332505045</v>
      </c>
    </row>
    <row r="24" spans="1:33">
      <c r="A24" s="230" t="s">
        <v>672</v>
      </c>
      <c r="B24" s="147">
        <v>7.4000000000000003E-3</v>
      </c>
      <c r="C24" s="147">
        <v>3.3100000000000004E-2</v>
      </c>
      <c r="D24" s="147">
        <v>1.1000000000000001E-3</v>
      </c>
      <c r="E24" s="147">
        <v>2.3E-3</v>
      </c>
      <c r="F24" s="147">
        <v>-6.8000000000000005E-3</v>
      </c>
      <c r="J24" s="27"/>
    </row>
    <row r="25" spans="1:33">
      <c r="A25" s="230" t="s">
        <v>673</v>
      </c>
      <c r="B25" s="147">
        <v>-9.7999999999999997E-3</v>
      </c>
      <c r="C25" s="147">
        <v>2.12E-2</v>
      </c>
      <c r="D25" s="147">
        <v>1.03E-2</v>
      </c>
      <c r="E25" s="147">
        <v>-3.2000000000000002E-3</v>
      </c>
      <c r="F25" s="147">
        <v>6.8999999999999999E-3</v>
      </c>
      <c r="H25" t="s">
        <v>1260</v>
      </c>
    </row>
    <row r="26" spans="1:33">
      <c r="A26" s="230" t="s">
        <v>674</v>
      </c>
      <c r="B26" s="147">
        <v>3.4200000000000001E-2</v>
      </c>
      <c r="C26" s="147">
        <v>1.0500000000000001E-2</v>
      </c>
      <c r="D26" s="147">
        <v>6.6000000000000008E-3</v>
      </c>
      <c r="E26" s="147">
        <v>3.0000000000000001E-3</v>
      </c>
      <c r="F26" s="147">
        <v>-2.2000000000000002E-2</v>
      </c>
      <c r="I26" s="4" t="s">
        <v>13</v>
      </c>
      <c r="J26" s="4" t="s">
        <v>24</v>
      </c>
      <c r="K26" s="4" t="s">
        <v>174</v>
      </c>
      <c r="L26" s="4" t="s">
        <v>141</v>
      </c>
    </row>
    <row r="27" spans="1:33">
      <c r="A27" s="230" t="s">
        <v>675</v>
      </c>
      <c r="B27" s="147">
        <v>-4.5999999999999999E-3</v>
      </c>
      <c r="C27" s="147">
        <v>1E-3</v>
      </c>
      <c r="D27" s="147">
        <v>-1.61E-2</v>
      </c>
      <c r="E27" s="147">
        <v>-4.5000000000000005E-3</v>
      </c>
      <c r="F27" s="147">
        <v>5.3E-3</v>
      </c>
      <c r="H27" t="s">
        <v>320</v>
      </c>
      <c r="I27" s="27">
        <f>I13</f>
        <v>9.1974926253687184E-3</v>
      </c>
      <c r="J27" s="27">
        <f>VARP(B5:B682)</f>
        <v>1.9084746692292936E-3</v>
      </c>
      <c r="K27" s="27">
        <f>SQRT(J27)</f>
        <v>4.3686092400548868E-2</v>
      </c>
      <c r="L27" s="27">
        <f>(I27-N13)/K27</f>
        <v>0.13041891165567226</v>
      </c>
    </row>
    <row r="28" spans="1:33">
      <c r="A28" s="230" t="s">
        <v>676</v>
      </c>
      <c r="B28" s="147">
        <v>-5.1599999999999993E-2</v>
      </c>
      <c r="C28" s="147">
        <v>-4.2800000000000005E-2</v>
      </c>
      <c r="D28" s="147">
        <v>5.8999999999999999E-3</v>
      </c>
      <c r="E28" s="147">
        <v>2.2000000000000001E-3</v>
      </c>
      <c r="F28" s="147">
        <v>3.7000000000000002E-3</v>
      </c>
      <c r="H28" t="s">
        <v>176</v>
      </c>
      <c r="I28" s="27">
        <f>I27*12</f>
        <v>0.11036991150442463</v>
      </c>
      <c r="J28" s="27">
        <f>J27*12</f>
        <v>2.2901696030751522E-2</v>
      </c>
      <c r="K28" s="27">
        <f>K27*SQRT(12)</f>
        <v>0.1513330632437985</v>
      </c>
      <c r="L28" s="27">
        <f>(I28-N14)/K28</f>
        <v>0.45178436251092247</v>
      </c>
    </row>
    <row r="29" spans="1:33">
      <c r="A29" s="230" t="s">
        <v>677</v>
      </c>
      <c r="B29" s="147">
        <v>1.7399999999999999E-2</v>
      </c>
      <c r="C29" s="147">
        <v>1.0800000000000001E-2</v>
      </c>
      <c r="D29" s="147">
        <v>2.2000000000000002E-2</v>
      </c>
      <c r="E29" s="147">
        <v>-1.3700000000000002E-2</v>
      </c>
      <c r="F29" s="147">
        <v>2.9999999999999997E-4</v>
      </c>
    </row>
    <row r="30" spans="1:33">
      <c r="A30" s="230" t="s">
        <v>678</v>
      </c>
      <c r="B30" s="147">
        <v>3.0600000000000002E-2</v>
      </c>
      <c r="C30" s="147">
        <v>2.7099999999999999E-2</v>
      </c>
      <c r="D30" s="147">
        <v>-0.01</v>
      </c>
      <c r="E30" s="147">
        <v>1.9E-2</v>
      </c>
      <c r="F30" s="147">
        <v>-7.4000000000000003E-3</v>
      </c>
    </row>
    <row r="31" spans="1:33">
      <c r="A31" s="230" t="s">
        <v>679</v>
      </c>
      <c r="B31" s="147">
        <v>3.1699999999999999E-2</v>
      </c>
      <c r="C31" s="147">
        <v>6.1999999999999998E-3</v>
      </c>
      <c r="D31" s="147">
        <v>-1.3000000000000002E-3</v>
      </c>
      <c r="E31" s="147">
        <v>-8.8999999999999999E-3</v>
      </c>
      <c r="F31" s="147">
        <v>8.0000000000000002E-3</v>
      </c>
      <c r="H31" t="s">
        <v>1266</v>
      </c>
    </row>
    <row r="32" spans="1:33">
      <c r="A32" s="230" t="s">
        <v>680</v>
      </c>
      <c r="B32" s="147">
        <v>2.9100000000000001E-2</v>
      </c>
      <c r="C32" s="147">
        <v>3.4700000000000002E-2</v>
      </c>
      <c r="D32" s="147">
        <v>1.5600000000000001E-2</v>
      </c>
      <c r="E32" s="147">
        <v>1.17E-2</v>
      </c>
      <c r="F32" s="147">
        <v>-6.5000000000000006E-3</v>
      </c>
      <c r="I32" t="s">
        <v>319</v>
      </c>
      <c r="J32" t="s">
        <v>315</v>
      </c>
      <c r="K32" t="s">
        <v>316</v>
      </c>
      <c r="L32" t="s">
        <v>317</v>
      </c>
      <c r="M32" t="s">
        <v>318</v>
      </c>
    </row>
    <row r="33" spans="1:14">
      <c r="A33" s="230" t="s">
        <v>681</v>
      </c>
      <c r="B33" s="147">
        <v>3.1999999999999997E-3</v>
      </c>
      <c r="C33" s="147">
        <v>5.1900000000000002E-2</v>
      </c>
      <c r="D33" s="147">
        <v>1.5E-3</v>
      </c>
      <c r="E33" s="147">
        <v>-1.01E-2</v>
      </c>
      <c r="F33" s="147">
        <v>-9.4000000000000004E-3</v>
      </c>
      <c r="H33" t="s">
        <v>319</v>
      </c>
      <c r="I33" s="27">
        <f>COVAR($B$683:$B$742,B683:B742)</f>
        <v>2.912328555555556E-3</v>
      </c>
      <c r="J33" s="27">
        <f>COVAR($B$683:$B$742,C683:C742)</f>
        <v>5.9252872222222217E-4</v>
      </c>
      <c r="K33" s="27">
        <f>COVAR($B$683:$B$742,D683:D742)</f>
        <v>8.7965555555555555E-5</v>
      </c>
      <c r="L33" s="27">
        <f>COVAR($B$683:$B$742,E683:E742)</f>
        <v>8.2443666666666638E-5</v>
      </c>
      <c r="M33" s="27">
        <f>COVAR($B$683:$B$742,F683:F742)</f>
        <v>-3.2292805555555543E-4</v>
      </c>
    </row>
    <row r="34" spans="1:14">
      <c r="A34" s="230" t="s">
        <v>682</v>
      </c>
      <c r="B34" s="147">
        <v>1.34E-2</v>
      </c>
      <c r="C34" s="147">
        <v>2.6600000000000002E-2</v>
      </c>
      <c r="D34" s="147">
        <v>2.0299999999999999E-2</v>
      </c>
      <c r="E34" s="147">
        <v>-1.1399999999999999E-2</v>
      </c>
      <c r="F34" s="147">
        <v>-5.3E-3</v>
      </c>
      <c r="H34" t="s">
        <v>315</v>
      </c>
      <c r="I34" s="27">
        <f>COVAR($C$683:$C$742,B683:B742)</f>
        <v>5.9252872222222217E-4</v>
      </c>
      <c r="J34" s="27">
        <f>COVAR($C$683:$C$742,C683:C742)</f>
        <v>1.1926110305555554E-3</v>
      </c>
      <c r="K34" s="27">
        <f>COVAR($C$683:$C$742,D683:D742)</f>
        <v>6.2138047222222242E-4</v>
      </c>
      <c r="L34" s="27">
        <f>COVAR($C$683:$C$742,E683:E742)</f>
        <v>-3.3993141666666669E-4</v>
      </c>
      <c r="M34" s="27">
        <f>COVAR($C$683:$C$742,F683:F742)</f>
        <v>1.6471111111111118E-5</v>
      </c>
    </row>
    <row r="35" spans="1:14">
      <c r="A35" s="230" t="s">
        <v>683</v>
      </c>
      <c r="B35" s="147">
        <v>1.0999999999999999E-2</v>
      </c>
      <c r="C35" s="147">
        <v>4.6800000000000001E-2</v>
      </c>
      <c r="D35" s="147">
        <v>3.56E-2</v>
      </c>
      <c r="E35" s="147">
        <v>-2.8199999999999999E-2</v>
      </c>
      <c r="F35" s="147">
        <v>-1.1000000000000001E-3</v>
      </c>
      <c r="H35" t="s">
        <v>316</v>
      </c>
      <c r="I35" s="27">
        <f t="shared" ref="I35:J35" si="2">COVAR($D$683:$D$742,B683:B742)</f>
        <v>8.7965555555555555E-5</v>
      </c>
      <c r="J35" s="27">
        <f t="shared" si="2"/>
        <v>6.2138047222222242E-4</v>
      </c>
      <c r="K35" s="27">
        <f>COVAR($D$683:$D$742,D683:D742)</f>
        <v>2.1687397222222224E-3</v>
      </c>
      <c r="L35" s="27">
        <f t="shared" ref="L35:M35" si="3">COVAR($D$683:$D$742,E683:E742)</f>
        <v>1.8452816666666668E-4</v>
      </c>
      <c r="M35" s="27">
        <f t="shared" si="3"/>
        <v>8.9667194444444489E-4</v>
      </c>
    </row>
    <row r="36" spans="1:14">
      <c r="A36" s="230" t="s">
        <v>684</v>
      </c>
      <c r="B36" s="147">
        <v>-8.6E-3</v>
      </c>
      <c r="C36" s="147">
        <v>4.7100000000000003E-2</v>
      </c>
      <c r="D36" s="147">
        <v>3.3000000000000004E-3</v>
      </c>
      <c r="E36" s="147">
        <v>-1.7000000000000001E-3</v>
      </c>
      <c r="F36" s="147">
        <v>-1.49E-2</v>
      </c>
      <c r="H36" t="s">
        <v>317</v>
      </c>
      <c r="I36" s="27">
        <f t="shared" ref="I36:K36" si="4">COVAR($E$683:$E$742,B683:B742)</f>
        <v>8.2443666666666638E-5</v>
      </c>
      <c r="J36" s="27">
        <f t="shared" si="4"/>
        <v>-3.3993141666666669E-4</v>
      </c>
      <c r="K36" s="27">
        <f t="shared" si="4"/>
        <v>1.8452816666666668E-4</v>
      </c>
      <c r="L36" s="27">
        <f>COVAR($E$683:$E$742,E683:E742)</f>
        <v>6.7197883333333349E-4</v>
      </c>
      <c r="M36" s="27">
        <f t="shared" ref="M36" si="5">COVAR($E$683:$E$742,F683:F742)</f>
        <v>1.187475E-4</v>
      </c>
    </row>
    <row r="37" spans="1:14">
      <c r="A37" s="230" t="s">
        <v>685</v>
      </c>
      <c r="B37" s="147">
        <v>-2.1299999999999996E-2</v>
      </c>
      <c r="C37" s="147">
        <v>3.2000000000000002E-3</v>
      </c>
      <c r="D37" s="147">
        <v>-1.9800000000000002E-2</v>
      </c>
      <c r="E37" s="147">
        <v>1.3000000000000001E-2</v>
      </c>
      <c r="F37" s="147">
        <v>5.9999999999999995E-4</v>
      </c>
      <c r="H37" t="s">
        <v>318</v>
      </c>
      <c r="I37" s="27">
        <f t="shared" ref="I37:L37" si="6">COVAR($F$683:$F$742,B683:B742)</f>
        <v>-3.2292805555555543E-4</v>
      </c>
      <c r="J37" s="27">
        <f t="shared" si="6"/>
        <v>1.6471111111111118E-5</v>
      </c>
      <c r="K37" s="27">
        <f t="shared" si="6"/>
        <v>8.9667194444444489E-4</v>
      </c>
      <c r="L37" s="27">
        <f t="shared" si="6"/>
        <v>1.187475E-4</v>
      </c>
      <c r="M37" s="27">
        <f>COVAR($F$683:$F$742,F683:F742)</f>
        <v>8.579068888888889E-4</v>
      </c>
    </row>
    <row r="38" spans="1:14">
      <c r="A38" s="230" t="s">
        <v>686</v>
      </c>
      <c r="B38" s="147">
        <v>2.4800000000000003E-2</v>
      </c>
      <c r="C38" s="147">
        <v>3.3500000000000002E-2</v>
      </c>
      <c r="D38" s="147">
        <v>-4.5999999999999999E-3</v>
      </c>
      <c r="E38" s="147">
        <v>3.9000000000000003E-3</v>
      </c>
      <c r="F38" s="147">
        <v>-9.4999999999999998E-3</v>
      </c>
    </row>
    <row r="39" spans="1:14">
      <c r="A39" s="230" t="s">
        <v>687</v>
      </c>
      <c r="B39" s="147">
        <v>-5.2500000000000005E-2</v>
      </c>
      <c r="C39" s="147">
        <v>-5.0999999999999997E-2</v>
      </c>
      <c r="D39" s="147">
        <v>-1.6299999999999999E-2</v>
      </c>
      <c r="E39" s="147">
        <v>1.6399999999999998E-2</v>
      </c>
      <c r="F39" s="147">
        <v>-1.52E-2</v>
      </c>
      <c r="H39" t="s">
        <v>1265</v>
      </c>
    </row>
    <row r="40" spans="1:14">
      <c r="A40" s="230" t="s">
        <v>688</v>
      </c>
      <c r="B40" s="147">
        <v>-1.06E-2</v>
      </c>
      <c r="C40" s="147">
        <v>1.3700000000000002E-2</v>
      </c>
      <c r="D40" s="147">
        <v>5.0000000000000001E-3</v>
      </c>
      <c r="E40" s="147">
        <v>1.5E-3</v>
      </c>
      <c r="F40" s="147">
        <v>7.8000000000000005E-3</v>
      </c>
      <c r="I40" t="s">
        <v>319</v>
      </c>
      <c r="J40" t="s">
        <v>315</v>
      </c>
      <c r="K40" t="s">
        <v>316</v>
      </c>
      <c r="L40" t="s">
        <v>317</v>
      </c>
      <c r="M40" t="s">
        <v>318</v>
      </c>
      <c r="N40" t="s">
        <v>321</v>
      </c>
    </row>
    <row r="41" spans="1:14">
      <c r="A41" s="230" t="s">
        <v>689</v>
      </c>
      <c r="B41" s="147">
        <v>-1.2799999999999999E-2</v>
      </c>
      <c r="C41" s="147">
        <v>-4.0999999999999995E-3</v>
      </c>
      <c r="D41" s="147">
        <v>9.4999999999999998E-3</v>
      </c>
      <c r="E41" s="147">
        <v>-3.5999999999999999E-3</v>
      </c>
      <c r="F41" s="147">
        <v>1.7899999999999999E-2</v>
      </c>
      <c r="H41" t="s">
        <v>320</v>
      </c>
      <c r="I41" s="27">
        <f>AVERAGE(B683:B742)</f>
        <v>1.266666666666667E-2</v>
      </c>
      <c r="J41" s="27">
        <f>AVERAGE(C683:C742)</f>
        <v>-1.4883333333333333E-3</v>
      </c>
      <c r="K41" s="27">
        <f>AVERAGE(D683:D742)</f>
        <v>-2.8333333333333357E-4</v>
      </c>
      <c r="L41" s="27">
        <f>AVERAGE(E683:E742)</f>
        <v>6.3499999999999989E-3</v>
      </c>
      <c r="M41" s="27">
        <f>AVERAGE(F683:F742)</f>
        <v>4.3333333333333245E-4</v>
      </c>
      <c r="N41" s="27">
        <v>3.5000000000000001E-3</v>
      </c>
    </row>
    <row r="42" spans="1:14">
      <c r="A42" s="230" t="s">
        <v>690</v>
      </c>
      <c r="B42" s="147">
        <v>-7.5000000000000011E-2</v>
      </c>
      <c r="C42" s="147">
        <v>-3.1200000000000002E-2</v>
      </c>
      <c r="D42" s="147">
        <v>4.3E-3</v>
      </c>
      <c r="E42" s="147">
        <v>-8.9999999999999998E-4</v>
      </c>
      <c r="F42" s="147">
        <v>8.0000000000000002E-3</v>
      </c>
      <c r="H42" t="s">
        <v>176</v>
      </c>
      <c r="I42" s="27">
        <f t="shared" ref="I42:N42" si="7">I41*12</f>
        <v>0.15200000000000002</v>
      </c>
      <c r="J42" s="27">
        <f t="shared" si="7"/>
        <v>-1.7860000000000001E-2</v>
      </c>
      <c r="K42" s="27">
        <f t="shared" si="7"/>
        <v>-3.4000000000000028E-3</v>
      </c>
      <c r="L42" s="27">
        <f t="shared" si="7"/>
        <v>7.619999999999999E-2</v>
      </c>
      <c r="M42" s="27">
        <f t="shared" si="7"/>
        <v>5.1999999999999894E-3</v>
      </c>
      <c r="N42" s="27">
        <f t="shared" si="7"/>
        <v>4.2000000000000003E-2</v>
      </c>
    </row>
    <row r="43" spans="1:14">
      <c r="A43" s="230" t="s">
        <v>691</v>
      </c>
      <c r="B43" s="147">
        <v>-6.6E-3</v>
      </c>
      <c r="C43" s="147">
        <v>-1.1399999999999999E-2</v>
      </c>
      <c r="D43" s="147">
        <v>5.6000000000000008E-3</v>
      </c>
      <c r="E43" s="147">
        <v>-1.6799999999999999E-2</v>
      </c>
      <c r="F43" s="147">
        <v>2.3700000000000002E-2</v>
      </c>
    </row>
    <row r="44" spans="1:14">
      <c r="A44" s="230" t="s">
        <v>692</v>
      </c>
      <c r="B44" s="147">
        <v>4.3099999999999999E-2</v>
      </c>
      <c r="C44" s="147">
        <v>-6.4500000000000002E-2</v>
      </c>
      <c r="D44" s="147">
        <v>2.69E-2</v>
      </c>
      <c r="E44" s="147">
        <v>-3.4799999999999998E-2</v>
      </c>
      <c r="F44" s="147">
        <v>4.2500000000000003E-2</v>
      </c>
    </row>
    <row r="45" spans="1:14">
      <c r="A45" s="230" t="s">
        <v>693</v>
      </c>
      <c r="B45" s="147">
        <v>1.7999999999999999E-2</v>
      </c>
      <c r="C45" s="147">
        <v>3.3399999999999999E-2</v>
      </c>
      <c r="D45" s="147">
        <v>-4.6900000000000004E-2</v>
      </c>
      <c r="E45" s="147">
        <v>4.1299999999999996E-2</v>
      </c>
      <c r="F45" s="147">
        <v>-6.6200000000000009E-2</v>
      </c>
      <c r="H45" t="s">
        <v>1262</v>
      </c>
    </row>
    <row r="46" spans="1:14">
      <c r="A46" s="230" t="s">
        <v>694</v>
      </c>
      <c r="B46" s="147">
        <v>5.3E-3</v>
      </c>
      <c r="C46" s="147">
        <v>2.0199999999999999E-2</v>
      </c>
      <c r="D46" s="147">
        <v>-1.1899999999999999E-2</v>
      </c>
      <c r="E46" s="147">
        <v>6.9999999999999993E-3</v>
      </c>
      <c r="F46" s="147">
        <v>-3.4000000000000002E-3</v>
      </c>
      <c r="I46" s="4" t="s">
        <v>13</v>
      </c>
      <c r="J46" s="4" t="s">
        <v>24</v>
      </c>
      <c r="K46" s="4" t="s">
        <v>174</v>
      </c>
      <c r="L46" s="4" t="s">
        <v>141</v>
      </c>
    </row>
    <row r="47" spans="1:14">
      <c r="A47" s="230" t="s">
        <v>695</v>
      </c>
      <c r="B47" s="147">
        <v>8.5800000000000001E-2</v>
      </c>
      <c r="C47" s="147">
        <v>9.0999999999999998E-2</v>
      </c>
      <c r="D47" s="147">
        <v>2.2700000000000001E-2</v>
      </c>
      <c r="E47" s="147">
        <v>9.5999999999999992E-3</v>
      </c>
      <c r="F47" s="147">
        <v>-3.1600000000000003E-2</v>
      </c>
      <c r="H47" t="s">
        <v>320</v>
      </c>
      <c r="I47" s="27">
        <f>SUMPRODUCT(I41:M41,I18:M18)</f>
        <v>2.4356413265026803E-2</v>
      </c>
      <c r="J47" s="27" cm="1">
        <f t="array" ref="J47">MMULT(MMULT(I18:M18,I33:M37),TRANSPOSE(I18:M18))</f>
        <v>9.5414534709745043E-3</v>
      </c>
      <c r="K47" s="27">
        <f>SQRT(J47)</f>
        <v>9.7680363794237085E-2</v>
      </c>
      <c r="L47" s="27">
        <f>(I47-N41)/K47</f>
        <v>0.21351694910719901</v>
      </c>
    </row>
    <row r="48" spans="1:14">
      <c r="A48" s="230" t="s">
        <v>696</v>
      </c>
      <c r="B48" s="147">
        <v>1.14E-2</v>
      </c>
      <c r="C48" s="147">
        <v>3.0600000000000002E-2</v>
      </c>
      <c r="D48" s="147">
        <v>-2.2200000000000001E-2</v>
      </c>
      <c r="E48" s="147">
        <v>1.9900000000000001E-2</v>
      </c>
      <c r="F48" s="147">
        <v>-9.9000000000000008E-3</v>
      </c>
      <c r="H48" t="s">
        <v>176</v>
      </c>
      <c r="I48" s="27">
        <f>I47*12</f>
        <v>0.29227695918032165</v>
      </c>
      <c r="J48" s="27">
        <f>J47*12</f>
        <v>0.11449744165169405</v>
      </c>
      <c r="K48" s="27">
        <f>K47*SQRT(12)</f>
        <v>0.33837470598686009</v>
      </c>
      <c r="L48" s="27">
        <f>(I48-N41)/K48</f>
        <v>0.85342359836889092</v>
      </c>
    </row>
    <row r="49" spans="1:12">
      <c r="A49" s="230" t="s">
        <v>697</v>
      </c>
      <c r="B49" s="147">
        <v>4.3800000000000006E-2</v>
      </c>
      <c r="C49" s="147">
        <v>1.8700000000000001E-2</v>
      </c>
      <c r="D49" s="147">
        <v>3.7000000000000002E-3</v>
      </c>
      <c r="E49" s="147">
        <v>8.6E-3</v>
      </c>
      <c r="F49" s="147">
        <v>-1.6E-2</v>
      </c>
      <c r="J49" s="27"/>
    </row>
    <row r="50" spans="1:12">
      <c r="A50" s="230" t="s">
        <v>698</v>
      </c>
      <c r="B50" s="147">
        <v>4.2100000000000005E-2</v>
      </c>
      <c r="C50" s="147">
        <v>4.3E-3</v>
      </c>
      <c r="D50" s="147">
        <v>-2.4799999999999999E-2</v>
      </c>
      <c r="E50" s="147">
        <v>2.3300000000000001E-2</v>
      </c>
      <c r="F50" s="147">
        <v>-3.6700000000000003E-2</v>
      </c>
      <c r="H50" t="s">
        <v>1260</v>
      </c>
    </row>
    <row r="51" spans="1:12">
      <c r="A51" s="230" t="s">
        <v>699</v>
      </c>
      <c r="B51" s="147">
        <v>-0.04</v>
      </c>
      <c r="C51" s="147">
        <v>2.29E-2</v>
      </c>
      <c r="D51" s="147">
        <v>1.0900000000000002E-2</v>
      </c>
      <c r="E51" s="147">
        <v>-1.7299999999999999E-2</v>
      </c>
      <c r="F51" s="147">
        <v>1.7299999999999999E-2</v>
      </c>
      <c r="I51" s="4" t="s">
        <v>13</v>
      </c>
      <c r="J51" s="4" t="s">
        <v>24</v>
      </c>
      <c r="K51" s="4" t="s">
        <v>174</v>
      </c>
      <c r="L51" s="4" t="s">
        <v>141</v>
      </c>
    </row>
    <row r="52" spans="1:12">
      <c r="A52" s="230" t="s">
        <v>700</v>
      </c>
      <c r="B52" s="147">
        <v>2.6800000000000004E-2</v>
      </c>
      <c r="C52" s="147">
        <v>6.4299999999999996E-2</v>
      </c>
      <c r="D52" s="147">
        <v>8.5000000000000006E-3</v>
      </c>
      <c r="E52" s="147">
        <v>-6.1999999999999998E-3</v>
      </c>
      <c r="F52" s="147">
        <v>-2.4199999999999999E-2</v>
      </c>
      <c r="H52" t="s">
        <v>320</v>
      </c>
      <c r="I52" s="27">
        <f>I41</f>
        <v>1.266666666666667E-2</v>
      </c>
      <c r="J52" s="27">
        <f>I33</f>
        <v>2.912328555555556E-3</v>
      </c>
      <c r="K52" s="27">
        <f>SQRT(J52)</f>
        <v>5.3965994436826197E-2</v>
      </c>
      <c r="L52" s="27">
        <f>(I52-N41)/K52</f>
        <v>0.16986005284119013</v>
      </c>
    </row>
    <row r="53" spans="1:12">
      <c r="A53" s="230" t="s">
        <v>701</v>
      </c>
      <c r="B53" s="147">
        <v>4.8899999999999999E-2</v>
      </c>
      <c r="C53" s="147">
        <v>3.5400000000000001E-2</v>
      </c>
      <c r="D53" s="147">
        <v>2.7300000000000001E-2</v>
      </c>
      <c r="E53" s="147">
        <v>4.7999999999999996E-3</v>
      </c>
      <c r="F53" s="147">
        <v>2.7000000000000003E-2</v>
      </c>
      <c r="H53" t="s">
        <v>176</v>
      </c>
      <c r="I53" s="27">
        <f>I52*12</f>
        <v>0.15200000000000002</v>
      </c>
      <c r="J53" s="27">
        <f>J52*12</f>
        <v>3.4947942666666676E-2</v>
      </c>
      <c r="K53" s="27">
        <f>K52*SQRT(12)</f>
        <v>0.18694368849112469</v>
      </c>
      <c r="L53" s="27">
        <f>(I53-N42)/K53</f>
        <v>0.58841248339455099</v>
      </c>
    </row>
    <row r="54" spans="1:12">
      <c r="A54" s="230" t="s">
        <v>702</v>
      </c>
      <c r="B54" s="147">
        <v>-5.7999999999999996E-3</v>
      </c>
      <c r="C54" s="147">
        <v>7.1999999999999998E-3</v>
      </c>
      <c r="D54" s="147">
        <v>1.44E-2</v>
      </c>
      <c r="E54" s="147">
        <v>3.0000000000000001E-3</v>
      </c>
      <c r="F54" s="147">
        <v>1.4499999999999999E-2</v>
      </c>
    </row>
    <row r="55" spans="1:12">
      <c r="A55" s="230" t="s">
        <v>703</v>
      </c>
      <c r="B55" s="147">
        <v>3.4299999999999997E-2</v>
      </c>
      <c r="C55" s="147">
        <v>2.4400000000000002E-2</v>
      </c>
      <c r="D55" s="147">
        <v>-2.5000000000000001E-2</v>
      </c>
      <c r="E55" s="147">
        <v>2E-3</v>
      </c>
      <c r="F55" s="147">
        <v>-9.4999999999999998E-3</v>
      </c>
    </row>
    <row r="56" spans="1:12">
      <c r="A56" s="230" t="s">
        <v>704</v>
      </c>
      <c r="B56" s="147">
        <v>-2.7E-2</v>
      </c>
      <c r="C56" s="147">
        <v>5.3E-3</v>
      </c>
      <c r="D56" s="147">
        <v>-3.3000000000000002E-2</v>
      </c>
      <c r="E56" s="147">
        <v>1.01E-2</v>
      </c>
      <c r="F56" s="147">
        <v>-2.6200000000000001E-2</v>
      </c>
    </row>
    <row r="57" spans="1:12">
      <c r="A57" s="230" t="s">
        <v>705</v>
      </c>
      <c r="B57" s="147">
        <v>7.3000000000000001E-3</v>
      </c>
      <c r="C57" s="147">
        <v>-4.0000000000000002E-4</v>
      </c>
      <c r="D57" s="147">
        <v>-1.7000000000000001E-2</v>
      </c>
      <c r="E57" s="147">
        <v>1.34E-2</v>
      </c>
      <c r="F57" s="147">
        <v>-2.3400000000000001E-2</v>
      </c>
    </row>
    <row r="58" spans="1:12">
      <c r="A58" s="230" t="s">
        <v>706</v>
      </c>
      <c r="B58" s="147">
        <v>3.3799999999999997E-2</v>
      </c>
      <c r="C58" s="147">
        <v>5.7500000000000002E-2</v>
      </c>
      <c r="D58" s="147">
        <v>-5.3E-3</v>
      </c>
      <c r="E58" s="147">
        <v>-8.1000000000000013E-3</v>
      </c>
      <c r="F58" s="147">
        <v>1.3000000000000002E-3</v>
      </c>
    </row>
    <row r="59" spans="1:12">
      <c r="A59" s="230" t="s">
        <v>707</v>
      </c>
      <c r="B59" s="147">
        <v>-3.6599999999999994E-2</v>
      </c>
      <c r="C59" s="147">
        <v>4.5100000000000001E-2</v>
      </c>
      <c r="D59" s="147">
        <v>4.8000000000000001E-2</v>
      </c>
      <c r="E59" s="147">
        <v>-4.6200000000000005E-2</v>
      </c>
      <c r="F59" s="147">
        <v>6.4600000000000005E-2</v>
      </c>
    </row>
    <row r="60" spans="1:12">
      <c r="A60" s="230" t="s">
        <v>708</v>
      </c>
      <c r="B60" s="147">
        <v>-3.3599999999999998E-2</v>
      </c>
      <c r="C60" s="147">
        <v>-2.9100000000000001E-2</v>
      </c>
      <c r="D60" s="147">
        <v>1.2800000000000001E-2</v>
      </c>
      <c r="E60" s="147">
        <v>-1.6000000000000001E-3</v>
      </c>
      <c r="F60" s="147">
        <v>2.4500000000000001E-2</v>
      </c>
    </row>
    <row r="61" spans="1:12">
      <c r="A61" s="230" t="s">
        <v>709</v>
      </c>
      <c r="B61" s="147">
        <v>5.7999999999999996E-3</v>
      </c>
      <c r="C61" s="147">
        <v>-1.5900000000000001E-2</v>
      </c>
      <c r="D61" s="147">
        <v>-5.8999999999999999E-3</v>
      </c>
      <c r="E61" s="147">
        <v>1.0500000000000001E-2</v>
      </c>
      <c r="F61" s="147">
        <v>-1.1000000000000001E-2</v>
      </c>
    </row>
    <row r="62" spans="1:12">
      <c r="A62" s="230" t="s">
        <v>710</v>
      </c>
      <c r="B62" s="147">
        <v>9.4800000000000009E-2</v>
      </c>
      <c r="C62" s="147">
        <v>6.1800000000000001E-2</v>
      </c>
      <c r="D62" s="147">
        <v>-1.1299999999999999E-2</v>
      </c>
      <c r="E62" s="147">
        <v>2.69E-2</v>
      </c>
      <c r="F62" s="147">
        <v>-3.6499999999999998E-2</v>
      </c>
    </row>
    <row r="63" spans="1:12">
      <c r="A63" s="230" t="s">
        <v>711</v>
      </c>
      <c r="B63" s="147">
        <v>2.7299999999999998E-2</v>
      </c>
      <c r="C63" s="147">
        <v>7.0000000000000007E-2</v>
      </c>
      <c r="D63" s="147">
        <v>8.5000000000000006E-3</v>
      </c>
      <c r="E63" s="147">
        <v>4.3E-3</v>
      </c>
      <c r="F63" s="147">
        <v>-1.9199999999999998E-2</v>
      </c>
    </row>
    <row r="64" spans="1:12">
      <c r="A64" s="230" t="s">
        <v>712</v>
      </c>
      <c r="B64" s="147">
        <v>1.12E-2</v>
      </c>
      <c r="C64" s="147">
        <v>-2.8000000000000004E-3</v>
      </c>
      <c r="D64" s="147">
        <v>7.3000000000000001E-3</v>
      </c>
      <c r="E64" s="147">
        <v>-1.41E-2</v>
      </c>
      <c r="F64" s="147">
        <v>2.76E-2</v>
      </c>
    </row>
    <row r="65" spans="1:6">
      <c r="A65" s="230" t="s">
        <v>713</v>
      </c>
      <c r="B65" s="147">
        <v>-2.2400000000000003E-2</v>
      </c>
      <c r="C65" s="147">
        <v>-1.41E-2</v>
      </c>
      <c r="D65" s="147">
        <v>5.3899999999999997E-2</v>
      </c>
      <c r="E65" s="147">
        <v>-3.1300000000000001E-2</v>
      </c>
      <c r="F65" s="147">
        <v>3.7200000000000004E-2</v>
      </c>
    </row>
    <row r="66" spans="1:6">
      <c r="A66" s="230" t="s">
        <v>714</v>
      </c>
      <c r="B66" s="147">
        <v>1.7600000000000001E-2</v>
      </c>
      <c r="C66" s="147">
        <v>2.2700000000000001E-2</v>
      </c>
      <c r="D66" s="147">
        <v>1.01E-2</v>
      </c>
      <c r="E66" s="147">
        <v>-6.9999999999999993E-3</v>
      </c>
      <c r="F66" s="147">
        <v>4.7999999999999996E-3</v>
      </c>
    </row>
    <row r="67" spans="1:6">
      <c r="A67" s="230" t="s">
        <v>715</v>
      </c>
      <c r="B67" s="147">
        <v>4.4600000000000001E-2</v>
      </c>
      <c r="C67" s="147">
        <v>2.81E-2</v>
      </c>
      <c r="D67" s="147">
        <v>3.0000000000000001E-3</v>
      </c>
      <c r="E67" s="147">
        <v>-1.9900000000000001E-2</v>
      </c>
      <c r="F67" s="147">
        <v>8.6999999999999994E-3</v>
      </c>
    </row>
    <row r="68" spans="1:6">
      <c r="A68" s="230" t="s">
        <v>716</v>
      </c>
      <c r="B68" s="147">
        <v>8.6E-3</v>
      </c>
      <c r="C68" s="147">
        <v>-4.1999999999999997E-3</v>
      </c>
      <c r="D68" s="147">
        <v>2.86E-2</v>
      </c>
      <c r="E68" s="147">
        <v>-1.3200000000000002E-2</v>
      </c>
      <c r="F68" s="147">
        <v>2.7000000000000003E-2</v>
      </c>
    </row>
    <row r="69" spans="1:6">
      <c r="A69" s="230" t="s">
        <v>717</v>
      </c>
      <c r="B69" s="147">
        <v>5.8500000000000003E-2</v>
      </c>
      <c r="C69" s="147">
        <v>2.3900000000000001E-2</v>
      </c>
      <c r="D69" s="147">
        <v>-9.1999999999999998E-3</v>
      </c>
      <c r="E69" s="147">
        <v>4.3E-3</v>
      </c>
      <c r="F69" s="147">
        <v>-2.4300000000000002E-2</v>
      </c>
    </row>
    <row r="70" spans="1:6">
      <c r="A70" s="230" t="s">
        <v>718</v>
      </c>
      <c r="B70" s="147">
        <v>-3.5099999999999999E-2</v>
      </c>
      <c r="C70" s="147">
        <v>3.5200000000000002E-2</v>
      </c>
      <c r="D70" s="147">
        <v>-1E-4</v>
      </c>
      <c r="E70" s="147">
        <v>-1.8600000000000002E-2</v>
      </c>
      <c r="F70" s="147">
        <v>1.7600000000000001E-2</v>
      </c>
    </row>
    <row r="71" spans="1:6">
      <c r="A71" s="230" t="s">
        <v>719</v>
      </c>
      <c r="B71" s="147">
        <v>-7.2000000000000007E-3</v>
      </c>
      <c r="C71" s="147">
        <v>-4.4000000000000003E-3</v>
      </c>
      <c r="D71" s="147">
        <v>1.67E-2</v>
      </c>
      <c r="E71" s="147">
        <v>-1.5500000000000002E-2</v>
      </c>
      <c r="F71" s="147">
        <v>1.38E-2</v>
      </c>
    </row>
    <row r="72" spans="1:6">
      <c r="A72" s="230" t="s">
        <v>720</v>
      </c>
      <c r="B72" s="147">
        <v>-5.3800000000000001E-2</v>
      </c>
      <c r="C72" s="147">
        <v>-4.1600000000000005E-2</v>
      </c>
      <c r="D72" s="147">
        <v>9.1000000000000004E-3</v>
      </c>
      <c r="E72" s="147">
        <v>2.07E-2</v>
      </c>
      <c r="F72" s="147">
        <v>8.3000000000000001E-3</v>
      </c>
    </row>
    <row r="73" spans="1:6">
      <c r="A73" s="230" t="s">
        <v>721</v>
      </c>
      <c r="B73" s="147">
        <v>3.1000000000000003E-2</v>
      </c>
      <c r="C73" s="147">
        <v>-4.5000000000000005E-3</v>
      </c>
      <c r="D73" s="147">
        <v>-5.1000000000000004E-3</v>
      </c>
      <c r="E73" s="147">
        <v>-1.43E-2</v>
      </c>
      <c r="F73" s="147">
        <v>-3.4999999999999996E-3</v>
      </c>
    </row>
    <row r="74" spans="1:6">
      <c r="A74" s="230" t="s">
        <v>722</v>
      </c>
      <c r="B74" s="147">
        <v>1.9900000000000001E-2</v>
      </c>
      <c r="C74" s="147">
        <v>-8.0000000000000002E-3</v>
      </c>
      <c r="D74" s="147">
        <v>-2.9999999999999997E-4</v>
      </c>
      <c r="E74" s="147">
        <v>4.0999999999999995E-3</v>
      </c>
      <c r="F74" s="147">
        <v>5.9999999999999995E-4</v>
      </c>
    </row>
    <row r="75" spans="1:6">
      <c r="A75" s="230" t="s">
        <v>723</v>
      </c>
      <c r="B75" s="147">
        <v>3.7999999999999996E-3</v>
      </c>
      <c r="C75" s="147">
        <v>-1.1000000000000001E-3</v>
      </c>
      <c r="D75" s="147">
        <v>6.9999999999999993E-3</v>
      </c>
      <c r="E75" s="147">
        <v>-9.4999999999999998E-3</v>
      </c>
      <c r="F75" s="147">
        <v>1.3899999999999999E-2</v>
      </c>
    </row>
    <row r="76" spans="1:6">
      <c r="A76" s="230" t="s">
        <v>724</v>
      </c>
      <c r="B76" s="147">
        <v>-6.6700000000000009E-2</v>
      </c>
      <c r="C76" s="147">
        <v>-5.45E-2</v>
      </c>
      <c r="D76" s="147">
        <v>-1.0800000000000001E-2</v>
      </c>
      <c r="E76" s="147">
        <v>4.3200000000000002E-2</v>
      </c>
      <c r="F76" s="147">
        <v>-1.6E-2</v>
      </c>
    </row>
    <row r="77" spans="1:6">
      <c r="A77" s="230" t="s">
        <v>725</v>
      </c>
      <c r="B77" s="147">
        <v>-6.4700000000000008E-2</v>
      </c>
      <c r="C77" s="147">
        <v>-3.4100000000000005E-2</v>
      </c>
      <c r="D77" s="147">
        <v>1.2E-2</v>
      </c>
      <c r="E77" s="147">
        <v>1.4800000000000001E-2</v>
      </c>
      <c r="F77" s="147">
        <v>1.9099999999999999E-2</v>
      </c>
    </row>
    <row r="78" spans="1:6">
      <c r="A78" s="230" t="s">
        <v>726</v>
      </c>
      <c r="B78" s="147">
        <v>5.1799999999999999E-2</v>
      </c>
      <c r="C78" s="147">
        <v>6.9999999999999993E-3</v>
      </c>
      <c r="D78" s="147">
        <v>-3.7900000000000003E-2</v>
      </c>
      <c r="E78" s="147">
        <v>1.1299999999999999E-2</v>
      </c>
      <c r="F78" s="147">
        <v>-4.02E-2</v>
      </c>
    </row>
    <row r="79" spans="1:6">
      <c r="A79" s="230" t="s">
        <v>727</v>
      </c>
      <c r="B79" s="147">
        <v>-2.3599999999999999E-2</v>
      </c>
      <c r="C79" s="147">
        <v>1.29E-2</v>
      </c>
      <c r="D79" s="147">
        <v>-3.27E-2</v>
      </c>
      <c r="E79" s="147">
        <v>3.39E-2</v>
      </c>
      <c r="F79" s="147">
        <v>-8.199999999999999E-3</v>
      </c>
    </row>
    <row r="80" spans="1:6">
      <c r="A80" s="230" t="s">
        <v>728</v>
      </c>
      <c r="B80" s="147">
        <v>5.6599999999999998E-2</v>
      </c>
      <c r="C80" s="147">
        <v>3.9600000000000003E-2</v>
      </c>
      <c r="D80" s="147">
        <v>-3.1600000000000003E-2</v>
      </c>
      <c r="E80" s="147">
        <v>5.0000000000000001E-4</v>
      </c>
      <c r="F80" s="147">
        <v>-2.1499999999999998E-2</v>
      </c>
    </row>
    <row r="81" spans="1:6">
      <c r="A81" s="230" t="s">
        <v>729</v>
      </c>
      <c r="B81" s="147">
        <v>-3.27E-2</v>
      </c>
      <c r="C81" s="147">
        <v>-2.4500000000000001E-2</v>
      </c>
      <c r="D81" s="147">
        <v>-1.1899999999999999E-2</v>
      </c>
      <c r="E81" s="147">
        <v>1.46E-2</v>
      </c>
      <c r="F81" s="147">
        <v>3.0000000000000001E-3</v>
      </c>
    </row>
    <row r="82" spans="1:6">
      <c r="A82" s="230" t="s">
        <v>730</v>
      </c>
      <c r="B82" s="147">
        <v>-1.9900000000000001E-2</v>
      </c>
      <c r="C82" s="147">
        <v>-3.7600000000000001E-2</v>
      </c>
      <c r="D82" s="147">
        <v>-2.86E-2</v>
      </c>
      <c r="E82" s="147">
        <v>2.5400000000000002E-2</v>
      </c>
      <c r="F82" s="147">
        <v>-1.8100000000000002E-2</v>
      </c>
    </row>
    <row r="83" spans="1:6">
      <c r="A83" s="230" t="s">
        <v>731</v>
      </c>
      <c r="B83" s="147">
        <v>-7.4999999999999997E-2</v>
      </c>
      <c r="C83" s="147">
        <v>3.1200000000000002E-2</v>
      </c>
      <c r="D83" s="147">
        <v>3.1300000000000001E-2</v>
      </c>
      <c r="E83" s="147">
        <v>-1.72E-2</v>
      </c>
      <c r="F83" s="147">
        <v>3.8399999999999997E-2</v>
      </c>
    </row>
    <row r="84" spans="1:6">
      <c r="A84" s="230" t="s">
        <v>732</v>
      </c>
      <c r="B84" s="147">
        <v>5.7499999999999996E-2</v>
      </c>
      <c r="C84" s="147">
        <v>-2.76E-2</v>
      </c>
      <c r="D84" s="147">
        <v>3.9300000000000002E-2</v>
      </c>
      <c r="E84" s="147">
        <v>-2.29E-2</v>
      </c>
      <c r="F84" s="147">
        <v>2.76E-2</v>
      </c>
    </row>
    <row r="85" spans="1:6">
      <c r="A85" s="230" t="s">
        <v>733</v>
      </c>
      <c r="B85" s="147">
        <v>-4.9000000000000007E-3</v>
      </c>
      <c r="C85" s="147">
        <v>-2.4100000000000003E-2</v>
      </c>
      <c r="D85" s="147">
        <v>3.9900000000000005E-2</v>
      </c>
      <c r="E85" s="147">
        <v>-0.01</v>
      </c>
      <c r="F85" s="147">
        <v>4.2900000000000001E-2</v>
      </c>
    </row>
    <row r="86" spans="1:6">
      <c r="A86" s="230" t="s">
        <v>734</v>
      </c>
      <c r="B86" s="147">
        <v>-0.105</v>
      </c>
      <c r="C86" s="147">
        <v>-6.4000000000000001E-2</v>
      </c>
      <c r="D86" s="147">
        <v>6.1800000000000001E-2</v>
      </c>
      <c r="E86" s="147">
        <v>-6.4000000000000003E-3</v>
      </c>
      <c r="F86" s="147">
        <v>6.2100000000000002E-2</v>
      </c>
    </row>
    <row r="87" spans="1:6">
      <c r="A87" s="230" t="s">
        <v>735</v>
      </c>
      <c r="B87" s="147">
        <v>-6.3899999999999998E-2</v>
      </c>
      <c r="C87" s="147">
        <v>-4.4800000000000006E-2</v>
      </c>
      <c r="D87" s="147">
        <v>3.3300000000000003E-2</v>
      </c>
      <c r="E87" s="147">
        <v>-1.21E-2</v>
      </c>
      <c r="F87" s="147">
        <v>3.9E-2</v>
      </c>
    </row>
    <row r="88" spans="1:6">
      <c r="A88" s="230" t="s">
        <v>736</v>
      </c>
      <c r="B88" s="147">
        <v>-5.21E-2</v>
      </c>
      <c r="C88" s="147">
        <v>-2.2000000000000002E-2</v>
      </c>
      <c r="D88" s="147">
        <v>6.0000000000000001E-3</v>
      </c>
      <c r="E88" s="147">
        <v>1.3000000000000002E-3</v>
      </c>
      <c r="F88" s="147">
        <v>2.9600000000000001E-2</v>
      </c>
    </row>
    <row r="89" spans="1:6">
      <c r="A89" s="230" t="s">
        <v>737</v>
      </c>
      <c r="B89" s="147">
        <v>7.4499999999999997E-2</v>
      </c>
      <c r="C89" s="147">
        <v>-6.1999999999999998E-3</v>
      </c>
      <c r="D89" s="147">
        <v>9.0000000000000011E-3</v>
      </c>
      <c r="E89" s="147">
        <v>-2.6000000000000003E-3</v>
      </c>
      <c r="F89" s="147">
        <v>1.84E-2</v>
      </c>
    </row>
    <row r="90" spans="1:6">
      <c r="A90" s="230" t="s">
        <v>738</v>
      </c>
      <c r="B90" s="147">
        <v>5.0200000000000002E-2</v>
      </c>
      <c r="C90" s="147">
        <v>1.52E-2</v>
      </c>
      <c r="D90" s="147">
        <v>1.15E-2</v>
      </c>
      <c r="E90" s="147">
        <v>5.6000000000000008E-3</v>
      </c>
      <c r="F90" s="147">
        <v>-2.0999999999999999E-3</v>
      </c>
    </row>
    <row r="91" spans="1:6">
      <c r="A91" s="230" t="s">
        <v>739</v>
      </c>
      <c r="B91" s="147">
        <v>4.7199999999999999E-2</v>
      </c>
      <c r="C91" s="147">
        <v>8.5099999999999995E-2</v>
      </c>
      <c r="D91" s="147">
        <v>-5.4699999999999999E-2</v>
      </c>
      <c r="E91" s="147">
        <v>3.0000000000000001E-3</v>
      </c>
      <c r="F91" s="147">
        <v>-5.8300000000000005E-2</v>
      </c>
    </row>
    <row r="92" spans="1:6">
      <c r="A92" s="230" t="s">
        <v>740</v>
      </c>
      <c r="B92" s="147">
        <v>-1.8199999999999997E-2</v>
      </c>
      <c r="C92" s="147">
        <v>-4.4299999999999999E-2</v>
      </c>
      <c r="D92" s="147">
        <v>2.2000000000000001E-3</v>
      </c>
      <c r="E92" s="147">
        <v>1.7100000000000001E-2</v>
      </c>
      <c r="F92" s="147">
        <v>2.3400000000000001E-2</v>
      </c>
    </row>
    <row r="93" spans="1:6">
      <c r="A93" s="230" t="s">
        <v>741</v>
      </c>
      <c r="B93" s="147">
        <v>5.0599999999999999E-2</v>
      </c>
      <c r="C93" s="147">
        <v>-3.8600000000000002E-2</v>
      </c>
      <c r="D93" s="147">
        <v>1.6899999999999998E-2</v>
      </c>
      <c r="E93" s="147">
        <v>1.5700000000000002E-2</v>
      </c>
      <c r="F93" s="147">
        <v>1.47E-2</v>
      </c>
    </row>
    <row r="94" spans="1:6">
      <c r="A94" s="230" t="s">
        <v>742</v>
      </c>
      <c r="B94" s="147">
        <v>6.1400000000000003E-2</v>
      </c>
      <c r="C94" s="147">
        <v>2.9399999999999999E-2</v>
      </c>
      <c r="D94" s="147">
        <v>0.01</v>
      </c>
      <c r="E94" s="147">
        <v>2.7000000000000001E-3</v>
      </c>
      <c r="F94" s="147">
        <v>3.0000000000000001E-3</v>
      </c>
    </row>
    <row r="95" spans="1:6">
      <c r="A95" s="230" t="s">
        <v>743</v>
      </c>
      <c r="B95" s="147">
        <v>5.2199999999999996E-2</v>
      </c>
      <c r="C95" s="147">
        <v>7.5400000000000009E-2</v>
      </c>
      <c r="D95" s="147">
        <v>1.3300000000000001E-2</v>
      </c>
      <c r="E95" s="147">
        <v>-1.9900000000000001E-2</v>
      </c>
      <c r="F95" s="147">
        <v>7.000000000000001E-4</v>
      </c>
    </row>
    <row r="96" spans="1:6">
      <c r="A96" s="230" t="s">
        <v>744</v>
      </c>
      <c r="B96" s="147">
        <v>1.7399999999999999E-2</v>
      </c>
      <c r="C96" s="147">
        <v>2.0400000000000001E-2</v>
      </c>
      <c r="D96" s="147">
        <v>-1.23E-2</v>
      </c>
      <c r="E96" s="147">
        <v>6.1999999999999998E-3</v>
      </c>
      <c r="F96" s="147">
        <v>-6.9999999999999993E-3</v>
      </c>
    </row>
    <row r="97" spans="1:6">
      <c r="A97" s="230" t="s">
        <v>745</v>
      </c>
      <c r="B97" s="147">
        <v>4.4299999999999999E-2</v>
      </c>
      <c r="C97" s="147">
        <v>2.2599999999999999E-2</v>
      </c>
      <c r="D97" s="147">
        <v>-3.95E-2</v>
      </c>
      <c r="E97" s="147">
        <v>1.8200000000000001E-2</v>
      </c>
      <c r="F97" s="147">
        <v>-2.7099999999999999E-2</v>
      </c>
    </row>
    <row r="98" spans="1:6">
      <c r="A98" s="230" t="s">
        <v>746</v>
      </c>
      <c r="B98" s="147">
        <v>3.4299999999999997E-2</v>
      </c>
      <c r="C98" s="147">
        <v>-3.5999999999999999E-3</v>
      </c>
      <c r="D98" s="147">
        <v>6.8999999999999999E-3</v>
      </c>
      <c r="E98" s="147">
        <v>-1.47E-2</v>
      </c>
      <c r="F98" s="147">
        <v>8.6999999999999994E-3</v>
      </c>
    </row>
    <row r="99" spans="1:6">
      <c r="A99" s="230" t="s">
        <v>747</v>
      </c>
      <c r="B99" s="147">
        <v>-3.6900000000000002E-2</v>
      </c>
      <c r="C99" s="147">
        <v>-1.11E-2</v>
      </c>
      <c r="D99" s="147">
        <v>-1.44E-2</v>
      </c>
      <c r="E99" s="147">
        <v>1.3999999999999999E-2</v>
      </c>
      <c r="F99" s="147">
        <v>2.5000000000000001E-3</v>
      </c>
    </row>
    <row r="100" spans="1:6">
      <c r="A100" s="230" t="s">
        <v>748</v>
      </c>
      <c r="B100" s="147">
        <v>2.7000000000000001E-3</v>
      </c>
      <c r="C100" s="147">
        <v>-1.4800000000000001E-2</v>
      </c>
      <c r="D100" s="147">
        <v>-1.8700000000000001E-2</v>
      </c>
      <c r="E100" s="147">
        <v>1.5300000000000001E-2</v>
      </c>
      <c r="F100" s="147">
        <v>-1.6399999999999998E-2</v>
      </c>
    </row>
    <row r="101" spans="1:6">
      <c r="A101" s="230" t="s">
        <v>749</v>
      </c>
      <c r="B101" s="147">
        <v>-4.0999999999999995E-2</v>
      </c>
      <c r="C101" s="147">
        <v>-1.3899999999999999E-2</v>
      </c>
      <c r="D101" s="147">
        <v>2.0000000000000001E-4</v>
      </c>
      <c r="E101" s="147">
        <v>6.4000000000000003E-3</v>
      </c>
      <c r="F101" s="147">
        <v>1.46E-2</v>
      </c>
    </row>
    <row r="102" spans="1:6">
      <c r="A102" s="230" t="s">
        <v>750</v>
      </c>
      <c r="B102" s="147">
        <v>4.2600000000000006E-2</v>
      </c>
      <c r="C102" s="147">
        <v>-1.6000000000000001E-3</v>
      </c>
      <c r="D102" s="147">
        <v>2.63E-2</v>
      </c>
      <c r="E102" s="147">
        <v>-4.3E-3</v>
      </c>
      <c r="F102" s="147">
        <v>2.6400000000000003E-2</v>
      </c>
    </row>
    <row r="103" spans="1:6">
      <c r="A103" s="230" t="s">
        <v>751</v>
      </c>
      <c r="B103" s="147">
        <v>-4.8000000000000004E-3</v>
      </c>
      <c r="C103" s="147">
        <v>2.8000000000000004E-3</v>
      </c>
      <c r="D103" s="147">
        <v>-2.9100000000000001E-2</v>
      </c>
      <c r="E103" s="147">
        <v>2.5600000000000001E-2</v>
      </c>
      <c r="F103" s="147">
        <v>-1.5800000000000002E-2</v>
      </c>
    </row>
    <row r="104" spans="1:6">
      <c r="A104" s="230" t="s">
        <v>752</v>
      </c>
      <c r="B104" s="147">
        <v>-4.0500000000000001E-2</v>
      </c>
      <c r="C104" s="147">
        <v>-1.6E-2</v>
      </c>
      <c r="D104" s="147">
        <v>-4.7999999999999996E-3</v>
      </c>
      <c r="E104" s="147">
        <v>1.6200000000000003E-2</v>
      </c>
      <c r="F104" s="147">
        <v>-1.3500000000000002E-2</v>
      </c>
    </row>
    <row r="105" spans="1:6">
      <c r="A105" s="230" t="s">
        <v>753</v>
      </c>
      <c r="B105" s="147">
        <v>-8.9999999999999976E-4</v>
      </c>
      <c r="C105" s="147">
        <v>-2.86E-2</v>
      </c>
      <c r="D105" s="147">
        <v>-1.6799999999999999E-2</v>
      </c>
      <c r="E105" s="147">
        <v>2.4400000000000002E-2</v>
      </c>
      <c r="F105" s="147">
        <v>-3.4000000000000002E-3</v>
      </c>
    </row>
    <row r="106" spans="1:6">
      <c r="A106" s="230" t="s">
        <v>754</v>
      </c>
      <c r="B106" s="147">
        <v>9.0800000000000006E-2</v>
      </c>
      <c r="C106" s="147">
        <v>3.27E-2</v>
      </c>
      <c r="D106" s="147">
        <v>-4.0000000000000001E-3</v>
      </c>
      <c r="E106" s="147">
        <v>-4.0000000000000001E-3</v>
      </c>
      <c r="F106" s="147">
        <v>-1.7500000000000002E-2</v>
      </c>
    </row>
    <row r="107" spans="1:6">
      <c r="A107" s="230" t="s">
        <v>755</v>
      </c>
      <c r="B107" s="147">
        <v>2.7800000000000002E-2</v>
      </c>
      <c r="C107" s="147">
        <v>6.0999999999999999E-2</v>
      </c>
      <c r="D107" s="147">
        <v>2.2400000000000003E-2</v>
      </c>
      <c r="E107" s="147">
        <v>-1.6899999999999998E-2</v>
      </c>
      <c r="F107" s="147">
        <v>5.5000000000000005E-3</v>
      </c>
    </row>
    <row r="108" spans="1:6">
      <c r="A108" s="230" t="s">
        <v>756</v>
      </c>
      <c r="B108" s="147">
        <v>3.1200000000000002E-2</v>
      </c>
      <c r="C108" s="147">
        <v>8.6999999999999994E-3</v>
      </c>
      <c r="D108" s="147">
        <v>-2.7900000000000001E-2</v>
      </c>
      <c r="E108" s="147">
        <v>1.61E-2</v>
      </c>
      <c r="F108" s="147">
        <v>-5.2000000000000006E-3</v>
      </c>
    </row>
    <row r="109" spans="1:6">
      <c r="A109" s="230" t="s">
        <v>757</v>
      </c>
      <c r="B109" s="147">
        <v>9.0000000000000011E-3</v>
      </c>
      <c r="C109" s="147">
        <v>-4.3E-3</v>
      </c>
      <c r="D109" s="147">
        <v>-1.61E-2</v>
      </c>
      <c r="E109" s="147">
        <v>1.6299999999999999E-2</v>
      </c>
      <c r="F109" s="147">
        <v>-1.8E-3</v>
      </c>
    </row>
    <row r="110" spans="1:6">
      <c r="A110" s="230" t="s">
        <v>758</v>
      </c>
      <c r="B110" s="147">
        <v>5.7999999999999996E-3</v>
      </c>
      <c r="C110" s="147">
        <v>2.3E-3</v>
      </c>
      <c r="D110" s="147">
        <v>1.1999999999999999E-3</v>
      </c>
      <c r="E110" s="147">
        <v>-4.1999999999999997E-3</v>
      </c>
      <c r="F110" s="147">
        <v>-1.03E-2</v>
      </c>
    </row>
    <row r="111" spans="1:6">
      <c r="A111" s="230" t="s">
        <v>759</v>
      </c>
      <c r="B111" s="147">
        <v>1.55E-2</v>
      </c>
      <c r="C111" s="147">
        <v>-3.1000000000000003E-2</v>
      </c>
      <c r="D111" s="147">
        <v>-2.7000000000000003E-2</v>
      </c>
      <c r="E111" s="147">
        <v>2.3400000000000001E-2</v>
      </c>
      <c r="F111" s="147">
        <v>-1.95E-2</v>
      </c>
    </row>
    <row r="112" spans="1:6">
      <c r="A112" s="230" t="s">
        <v>760</v>
      </c>
      <c r="B112" s="147">
        <v>-2.1400000000000002E-2</v>
      </c>
      <c r="C112" s="147">
        <v>-4.3E-3</v>
      </c>
      <c r="D112" s="147">
        <v>-2.4799999999999999E-2</v>
      </c>
      <c r="E112" s="147">
        <v>1.8800000000000001E-2</v>
      </c>
      <c r="F112" s="147">
        <v>-3.5999999999999999E-3</v>
      </c>
    </row>
    <row r="113" spans="1:6">
      <c r="A113" s="230" t="s">
        <v>761</v>
      </c>
      <c r="B113" s="147">
        <v>-4.8999999999999998E-3</v>
      </c>
      <c r="C113" s="147">
        <v>-2.7700000000000002E-2</v>
      </c>
      <c r="D113" s="147">
        <v>6.6000000000000008E-3</v>
      </c>
      <c r="E113" s="147">
        <v>1.1399999999999999E-2</v>
      </c>
      <c r="F113" s="147">
        <v>-6.6000000000000008E-3</v>
      </c>
    </row>
    <row r="114" spans="1:6">
      <c r="A114" s="230" t="s">
        <v>762</v>
      </c>
      <c r="B114" s="147">
        <v>3.5499999999999997E-2</v>
      </c>
      <c r="C114" s="147">
        <v>-3.4799999999999998E-2</v>
      </c>
      <c r="D114" s="147">
        <v>4.5400000000000003E-2</v>
      </c>
      <c r="E114" s="147">
        <v>-1.9599999999999999E-2</v>
      </c>
      <c r="F114" s="147">
        <v>2.8500000000000001E-2</v>
      </c>
    </row>
    <row r="115" spans="1:6">
      <c r="A115" s="230" t="s">
        <v>763</v>
      </c>
      <c r="B115" s="147">
        <v>-7.9999999999999984E-3</v>
      </c>
      <c r="C115" s="147">
        <v>-2.23E-2</v>
      </c>
      <c r="D115" s="147">
        <v>4.5999999999999999E-3</v>
      </c>
      <c r="E115" s="147">
        <v>1.6799999999999999E-2</v>
      </c>
      <c r="F115" s="147">
        <v>-1.9699999999999999E-2</v>
      </c>
    </row>
    <row r="116" spans="1:6">
      <c r="A116" s="230" t="s">
        <v>764</v>
      </c>
      <c r="B116" s="147">
        <v>9.1999999999999998E-3</v>
      </c>
      <c r="C116" s="147">
        <v>-2.5400000000000002E-2</v>
      </c>
      <c r="D116" s="147">
        <v>1.34E-2</v>
      </c>
      <c r="E116" s="147">
        <v>-1.5E-3</v>
      </c>
      <c r="F116" s="147">
        <v>2.0000000000000001E-4</v>
      </c>
    </row>
    <row r="117" spans="1:6">
      <c r="A117" s="230" t="s">
        <v>765</v>
      </c>
      <c r="B117" s="147">
        <v>4.9700000000000001E-2</v>
      </c>
      <c r="C117" s="147">
        <v>-6.1999999999999998E-3</v>
      </c>
      <c r="D117" s="147">
        <v>4.8499999999999995E-2</v>
      </c>
      <c r="E117" s="147">
        <v>-1.95E-2</v>
      </c>
      <c r="F117" s="147">
        <v>3.3700000000000001E-2</v>
      </c>
    </row>
    <row r="118" spans="1:6">
      <c r="A118" s="230" t="s">
        <v>766</v>
      </c>
      <c r="B118" s="147">
        <v>9.8999999999999991E-3</v>
      </c>
      <c r="C118" s="147">
        <v>-1.89E-2</v>
      </c>
      <c r="D118" s="147">
        <v>-2.1899999999999999E-2</v>
      </c>
      <c r="E118" s="147">
        <v>2.6000000000000002E-2</v>
      </c>
      <c r="F118" s="147">
        <v>-2.1600000000000001E-2</v>
      </c>
    </row>
    <row r="119" spans="1:6">
      <c r="A119" s="230" t="s">
        <v>767</v>
      </c>
      <c r="B119" s="147">
        <v>-2.8499999999999998E-2</v>
      </c>
      <c r="C119" s="147">
        <v>-2.81E-2</v>
      </c>
      <c r="D119" s="147">
        <v>2.6800000000000001E-2</v>
      </c>
      <c r="E119" s="147">
        <v>4.1999999999999997E-3</v>
      </c>
      <c r="F119" s="147">
        <v>9.0000000000000011E-3</v>
      </c>
    </row>
    <row r="120" spans="1:6">
      <c r="A120" s="230" t="s">
        <v>768</v>
      </c>
      <c r="B120" s="147">
        <v>-4.4399999999999995E-2</v>
      </c>
      <c r="C120" s="147">
        <v>-3.9100000000000003E-2</v>
      </c>
      <c r="D120" s="147">
        <v>1.6E-2</v>
      </c>
      <c r="E120" s="147">
        <v>-2.6000000000000003E-3</v>
      </c>
      <c r="F120" s="147">
        <v>2.0000000000000001E-4</v>
      </c>
    </row>
    <row r="121" spans="1:6">
      <c r="A121" s="230" t="s">
        <v>769</v>
      </c>
      <c r="B121" s="147">
        <v>-8.4000000000000012E-3</v>
      </c>
      <c r="C121" s="147">
        <v>-2.3300000000000001E-2</v>
      </c>
      <c r="D121" s="147">
        <v>2.6200000000000001E-2</v>
      </c>
      <c r="E121" s="147">
        <v>-1.0700000000000001E-2</v>
      </c>
      <c r="F121" s="147">
        <v>6.1999999999999998E-3</v>
      </c>
    </row>
    <row r="122" spans="1:6">
      <c r="A122" s="230" t="s">
        <v>770</v>
      </c>
      <c r="B122" s="147">
        <v>-5.1599999999999993E-2</v>
      </c>
      <c r="C122" s="147">
        <v>-2.8999999999999998E-2</v>
      </c>
      <c r="D122" s="147">
        <v>5.4100000000000002E-2</v>
      </c>
      <c r="E122" s="147">
        <v>-1.5800000000000002E-2</v>
      </c>
      <c r="F122" s="147">
        <v>2.6000000000000002E-2</v>
      </c>
    </row>
    <row r="123" spans="1:6">
      <c r="A123" s="230" t="s">
        <v>771</v>
      </c>
      <c r="B123" s="147">
        <v>-2.4299999999999999E-2</v>
      </c>
      <c r="C123" s="147">
        <v>-6.1699999999999998E-2</v>
      </c>
      <c r="D123" s="147">
        <v>4.0999999999999995E-3</v>
      </c>
      <c r="E123" s="147">
        <v>1.95E-2</v>
      </c>
      <c r="F123" s="147">
        <v>-1.5700000000000002E-2</v>
      </c>
    </row>
    <row r="124" spans="1:6">
      <c r="A124" s="230" t="s">
        <v>772</v>
      </c>
      <c r="B124" s="147">
        <v>-1.0600000000000002E-2</v>
      </c>
      <c r="C124" s="147">
        <v>-2.4799999999999999E-2</v>
      </c>
      <c r="D124" s="147">
        <v>1.2E-2</v>
      </c>
      <c r="E124" s="147">
        <v>-2.0999999999999999E-3</v>
      </c>
      <c r="F124" s="147">
        <v>1.1000000000000001E-3</v>
      </c>
    </row>
    <row r="125" spans="1:6">
      <c r="A125" s="230" t="s">
        <v>773</v>
      </c>
      <c r="B125" s="147">
        <v>5.6899999999999999E-2</v>
      </c>
      <c r="C125" s="147">
        <v>7.2599999999999998E-2</v>
      </c>
      <c r="D125" s="147">
        <v>-5.3099999999999994E-2</v>
      </c>
      <c r="E125" s="147">
        <v>-5.0000000000000001E-4</v>
      </c>
      <c r="F125" s="147">
        <v>-3.2799999999999996E-2</v>
      </c>
    </row>
    <row r="126" spans="1:6">
      <c r="A126" s="230" t="s">
        <v>774</v>
      </c>
      <c r="B126" s="147">
        <v>-3.1199999999999999E-2</v>
      </c>
      <c r="C126" s="147">
        <v>-1.84E-2</v>
      </c>
      <c r="D126" s="147">
        <v>1.24E-2</v>
      </c>
      <c r="E126" s="147">
        <v>-1.3100000000000001E-2</v>
      </c>
      <c r="F126" s="147">
        <v>1.3000000000000001E-2</v>
      </c>
    </row>
    <row r="127" spans="1:6">
      <c r="A127" s="230" t="s">
        <v>775</v>
      </c>
      <c r="B127" s="147">
        <v>5.4300000000000001E-2</v>
      </c>
      <c r="C127" s="147">
        <v>3.6000000000000004E-2</v>
      </c>
      <c r="D127" s="147">
        <v>2.01E-2</v>
      </c>
      <c r="E127" s="147">
        <v>-2.3300000000000001E-2</v>
      </c>
      <c r="F127" s="147">
        <v>1.77E-2</v>
      </c>
    </row>
    <row r="128" spans="1:6">
      <c r="A128" s="230" t="s">
        <v>776</v>
      </c>
      <c r="B128" s="147">
        <v>-1.7999999999999995E-3</v>
      </c>
      <c r="C128" s="147">
        <v>-3.8E-3</v>
      </c>
      <c r="D128" s="147">
        <v>1.9400000000000001E-2</v>
      </c>
      <c r="E128" s="147">
        <v>-1.9E-2</v>
      </c>
      <c r="F128" s="147">
        <v>2.7099999999999999E-2</v>
      </c>
    </row>
    <row r="129" spans="1:6">
      <c r="A129" s="230" t="s">
        <v>777</v>
      </c>
      <c r="B129" s="147">
        <v>-0.12190000000000001</v>
      </c>
      <c r="C129" s="147">
        <v>-7.2800000000000004E-2</v>
      </c>
      <c r="D129" s="147">
        <v>3.8700000000000005E-2</v>
      </c>
      <c r="E129" s="147">
        <v>-2.63E-2</v>
      </c>
      <c r="F129" s="147">
        <v>1.7299999999999999E-2</v>
      </c>
    </row>
    <row r="130" spans="1:6">
      <c r="A130" s="230" t="s">
        <v>778</v>
      </c>
      <c r="B130" s="147">
        <v>1.2500000000000001E-2</v>
      </c>
      <c r="C130" s="147">
        <v>-4.6900000000000004E-2</v>
      </c>
      <c r="D130" s="147">
        <v>3.85E-2</v>
      </c>
      <c r="E130" s="147">
        <v>-2.7799999999999998E-2</v>
      </c>
      <c r="F130" s="147">
        <v>2.4799999999999999E-2</v>
      </c>
    </row>
    <row r="131" spans="1:6">
      <c r="A131" s="230" t="s">
        <v>779</v>
      </c>
      <c r="B131" s="147">
        <v>4.5999999999999999E-3</v>
      </c>
      <c r="C131" s="147">
        <v>0.1041</v>
      </c>
      <c r="D131" s="147">
        <v>6.0199999999999997E-2</v>
      </c>
      <c r="E131" s="147">
        <v>-3.0699999999999998E-2</v>
      </c>
      <c r="F131" s="147">
        <v>4.4200000000000003E-2</v>
      </c>
    </row>
    <row r="132" spans="1:6">
      <c r="A132" s="230" t="s">
        <v>780</v>
      </c>
      <c r="B132" s="147">
        <v>1.0999999999999994E-3</v>
      </c>
      <c r="C132" s="147">
        <v>5.9999999999999995E-4</v>
      </c>
      <c r="D132" s="147">
        <v>2.81E-2</v>
      </c>
      <c r="E132" s="147">
        <v>-1.8700000000000001E-2</v>
      </c>
      <c r="F132" s="147">
        <v>2.63E-2</v>
      </c>
    </row>
    <row r="133" spans="1:6">
      <c r="A133" s="230" t="s">
        <v>781</v>
      </c>
      <c r="B133" s="147">
        <v>-2.2499999999999999E-2</v>
      </c>
      <c r="C133" s="147">
        <v>2.6499999999999999E-2</v>
      </c>
      <c r="D133" s="147">
        <v>-3.2000000000000002E-3</v>
      </c>
      <c r="E133" s="147">
        <v>2.7999999999999997E-2</v>
      </c>
      <c r="F133" s="147">
        <v>4.4000000000000003E-3</v>
      </c>
    </row>
    <row r="134" spans="1:6">
      <c r="A134" s="230" t="s">
        <v>782</v>
      </c>
      <c r="B134" s="147">
        <v>-4.5400000000000003E-2</v>
      </c>
      <c r="C134" s="147">
        <v>-6.9999999999999993E-3</v>
      </c>
      <c r="D134" s="147">
        <v>8.5000000000000006E-3</v>
      </c>
      <c r="E134" s="147">
        <v>2.8700000000000003E-2</v>
      </c>
      <c r="F134" s="147">
        <v>2.0899999999999998E-2</v>
      </c>
    </row>
    <row r="135" spans="1:6">
      <c r="A135" s="230" t="s">
        <v>783</v>
      </c>
      <c r="B135" s="147">
        <v>-3.9300000000000002E-2</v>
      </c>
      <c r="C135" s="147">
        <v>-3.0699999999999998E-2</v>
      </c>
      <c r="D135" s="147">
        <v>-2.0199999999999999E-2</v>
      </c>
      <c r="E135" s="147">
        <v>4.9500000000000002E-2</v>
      </c>
      <c r="F135" s="147">
        <v>-4.1999999999999997E-3</v>
      </c>
    </row>
    <row r="136" spans="1:6">
      <c r="A136" s="230" t="s">
        <v>784</v>
      </c>
      <c r="B136" s="147">
        <v>-2.23E-2</v>
      </c>
      <c r="C136" s="147">
        <v>0</v>
      </c>
      <c r="D136" s="147">
        <v>7.7000000000000002E-3</v>
      </c>
      <c r="E136" s="147">
        <v>5.6999999999999993E-3</v>
      </c>
      <c r="F136" s="147">
        <v>2.9399999999999999E-2</v>
      </c>
    </row>
    <row r="137" spans="1:6">
      <c r="A137" s="230" t="s">
        <v>785</v>
      </c>
      <c r="B137" s="147">
        <v>-7.350000000000001E-2</v>
      </c>
      <c r="C137" s="147">
        <v>1.9199999999999998E-2</v>
      </c>
      <c r="D137" s="147">
        <v>5.16E-2</v>
      </c>
      <c r="E137" s="147">
        <v>-3.2500000000000001E-2</v>
      </c>
      <c r="F137" s="147">
        <v>4.5999999999999999E-2</v>
      </c>
    </row>
    <row r="138" spans="1:6">
      <c r="A138" s="230" t="s">
        <v>786</v>
      </c>
      <c r="B138" s="147">
        <v>-8.7499999999999994E-2</v>
      </c>
      <c r="C138" s="147">
        <v>2.6000000000000003E-3</v>
      </c>
      <c r="D138" s="147">
        <v>2.6400000000000003E-2</v>
      </c>
      <c r="E138" s="147">
        <v>-2.8000000000000004E-3</v>
      </c>
      <c r="F138" s="147">
        <v>2.6000000000000002E-2</v>
      </c>
    </row>
    <row r="139" spans="1:6">
      <c r="A139" s="230" t="s">
        <v>787</v>
      </c>
      <c r="B139" s="147">
        <v>-0.1096</v>
      </c>
      <c r="C139" s="147">
        <v>1.4800000000000001E-2</v>
      </c>
      <c r="D139" s="147">
        <v>5.5800000000000002E-2</v>
      </c>
      <c r="E139" s="147">
        <v>-4.4400000000000002E-2</v>
      </c>
      <c r="F139" s="147">
        <v>5.91E-2</v>
      </c>
    </row>
    <row r="140" spans="1:6">
      <c r="A140" s="230" t="s">
        <v>788</v>
      </c>
      <c r="B140" s="147">
        <v>0.1661</v>
      </c>
      <c r="C140" s="147">
        <v>-6.8200000000000011E-2</v>
      </c>
      <c r="D140" s="147">
        <v>-9.8699999999999996E-2</v>
      </c>
      <c r="E140" s="147">
        <v>-2.0999999999999999E-3</v>
      </c>
      <c r="F140" s="147">
        <v>-2.86E-2</v>
      </c>
    </row>
    <row r="141" spans="1:6">
      <c r="A141" s="230" t="s">
        <v>789</v>
      </c>
      <c r="B141" s="147">
        <v>-3.9699999999999999E-2</v>
      </c>
      <c r="C141" s="147">
        <v>-1.4800000000000001E-2</v>
      </c>
      <c r="D141" s="147">
        <v>-2E-3</v>
      </c>
      <c r="E141" s="147">
        <v>-3.3700000000000001E-2</v>
      </c>
      <c r="F141" s="147">
        <v>2.92E-2</v>
      </c>
    </row>
    <row r="142" spans="1:6">
      <c r="A142" s="230" t="s">
        <v>790</v>
      </c>
      <c r="B142" s="147">
        <v>-2.7500000000000004E-2</v>
      </c>
      <c r="C142" s="147">
        <v>-4.3499999999999997E-2</v>
      </c>
      <c r="D142" s="147">
        <v>1.1000000000000001E-3</v>
      </c>
      <c r="E142" s="147">
        <v>-6.8000000000000005E-3</v>
      </c>
      <c r="F142" s="147">
        <v>3.2500000000000001E-2</v>
      </c>
    </row>
    <row r="143" spans="1:6">
      <c r="A143" s="230" t="s">
        <v>791</v>
      </c>
      <c r="B143" s="147">
        <v>0.1424</v>
      </c>
      <c r="C143" s="147">
        <v>0.12909999999999999</v>
      </c>
      <c r="D143" s="147">
        <v>8.2799999999999999E-2</v>
      </c>
      <c r="E143" s="147">
        <v>-7.8000000000000005E-3</v>
      </c>
      <c r="F143" s="147">
        <v>-9.0000000000000011E-3</v>
      </c>
    </row>
    <row r="144" spans="1:6">
      <c r="A144" s="230" t="s">
        <v>792</v>
      </c>
      <c r="B144" s="147">
        <v>5.9899999999999995E-2</v>
      </c>
      <c r="C144" s="147">
        <v>-6.5000000000000006E-3</v>
      </c>
      <c r="D144" s="147">
        <v>-4.4500000000000005E-2</v>
      </c>
      <c r="E144" s="147">
        <v>1.1599999999999999E-2</v>
      </c>
      <c r="F144" s="147">
        <v>-2.1100000000000001E-2</v>
      </c>
    </row>
    <row r="145" spans="1:6">
      <c r="A145" s="230" t="s">
        <v>793</v>
      </c>
      <c r="B145" s="147">
        <v>3.0700000000000002E-2</v>
      </c>
      <c r="C145" s="147">
        <v>0.04</v>
      </c>
      <c r="D145" s="147">
        <v>2.3799999999999998E-2</v>
      </c>
      <c r="E145" s="147">
        <v>1.26E-2</v>
      </c>
      <c r="F145" s="147">
        <v>-1.3300000000000001E-2</v>
      </c>
    </row>
    <row r="146" spans="1:6">
      <c r="A146" s="230" t="s">
        <v>794</v>
      </c>
      <c r="B146" s="147">
        <v>4.6700000000000005E-2</v>
      </c>
      <c r="C146" s="147">
        <v>-7.0999999999999995E-3</v>
      </c>
      <c r="D146" s="147">
        <v>-1.1399999999999999E-2</v>
      </c>
      <c r="E146" s="147">
        <v>1.41E-2</v>
      </c>
      <c r="F146" s="147">
        <v>-1.34E-2</v>
      </c>
    </row>
    <row r="147" spans="1:6">
      <c r="A147" s="230" t="s">
        <v>795</v>
      </c>
      <c r="B147" s="147">
        <v>5.6300000000000003E-2</v>
      </c>
      <c r="C147" s="147">
        <v>2.8900000000000002E-2</v>
      </c>
      <c r="D147" s="147">
        <v>-4.0999999999999995E-2</v>
      </c>
      <c r="E147" s="147">
        <v>-9.7999999999999997E-3</v>
      </c>
      <c r="F147" s="147">
        <v>-6.0000000000000001E-3</v>
      </c>
    </row>
    <row r="148" spans="1:6">
      <c r="A148" s="230" t="s">
        <v>796</v>
      </c>
      <c r="B148" s="147">
        <v>5.2400000000000002E-2</v>
      </c>
      <c r="C148" s="147">
        <v>1.43E-2</v>
      </c>
      <c r="D148" s="147">
        <v>1.38E-2</v>
      </c>
      <c r="E148" s="147">
        <v>-2.6600000000000002E-2</v>
      </c>
      <c r="F148" s="147">
        <v>1.06E-2</v>
      </c>
    </row>
    <row r="149" spans="1:6">
      <c r="A149" s="230" t="s">
        <v>797</v>
      </c>
      <c r="B149" s="147">
        <v>-6.1100000000000002E-2</v>
      </c>
      <c r="C149" s="147">
        <v>3.44E-2</v>
      </c>
      <c r="D149" s="147">
        <v>1.6899999999999998E-2</v>
      </c>
      <c r="E149" s="147">
        <v>4.5999999999999999E-3</v>
      </c>
      <c r="F149" s="147">
        <v>1.2200000000000001E-2</v>
      </c>
    </row>
    <row r="150" spans="1:6">
      <c r="A150" s="230" t="s">
        <v>798</v>
      </c>
      <c r="B150" s="147">
        <v>-2.3700000000000002E-2</v>
      </c>
      <c r="C150" s="147">
        <v>-2.8399999999999998E-2</v>
      </c>
      <c r="D150" s="147">
        <v>-9.4999999999999998E-3</v>
      </c>
      <c r="E150" s="147">
        <v>1.11E-2</v>
      </c>
      <c r="F150" s="147">
        <v>-9.300000000000001E-3</v>
      </c>
    </row>
    <row r="151" spans="1:6">
      <c r="A151" s="230" t="s">
        <v>799</v>
      </c>
      <c r="B151" s="147">
        <v>-3.73E-2</v>
      </c>
      <c r="C151" s="147">
        <v>5.0000000000000001E-4</v>
      </c>
      <c r="D151" s="147">
        <v>3.9000000000000003E-3</v>
      </c>
      <c r="E151" s="147">
        <v>5.3E-3</v>
      </c>
      <c r="F151" s="147">
        <v>5.5000000000000005E-3</v>
      </c>
    </row>
    <row r="152" spans="1:6">
      <c r="A152" s="230" t="s">
        <v>800</v>
      </c>
      <c r="B152" s="147">
        <v>5.8699999999999995E-2</v>
      </c>
      <c r="C152" s="147">
        <v>-4.2300000000000004E-2</v>
      </c>
      <c r="D152" s="147">
        <v>2.8000000000000004E-3</v>
      </c>
      <c r="E152" s="147">
        <v>-4.8999999999999998E-3</v>
      </c>
      <c r="F152" s="147">
        <v>2.2599999999999999E-2</v>
      </c>
    </row>
    <row r="153" spans="1:6">
      <c r="A153" s="230" t="s">
        <v>801</v>
      </c>
      <c r="B153" s="147">
        <v>3.0500000000000003E-2</v>
      </c>
      <c r="C153" s="147">
        <v>-1.0900000000000002E-2</v>
      </c>
      <c r="D153" s="147">
        <v>2.0299999999999999E-2</v>
      </c>
      <c r="E153" s="147">
        <v>-6.8000000000000005E-3</v>
      </c>
      <c r="F153" s="147">
        <v>1.7500000000000002E-2</v>
      </c>
    </row>
    <row r="154" spans="1:6">
      <c r="A154" s="230" t="s">
        <v>802</v>
      </c>
      <c r="B154" s="147">
        <v>-1.1200000000000002E-2</v>
      </c>
      <c r="C154" s="147">
        <v>-5.0000000000000001E-4</v>
      </c>
      <c r="D154" s="147">
        <v>1.6899999999999998E-2</v>
      </c>
      <c r="E154" s="147">
        <v>-8.9999999999999998E-4</v>
      </c>
      <c r="F154" s="147">
        <v>5.6999999999999993E-3</v>
      </c>
    </row>
    <row r="155" spans="1:6">
      <c r="A155" s="230" t="s">
        <v>803</v>
      </c>
      <c r="B155" s="147">
        <v>0.1263</v>
      </c>
      <c r="C155" s="147">
        <v>6.3399999999999998E-2</v>
      </c>
      <c r="D155" s="147">
        <v>8.6300000000000016E-2</v>
      </c>
      <c r="E155" s="147">
        <v>-1.7899999999999999E-2</v>
      </c>
      <c r="F155" s="147">
        <v>2.2799999999999997E-2</v>
      </c>
    </row>
    <row r="156" spans="1:6">
      <c r="A156" s="230" t="s">
        <v>804</v>
      </c>
      <c r="B156" s="147">
        <v>6.6E-3</v>
      </c>
      <c r="C156" s="147">
        <v>7.9899999999999999E-2</v>
      </c>
      <c r="D156" s="147">
        <v>5.8700000000000002E-2</v>
      </c>
      <c r="E156" s="147">
        <v>-2.6400000000000003E-2</v>
      </c>
      <c r="F156" s="147">
        <v>3.8700000000000005E-2</v>
      </c>
    </row>
    <row r="157" spans="1:6">
      <c r="A157" s="230" t="s">
        <v>805</v>
      </c>
      <c r="B157" s="147">
        <v>2.7199999999999998E-2</v>
      </c>
      <c r="C157" s="147">
        <v>-1.38E-2</v>
      </c>
      <c r="D157" s="147">
        <v>-1.1999999999999999E-3</v>
      </c>
      <c r="E157" s="147">
        <v>-3.3000000000000004E-3</v>
      </c>
      <c r="F157" s="147">
        <v>9.5999999999999992E-3</v>
      </c>
    </row>
    <row r="158" spans="1:6">
      <c r="A158" s="230" t="s">
        <v>806</v>
      </c>
      <c r="B158" s="147">
        <v>-1.0700000000000001E-2</v>
      </c>
      <c r="C158" s="147">
        <v>8.0000000000000004E-4</v>
      </c>
      <c r="D158" s="147">
        <v>-1.6000000000000001E-3</v>
      </c>
      <c r="E158" s="147">
        <v>4.0000000000000001E-3</v>
      </c>
      <c r="F158" s="147">
        <v>-1.1000000000000001E-2</v>
      </c>
    </row>
    <row r="159" spans="1:6">
      <c r="A159" s="230" t="s">
        <v>807</v>
      </c>
      <c r="B159" s="147">
        <v>-9.7000000000000003E-3</v>
      </c>
      <c r="C159" s="147">
        <v>-1.1000000000000001E-2</v>
      </c>
      <c r="D159" s="147">
        <v>-1.3600000000000001E-2</v>
      </c>
      <c r="E159" s="147">
        <v>2.46E-2</v>
      </c>
      <c r="F159" s="147">
        <v>-1.41E-2</v>
      </c>
    </row>
    <row r="160" spans="1:6">
      <c r="A160" s="230" t="s">
        <v>808</v>
      </c>
      <c r="B160" s="147">
        <v>4.48E-2</v>
      </c>
      <c r="C160" s="147">
        <v>-1.0700000000000001E-2</v>
      </c>
      <c r="D160" s="147">
        <v>7.0999999999999995E-3</v>
      </c>
      <c r="E160" s="147">
        <v>-6.8000000000000005E-3</v>
      </c>
      <c r="F160" s="147">
        <v>1.0200000000000001E-2</v>
      </c>
    </row>
    <row r="161" spans="1:6">
      <c r="A161" s="230" t="s">
        <v>809</v>
      </c>
      <c r="B161" s="147">
        <v>-6.000000000000001E-3</v>
      </c>
      <c r="C161" s="147">
        <v>6.3E-3</v>
      </c>
      <c r="D161" s="147">
        <v>1.7299999999999999E-2</v>
      </c>
      <c r="E161" s="147">
        <v>-1.0500000000000001E-2</v>
      </c>
      <c r="F161" s="147">
        <v>2.8000000000000004E-3</v>
      </c>
    </row>
    <row r="162" spans="1:6">
      <c r="A162" s="230" t="s">
        <v>810</v>
      </c>
      <c r="B162" s="147">
        <v>-1.4000000000000011E-3</v>
      </c>
      <c r="C162" s="147">
        <v>-1.9800000000000002E-2</v>
      </c>
      <c r="D162" s="147">
        <v>8.1000000000000013E-3</v>
      </c>
      <c r="E162" s="147">
        <v>-4.1999999999999997E-3</v>
      </c>
      <c r="F162" s="147">
        <v>-5.5000000000000005E-3</v>
      </c>
    </row>
    <row r="163" spans="1:6">
      <c r="A163" s="230" t="s">
        <v>811</v>
      </c>
      <c r="B163" s="147">
        <v>2.5100000000000001E-2</v>
      </c>
      <c r="C163" s="147">
        <v>1E-3</v>
      </c>
      <c r="D163" s="147">
        <v>-2.8999999999999998E-3</v>
      </c>
      <c r="E163" s="147">
        <v>9.7999999999999997E-3</v>
      </c>
      <c r="F163" s="147">
        <v>-1.15E-2</v>
      </c>
    </row>
    <row r="164" spans="1:6">
      <c r="A164" s="230" t="s">
        <v>812</v>
      </c>
      <c r="B164" s="147">
        <v>-2.01E-2</v>
      </c>
      <c r="C164" s="147">
        <v>1.3000000000000002E-3</v>
      </c>
      <c r="D164" s="147">
        <v>-1.8E-3</v>
      </c>
      <c r="E164" s="147">
        <v>-1.9E-3</v>
      </c>
      <c r="F164" s="147">
        <v>-3.7000000000000002E-3</v>
      </c>
    </row>
    <row r="165" spans="1:6">
      <c r="A165" s="230" t="s">
        <v>813</v>
      </c>
      <c r="B165" s="147">
        <v>7.6E-3</v>
      </c>
      <c r="C165" s="147">
        <v>2.6600000000000002E-2</v>
      </c>
      <c r="D165" s="147">
        <v>1.5100000000000001E-2</v>
      </c>
      <c r="E165" s="147">
        <v>-1.41E-2</v>
      </c>
      <c r="F165" s="147">
        <v>8.9999999999999998E-4</v>
      </c>
    </row>
    <row r="166" spans="1:6">
      <c r="A166" s="230" t="s">
        <v>814</v>
      </c>
      <c r="B166" s="147">
        <v>6.0499999999999998E-2</v>
      </c>
      <c r="C166" s="147">
        <v>3.6400000000000002E-2</v>
      </c>
      <c r="D166" s="147">
        <v>2.2700000000000001E-2</v>
      </c>
      <c r="E166" s="147">
        <v>-6.1000000000000004E-3</v>
      </c>
      <c r="F166" s="147">
        <v>2.2799999999999997E-2</v>
      </c>
    </row>
    <row r="167" spans="1:6">
      <c r="A167" s="230" t="s">
        <v>815</v>
      </c>
      <c r="B167" s="147">
        <v>-3.6900000000000002E-2</v>
      </c>
      <c r="C167" s="147">
        <v>5.9000000000000004E-2</v>
      </c>
      <c r="D167" s="147">
        <v>4.2699999999999995E-2</v>
      </c>
      <c r="E167" s="147">
        <v>-5.1000000000000004E-3</v>
      </c>
      <c r="F167" s="147">
        <v>1.9699999999999999E-2</v>
      </c>
    </row>
    <row r="168" spans="1:6">
      <c r="A168" s="230" t="s">
        <v>816</v>
      </c>
      <c r="B168" s="147">
        <v>-1.5900000000000001E-2</v>
      </c>
      <c r="C168" s="147">
        <v>1.0700000000000001E-2</v>
      </c>
      <c r="D168" s="147">
        <v>4.7000000000000002E-3</v>
      </c>
      <c r="E168" s="147">
        <v>-1.6000000000000001E-3</v>
      </c>
      <c r="F168" s="147">
        <v>-2.2000000000000001E-3</v>
      </c>
    </row>
    <row r="169" spans="1:6">
      <c r="A169" s="230" t="s">
        <v>817</v>
      </c>
      <c r="B169" s="147">
        <v>-9.9000000000000025E-3</v>
      </c>
      <c r="C169" s="147">
        <v>1.3100000000000001E-2</v>
      </c>
      <c r="D169" s="147">
        <v>1.0900000000000002E-2</v>
      </c>
      <c r="E169" s="147">
        <v>-3.0000000000000001E-3</v>
      </c>
      <c r="F169" s="147">
        <v>-5.9999999999999995E-4</v>
      </c>
    </row>
    <row r="170" spans="1:6">
      <c r="A170" s="230" t="s">
        <v>818</v>
      </c>
      <c r="B170" s="147">
        <v>5.3E-3</v>
      </c>
      <c r="C170" s="147">
        <v>6.1000000000000004E-3</v>
      </c>
      <c r="D170" s="147">
        <v>3.3799999999999997E-2</v>
      </c>
      <c r="E170" s="147">
        <v>-2.01E-2</v>
      </c>
      <c r="F170" s="147">
        <v>1.1399999999999999E-2</v>
      </c>
    </row>
    <row r="171" spans="1:6">
      <c r="A171" s="230" t="s">
        <v>819</v>
      </c>
      <c r="B171" s="147">
        <v>-1.0799999999999999E-2</v>
      </c>
      <c r="C171" s="147">
        <v>1.3100000000000001E-2</v>
      </c>
      <c r="D171" s="147">
        <v>8.5000000000000006E-3</v>
      </c>
      <c r="E171" s="147">
        <v>3.3000000000000004E-3</v>
      </c>
      <c r="F171" s="147">
        <v>1.9E-3</v>
      </c>
    </row>
    <row r="172" spans="1:6">
      <c r="A172" s="230" t="s">
        <v>820</v>
      </c>
      <c r="B172" s="147">
        <v>5.1100000000000007E-2</v>
      </c>
      <c r="C172" s="147">
        <v>2.0800000000000003E-2</v>
      </c>
      <c r="D172" s="147">
        <v>-7.4000000000000003E-3</v>
      </c>
      <c r="E172" s="147">
        <v>9.1000000000000004E-3</v>
      </c>
      <c r="F172" s="147">
        <v>-1.2E-2</v>
      </c>
    </row>
    <row r="173" spans="1:6">
      <c r="A173" s="230" t="s">
        <v>821</v>
      </c>
      <c r="B173" s="147">
        <v>-1.2699999999999999E-2</v>
      </c>
      <c r="C173" s="147">
        <v>1.8800000000000001E-2</v>
      </c>
      <c r="D173" s="147">
        <v>-5.6000000000000008E-3</v>
      </c>
      <c r="E173" s="147">
        <v>7.3000000000000001E-3</v>
      </c>
      <c r="F173" s="147">
        <v>8.9999999999999998E-4</v>
      </c>
    </row>
    <row r="174" spans="1:6">
      <c r="A174" s="230" t="s">
        <v>822</v>
      </c>
      <c r="B174" s="147">
        <v>-1.3100000000000001E-2</v>
      </c>
      <c r="C174" s="147">
        <v>8.6E-3</v>
      </c>
      <c r="D174" s="147">
        <v>-2.7000000000000003E-2</v>
      </c>
      <c r="E174" s="147">
        <v>9.7999999999999997E-3</v>
      </c>
      <c r="F174" s="147">
        <v>-6.6000000000000008E-3</v>
      </c>
    </row>
    <row r="175" spans="1:6">
      <c r="A175" s="230" t="s">
        <v>823</v>
      </c>
      <c r="B175" s="147">
        <v>1.5999999999999999E-3</v>
      </c>
      <c r="C175" s="147">
        <v>1.43E-2</v>
      </c>
      <c r="D175" s="147">
        <v>-5.2000000000000006E-3</v>
      </c>
      <c r="E175" s="147">
        <v>1.43E-2</v>
      </c>
      <c r="F175" s="147">
        <v>-8.3999999999999995E-3</v>
      </c>
    </row>
    <row r="176" spans="1:6">
      <c r="A176" s="230" t="s">
        <v>824</v>
      </c>
      <c r="B176" s="147">
        <v>-3.8899999999999997E-2</v>
      </c>
      <c r="C176" s="147">
        <v>1.4800000000000001E-2</v>
      </c>
      <c r="D176" s="147">
        <v>1.7500000000000002E-2</v>
      </c>
      <c r="E176" s="147">
        <v>-2E-3</v>
      </c>
      <c r="F176" s="147">
        <v>-3.0000000000000001E-3</v>
      </c>
    </row>
    <row r="177" spans="1:6">
      <c r="A177" s="230" t="s">
        <v>825</v>
      </c>
      <c r="B177" s="147">
        <v>4.4999999999999998E-2</v>
      </c>
      <c r="C177" s="147">
        <v>3.6400000000000002E-2</v>
      </c>
      <c r="D177" s="147">
        <v>2.6000000000000003E-3</v>
      </c>
      <c r="E177" s="147">
        <v>-1.3000000000000002E-3</v>
      </c>
      <c r="F177" s="147">
        <v>7.3000000000000001E-3</v>
      </c>
    </row>
    <row r="178" spans="1:6">
      <c r="A178" s="230" t="s">
        <v>826</v>
      </c>
      <c r="B178" s="147">
        <v>7.6E-3</v>
      </c>
      <c r="C178" s="147">
        <v>1.5900000000000001E-2</v>
      </c>
      <c r="D178" s="147">
        <v>-2.8999999999999998E-3</v>
      </c>
      <c r="E178" s="147">
        <v>9.1999999999999998E-3</v>
      </c>
      <c r="F178" s="147">
        <v>-6.8999999999999999E-3</v>
      </c>
    </row>
    <row r="179" spans="1:6">
      <c r="A179" s="230" t="s">
        <v>827</v>
      </c>
      <c r="B179" s="147">
        <v>-5.5199999999999999E-2</v>
      </c>
      <c r="C179" s="147">
        <v>2.7200000000000002E-2</v>
      </c>
      <c r="D179" s="147">
        <v>3.3599999999999998E-2</v>
      </c>
      <c r="E179" s="147">
        <v>-1.72E-2</v>
      </c>
      <c r="F179" s="147">
        <v>1.52E-2</v>
      </c>
    </row>
    <row r="180" spans="1:6">
      <c r="A180" s="230" t="s">
        <v>828</v>
      </c>
      <c r="B180" s="147">
        <v>-9.1999999999999998E-3</v>
      </c>
      <c r="C180" s="147">
        <v>3.7000000000000005E-2</v>
      </c>
      <c r="D180" s="147">
        <v>8.3000000000000001E-3</v>
      </c>
      <c r="E180" s="147">
        <v>3.0000000000000001E-3</v>
      </c>
      <c r="F180" s="147">
        <v>1.01E-2</v>
      </c>
    </row>
    <row r="181" spans="1:6">
      <c r="A181" s="230" t="s">
        <v>829</v>
      </c>
      <c r="B181" s="147">
        <v>3.3800000000000004E-2</v>
      </c>
      <c r="C181" s="147">
        <v>3.7100000000000001E-2</v>
      </c>
      <c r="D181" s="147">
        <v>1.18E-2</v>
      </c>
      <c r="E181" s="147">
        <v>-5.8999999999999999E-3</v>
      </c>
      <c r="F181" s="147">
        <v>1.89E-2</v>
      </c>
    </row>
    <row r="182" spans="1:6">
      <c r="A182" s="230" t="s">
        <v>830</v>
      </c>
      <c r="B182" s="147">
        <v>8.4199999999999997E-2</v>
      </c>
      <c r="C182" s="147">
        <v>-2.6000000000000003E-3</v>
      </c>
      <c r="D182" s="147">
        <v>-3.5400000000000001E-2</v>
      </c>
      <c r="E182" s="147">
        <v>2.81E-2</v>
      </c>
      <c r="F182" s="147">
        <v>-1.26E-2</v>
      </c>
    </row>
    <row r="183" spans="1:6">
      <c r="A183" s="230" t="s">
        <v>831</v>
      </c>
      <c r="B183" s="147">
        <v>2.2700000000000001E-2</v>
      </c>
      <c r="C183" s="147">
        <v>4.58E-2</v>
      </c>
      <c r="D183" s="147">
        <v>-5.2000000000000006E-3</v>
      </c>
      <c r="E183" s="147">
        <v>2.2000000000000001E-3</v>
      </c>
      <c r="F183" s="147">
        <v>4.0999999999999995E-3</v>
      </c>
    </row>
    <row r="184" spans="1:6">
      <c r="A184" s="230" t="s">
        <v>832</v>
      </c>
      <c r="B184" s="147">
        <v>-1.1499999999999998E-2</v>
      </c>
      <c r="C184" s="147">
        <v>1.5600000000000001E-2</v>
      </c>
      <c r="D184" s="147">
        <v>5.6999999999999993E-3</v>
      </c>
      <c r="E184" s="147">
        <v>-1.3999999999999999E-2</v>
      </c>
      <c r="F184" s="147">
        <v>-7.000000000000001E-4</v>
      </c>
    </row>
    <row r="185" spans="1:6">
      <c r="A185" s="230" t="s">
        <v>833</v>
      </c>
      <c r="B185" s="147">
        <v>5.6700000000000007E-2</v>
      </c>
      <c r="C185" s="147">
        <v>1.1999999999999999E-3</v>
      </c>
      <c r="D185" s="147">
        <v>-1.15E-2</v>
      </c>
      <c r="E185" s="147">
        <v>1.5500000000000002E-2</v>
      </c>
      <c r="F185" s="147">
        <v>-7.8000000000000005E-3</v>
      </c>
    </row>
    <row r="186" spans="1:6">
      <c r="A186" s="230" t="s">
        <v>834</v>
      </c>
      <c r="B186" s="147">
        <v>4.3099999999999999E-2</v>
      </c>
      <c r="C186" s="147">
        <v>4.9500000000000002E-2</v>
      </c>
      <c r="D186" s="147">
        <v>-5.1000000000000004E-3</v>
      </c>
      <c r="E186" s="147">
        <v>1.43E-2</v>
      </c>
      <c r="F186" s="147">
        <v>4.5999999999999999E-3</v>
      </c>
    </row>
    <row r="187" spans="1:6">
      <c r="A187" s="230" t="s">
        <v>835</v>
      </c>
      <c r="B187" s="147">
        <v>-8.0999999999999996E-3</v>
      </c>
      <c r="C187" s="147">
        <v>-3.2000000000000002E-3</v>
      </c>
      <c r="D187" s="147">
        <v>1.89E-2</v>
      </c>
      <c r="E187" s="147">
        <v>-6.7000000000000002E-3</v>
      </c>
      <c r="F187" s="147">
        <v>1.78E-2</v>
      </c>
    </row>
    <row r="188" spans="1:6">
      <c r="A188" s="230" t="s">
        <v>836</v>
      </c>
      <c r="B188" s="147">
        <v>-0.1123</v>
      </c>
      <c r="C188" s="147">
        <v>-0.1002</v>
      </c>
      <c r="D188" s="147">
        <v>1.38E-2</v>
      </c>
      <c r="E188" s="147">
        <v>1.1999999999999999E-3</v>
      </c>
      <c r="F188" s="147">
        <v>9.4000000000000004E-3</v>
      </c>
    </row>
    <row r="189" spans="1:6">
      <c r="A189" s="230" t="s">
        <v>837</v>
      </c>
      <c r="B189" s="147">
        <v>3.4099999999999998E-2</v>
      </c>
      <c r="C189" s="147">
        <v>2.81E-2</v>
      </c>
      <c r="D189" s="147">
        <v>-2.1499999999999998E-2</v>
      </c>
      <c r="E189" s="147">
        <v>1.1299999999999999E-2</v>
      </c>
      <c r="F189" s="147">
        <v>-1.17E-2</v>
      </c>
    </row>
    <row r="190" spans="1:6">
      <c r="A190" s="230" t="s">
        <v>838</v>
      </c>
      <c r="B190" s="147">
        <v>1.66E-2</v>
      </c>
      <c r="C190" s="147">
        <v>1.1299999999999999E-2</v>
      </c>
      <c r="D190" s="147">
        <v>-2.1299999999999999E-2</v>
      </c>
      <c r="E190" s="147">
        <v>2.01E-2</v>
      </c>
      <c r="F190" s="147">
        <v>-1.3200000000000002E-2</v>
      </c>
    </row>
    <row r="191" spans="1:6">
      <c r="A191" s="230" t="s">
        <v>839</v>
      </c>
      <c r="B191" s="147">
        <v>0.05</v>
      </c>
      <c r="C191" s="147">
        <v>3.78E-2</v>
      </c>
      <c r="D191" s="147">
        <v>2.1899999999999999E-2</v>
      </c>
      <c r="E191" s="147">
        <v>-2.4700000000000003E-2</v>
      </c>
      <c r="F191" s="147">
        <v>1.52E-2</v>
      </c>
    </row>
    <row r="192" spans="1:6">
      <c r="A192" s="230" t="s">
        <v>840</v>
      </c>
      <c r="B192" s="147">
        <v>-2.8299999999999999E-2</v>
      </c>
      <c r="C192" s="147">
        <v>5.4000000000000003E-3</v>
      </c>
      <c r="D192" s="147">
        <v>1.17E-2</v>
      </c>
      <c r="E192" s="147">
        <v>-1.1200000000000002E-2</v>
      </c>
      <c r="F192" s="147">
        <v>9.4000000000000004E-3</v>
      </c>
    </row>
    <row r="193" spans="1:6">
      <c r="A193" s="230" t="s">
        <v>841</v>
      </c>
      <c r="B193" s="147">
        <v>6.4899999999999999E-2</v>
      </c>
      <c r="C193" s="147">
        <v>3.2400000000000005E-2</v>
      </c>
      <c r="D193" s="147">
        <v>-7.0999999999999995E-3</v>
      </c>
      <c r="E193" s="147">
        <v>5.3E-3</v>
      </c>
      <c r="F193" s="147">
        <v>3.2000000000000002E-3</v>
      </c>
    </row>
    <row r="194" spans="1:6">
      <c r="A194" s="230" t="s">
        <v>842</v>
      </c>
      <c r="B194" s="147">
        <v>7.4000000000000003E-3</v>
      </c>
      <c r="C194" s="147">
        <v>2.3700000000000002E-2</v>
      </c>
      <c r="D194" s="147">
        <v>1.1200000000000002E-2</v>
      </c>
      <c r="E194" s="147">
        <v>1.0800000000000001E-2</v>
      </c>
      <c r="F194" s="147">
        <v>1.7000000000000001E-3</v>
      </c>
    </row>
    <row r="195" spans="1:6">
      <c r="A195" s="230" t="s">
        <v>843</v>
      </c>
      <c r="B195" s="147">
        <v>-1.3900000000000003E-2</v>
      </c>
      <c r="C195" s="147">
        <v>1.8E-3</v>
      </c>
      <c r="D195" s="147">
        <v>1.3100000000000001E-2</v>
      </c>
      <c r="E195" s="147">
        <v>-1.54E-2</v>
      </c>
      <c r="F195" s="147">
        <v>-2.7000000000000001E-3</v>
      </c>
    </row>
    <row r="196" spans="1:6">
      <c r="A196" s="230" t="s">
        <v>844</v>
      </c>
      <c r="B196" s="147">
        <v>4.6600000000000003E-2</v>
      </c>
      <c r="C196" s="147">
        <v>0.01</v>
      </c>
      <c r="D196" s="147">
        <v>1.44E-2</v>
      </c>
      <c r="E196" s="147">
        <v>-1.66E-2</v>
      </c>
      <c r="F196" s="147">
        <v>-5.2000000000000006E-3</v>
      </c>
    </row>
    <row r="197" spans="1:6">
      <c r="A197" s="230" t="s">
        <v>845</v>
      </c>
      <c r="B197" s="147">
        <v>1.5899999999999997E-2</v>
      </c>
      <c r="C197" s="147">
        <v>1.2700000000000001E-2</v>
      </c>
      <c r="D197" s="147">
        <v>1.8600000000000002E-2</v>
      </c>
      <c r="E197" s="147">
        <v>-2.8999999999999998E-3</v>
      </c>
      <c r="F197" s="147">
        <v>7.0999999999999995E-3</v>
      </c>
    </row>
    <row r="198" spans="1:6">
      <c r="A198" s="230" t="s">
        <v>846</v>
      </c>
      <c r="B198" s="147">
        <v>6.3E-2</v>
      </c>
      <c r="C198" s="147">
        <v>1.9199999999999998E-2</v>
      </c>
      <c r="D198" s="147">
        <v>-1.5800000000000002E-2</v>
      </c>
      <c r="E198" s="147">
        <v>1.6200000000000003E-2</v>
      </c>
      <c r="F198" s="147">
        <v>-1.4800000000000001E-2</v>
      </c>
    </row>
    <row r="199" spans="1:6">
      <c r="A199" s="230" t="s">
        <v>847</v>
      </c>
      <c r="B199" s="147">
        <v>1.0000000000000113E-4</v>
      </c>
      <c r="C199" s="147">
        <v>-3.2000000000000002E-3</v>
      </c>
      <c r="D199" s="147">
        <v>-9.0000000000000011E-3</v>
      </c>
      <c r="E199" s="147">
        <v>1.01E-2</v>
      </c>
      <c r="F199" s="147">
        <v>3.2000000000000002E-3</v>
      </c>
    </row>
    <row r="200" spans="1:6">
      <c r="A200" s="230" t="s">
        <v>848</v>
      </c>
      <c r="B200" s="147">
        <v>-7.2300000000000003E-2</v>
      </c>
      <c r="C200" s="147">
        <v>-3.5000000000000003E-2</v>
      </c>
      <c r="D200" s="147">
        <v>-1.84E-2</v>
      </c>
      <c r="E200" s="147">
        <v>1.01E-2</v>
      </c>
      <c r="F200" s="147">
        <v>7.000000000000001E-4</v>
      </c>
    </row>
    <row r="201" spans="1:6">
      <c r="A201" s="230" t="s">
        <v>849</v>
      </c>
      <c r="B201" s="147">
        <v>6.2E-2</v>
      </c>
      <c r="C201" s="147">
        <v>2.53E-2</v>
      </c>
      <c r="D201" s="147">
        <v>-3.2899999999999999E-2</v>
      </c>
      <c r="E201" s="147">
        <v>5.9999999999999995E-4</v>
      </c>
      <c r="F201" s="147">
        <v>-2.12E-2</v>
      </c>
    </row>
    <row r="202" spans="1:6">
      <c r="A202" s="230" t="s">
        <v>850</v>
      </c>
      <c r="B202" s="147">
        <v>2.7400000000000001E-2</v>
      </c>
      <c r="C202" s="147">
        <v>4.3200000000000002E-2</v>
      </c>
      <c r="D202" s="147">
        <v>-2.1000000000000001E-2</v>
      </c>
      <c r="E202" s="147">
        <v>-6.9999999999999993E-3</v>
      </c>
      <c r="F202" s="147">
        <v>-9.1999999999999998E-3</v>
      </c>
    </row>
    <row r="203" spans="1:6">
      <c r="A203" s="230" t="s">
        <v>851</v>
      </c>
      <c r="B203" s="147">
        <v>6.3099999999999989E-2</v>
      </c>
      <c r="C203" s="147">
        <v>1.83E-2</v>
      </c>
      <c r="D203" s="147">
        <v>1.7500000000000002E-2</v>
      </c>
      <c r="E203" s="147">
        <v>-1.7000000000000001E-2</v>
      </c>
      <c r="F203" s="147">
        <v>1.6399999999999998E-2</v>
      </c>
    </row>
    <row r="204" spans="1:6">
      <c r="A204" s="230" t="s">
        <v>852</v>
      </c>
      <c r="B204" s="147">
        <v>-3.3000000000000008E-3</v>
      </c>
      <c r="C204" s="147">
        <v>-1.5700000000000002E-2</v>
      </c>
      <c r="D204" s="147">
        <v>6.1000000000000004E-3</v>
      </c>
      <c r="E204" s="147">
        <v>4.0000000000000002E-4</v>
      </c>
      <c r="F204" s="147">
        <v>2.6800000000000001E-2</v>
      </c>
    </row>
    <row r="205" spans="1:6">
      <c r="A205" s="230" t="s">
        <v>853</v>
      </c>
      <c r="B205" s="147">
        <v>-0.1169</v>
      </c>
      <c r="C205" s="147">
        <v>-6.93E-2</v>
      </c>
      <c r="D205" s="147">
        <v>-1.01E-2</v>
      </c>
      <c r="E205" s="147">
        <v>1.46E-2</v>
      </c>
      <c r="F205" s="147">
        <v>-1.1899999999999999E-2</v>
      </c>
    </row>
    <row r="206" spans="1:6">
      <c r="A206" s="230" t="s">
        <v>854</v>
      </c>
      <c r="B206" s="147">
        <v>5.2300000000000006E-2</v>
      </c>
      <c r="C206" s="147">
        <v>1.0500000000000001E-2</v>
      </c>
      <c r="D206" s="147">
        <v>1.06E-2</v>
      </c>
      <c r="E206" s="147">
        <v>-2.1000000000000001E-2</v>
      </c>
      <c r="F206" s="147">
        <v>2.8999999999999998E-3</v>
      </c>
    </row>
    <row r="207" spans="1:6">
      <c r="A207" s="230" t="s">
        <v>855</v>
      </c>
      <c r="B207" s="147">
        <v>6.0700000000000004E-2</v>
      </c>
      <c r="C207" s="147">
        <v>2.1100000000000001E-2</v>
      </c>
      <c r="D207" s="147">
        <v>3.8E-3</v>
      </c>
      <c r="E207" s="147">
        <v>3.4000000000000002E-3</v>
      </c>
      <c r="F207" s="147">
        <v>-3.0999999999999999E-3</v>
      </c>
    </row>
    <row r="208" spans="1:6">
      <c r="A208" s="230" t="s">
        <v>856</v>
      </c>
      <c r="B208" s="147">
        <v>3.6700000000000003E-2</v>
      </c>
      <c r="C208" s="147">
        <v>1.41E-2</v>
      </c>
      <c r="D208" s="147">
        <v>-7.6E-3</v>
      </c>
      <c r="E208" s="147">
        <v>-1.5E-3</v>
      </c>
      <c r="F208" s="147">
        <v>-1.26E-2</v>
      </c>
    </row>
    <row r="209" spans="1:6">
      <c r="A209" s="230" t="s">
        <v>857</v>
      </c>
      <c r="B209" s="147">
        <v>7.0199999999999999E-2</v>
      </c>
      <c r="C209" s="147">
        <v>3.8199999999999998E-2</v>
      </c>
      <c r="D209" s="147">
        <v>-6.4100000000000004E-2</v>
      </c>
      <c r="E209" s="147">
        <v>4.0599999999999997E-2</v>
      </c>
      <c r="F209" s="147">
        <v>-2.4300000000000002E-2</v>
      </c>
    </row>
    <row r="210" spans="1:6">
      <c r="A210" s="230" t="s">
        <v>858</v>
      </c>
      <c r="B210" s="147">
        <v>2.4400000000000002E-2</v>
      </c>
      <c r="C210" s="147">
        <v>4.2500000000000003E-2</v>
      </c>
      <c r="D210" s="147">
        <v>-2.6000000000000002E-2</v>
      </c>
      <c r="E210" s="147">
        <v>2.06E-2</v>
      </c>
      <c r="F210" s="147">
        <v>-8.6E-3</v>
      </c>
    </row>
    <row r="211" spans="1:6">
      <c r="A211" s="230" t="s">
        <v>859</v>
      </c>
      <c r="B211" s="147">
        <v>2.9399999999999999E-2</v>
      </c>
      <c r="C211" s="147">
        <v>6.7000000000000002E-3</v>
      </c>
      <c r="D211" s="147">
        <v>-4.5899999999999996E-2</v>
      </c>
      <c r="E211" s="147">
        <v>1.9099999999999999E-2</v>
      </c>
      <c r="F211" s="147">
        <v>-2.76E-2</v>
      </c>
    </row>
    <row r="212" spans="1:6">
      <c r="A212" s="230" t="s">
        <v>860</v>
      </c>
      <c r="B212" s="147">
        <v>2.01E-2</v>
      </c>
      <c r="C212" s="147">
        <v>2.3300000000000001E-2</v>
      </c>
      <c r="D212" s="147">
        <v>-2.76E-2</v>
      </c>
      <c r="E212" s="147">
        <v>1.6500000000000001E-2</v>
      </c>
      <c r="F212" s="147">
        <v>-1.15E-2</v>
      </c>
    </row>
    <row r="213" spans="1:6">
      <c r="A213" s="230" t="s">
        <v>861</v>
      </c>
      <c r="B213" s="147">
        <v>0.1055</v>
      </c>
      <c r="C213" s="147">
        <v>-3.3100000000000004E-2</v>
      </c>
      <c r="D213" s="147">
        <v>-8.3299999999999999E-2</v>
      </c>
      <c r="E213" s="147">
        <v>4.4999999999999998E-2</v>
      </c>
      <c r="F213" s="147">
        <v>-5.6600000000000004E-2</v>
      </c>
    </row>
    <row r="214" spans="1:6">
      <c r="A214" s="230" t="s">
        <v>862</v>
      </c>
      <c r="B214" s="147">
        <v>-3.2099999999999997E-2</v>
      </c>
      <c r="C214" s="147">
        <v>-2.8999999999999998E-3</v>
      </c>
      <c r="D214" s="147">
        <v>2.7900000000000001E-2</v>
      </c>
      <c r="E214" s="147">
        <v>-1.29E-2</v>
      </c>
      <c r="F214" s="147">
        <v>1.24E-2</v>
      </c>
    </row>
    <row r="215" spans="1:6">
      <c r="A215" s="230" t="s">
        <v>863</v>
      </c>
      <c r="B215" s="147">
        <v>-0.04</v>
      </c>
      <c r="C215" s="147">
        <v>3.2899999999999999E-2</v>
      </c>
      <c r="D215" s="147">
        <v>6.7199999999999996E-2</v>
      </c>
      <c r="E215" s="147">
        <v>-3.5099999999999999E-2</v>
      </c>
      <c r="F215" s="147">
        <v>4.3299999999999998E-2</v>
      </c>
    </row>
    <row r="216" spans="1:6">
      <c r="A216" s="230" t="s">
        <v>864</v>
      </c>
      <c r="B216" s="147">
        <v>1.6400000000000001E-2</v>
      </c>
      <c r="C216" s="147">
        <v>-5.0000000000000001E-3</v>
      </c>
      <c r="D216" s="147">
        <v>1.0200000000000001E-2</v>
      </c>
      <c r="E216" s="147">
        <v>2.0999999999999999E-3</v>
      </c>
      <c r="F216" s="147">
        <v>2.2200000000000001E-2</v>
      </c>
    </row>
    <row r="217" spans="1:6">
      <c r="A217" s="230" t="s">
        <v>865</v>
      </c>
      <c r="B217" s="147">
        <v>4.7699999999999999E-2</v>
      </c>
      <c r="C217" s="147">
        <v>3.0200000000000001E-2</v>
      </c>
      <c r="D217" s="147">
        <v>6.4000000000000003E-3</v>
      </c>
      <c r="E217" s="147">
        <v>-2.2400000000000003E-2</v>
      </c>
      <c r="F217" s="147">
        <v>-5.4000000000000003E-3</v>
      </c>
    </row>
    <row r="218" spans="1:6">
      <c r="A218" s="230" t="s">
        <v>866</v>
      </c>
      <c r="B218" s="147">
        <v>-1.03E-2</v>
      </c>
      <c r="C218" s="147">
        <v>4.5899999999999996E-2</v>
      </c>
      <c r="D218" s="147">
        <v>2.2799999999999997E-2</v>
      </c>
      <c r="E218" s="147">
        <v>8.3000000000000001E-3</v>
      </c>
      <c r="F218" s="147">
        <v>1.24E-2</v>
      </c>
    </row>
    <row r="219" spans="1:6">
      <c r="A219" s="230" t="s">
        <v>867</v>
      </c>
      <c r="B219" s="147">
        <v>1.26E-2</v>
      </c>
      <c r="C219" s="147">
        <v>2.4500000000000001E-2</v>
      </c>
      <c r="D219" s="147">
        <v>-4.1999999999999997E-3</v>
      </c>
      <c r="E219" s="147">
        <v>3.0000000000000001E-3</v>
      </c>
      <c r="F219" s="147">
        <v>-1.5300000000000001E-2</v>
      </c>
    </row>
    <row r="220" spans="1:6">
      <c r="A220" s="230" t="s">
        <v>868</v>
      </c>
      <c r="B220" s="147">
        <v>-1.0099999999999998E-2</v>
      </c>
      <c r="C220" s="147">
        <v>-9.5999999999999992E-3</v>
      </c>
      <c r="D220" s="147">
        <v>5.1299999999999998E-2</v>
      </c>
      <c r="E220" s="147">
        <v>-1.3700000000000002E-2</v>
      </c>
      <c r="F220" s="147">
        <v>2.6600000000000002E-2</v>
      </c>
    </row>
    <row r="221" spans="1:6">
      <c r="A221" s="230" t="s">
        <v>869</v>
      </c>
      <c r="B221" s="147">
        <v>-3.0000000000000009E-3</v>
      </c>
      <c r="C221" s="147">
        <v>-2.0499999999999997E-2</v>
      </c>
      <c r="D221" s="147">
        <v>-5.0000000000000001E-3</v>
      </c>
      <c r="E221" s="147">
        <v>1.26E-2</v>
      </c>
      <c r="F221" s="147">
        <v>-2.5400000000000002E-2</v>
      </c>
    </row>
    <row r="222" spans="1:6">
      <c r="A222" s="230" t="s">
        <v>870</v>
      </c>
      <c r="B222" s="147">
        <v>-5.7600000000000005E-2</v>
      </c>
      <c r="C222" s="147">
        <v>-1.8100000000000002E-2</v>
      </c>
      <c r="D222" s="147">
        <v>4.7599999999999996E-2</v>
      </c>
      <c r="E222" s="147">
        <v>-3.2000000000000002E-3</v>
      </c>
      <c r="F222" s="147">
        <v>1.41E-2</v>
      </c>
    </row>
    <row r="223" spans="1:6">
      <c r="A223" s="230" t="s">
        <v>871</v>
      </c>
      <c r="B223" s="147">
        <v>-5.9299999999999999E-2</v>
      </c>
      <c r="C223" s="147">
        <v>-2.4500000000000001E-2</v>
      </c>
      <c r="D223" s="147">
        <v>5.1700000000000003E-2</v>
      </c>
      <c r="E223" s="147">
        <v>8.0000000000000004E-4</v>
      </c>
      <c r="F223" s="147">
        <v>2.63E-2</v>
      </c>
    </row>
    <row r="224" spans="1:6">
      <c r="A224" s="230" t="s">
        <v>872</v>
      </c>
      <c r="B224" s="147">
        <v>6.13E-2</v>
      </c>
      <c r="C224" s="147">
        <v>2.3700000000000002E-2</v>
      </c>
      <c r="D224" s="147">
        <v>-4.2099999999999999E-2</v>
      </c>
      <c r="E224" s="147">
        <v>3.15E-2</v>
      </c>
      <c r="F224" s="147">
        <v>-3.0099999999999998E-2</v>
      </c>
    </row>
    <row r="225" spans="1:6">
      <c r="A225" s="230" t="s">
        <v>873</v>
      </c>
      <c r="B225" s="147">
        <v>4.4299999999999999E-2</v>
      </c>
      <c r="C225" s="147">
        <v>-1.5100000000000001E-2</v>
      </c>
      <c r="D225" s="147">
        <v>1.83E-2</v>
      </c>
      <c r="E225" s="147">
        <v>8.0000000000000004E-4</v>
      </c>
      <c r="F225" s="147">
        <v>9.4999999999999998E-3</v>
      </c>
    </row>
    <row r="226" spans="1:6">
      <c r="A226" s="230" t="s">
        <v>874</v>
      </c>
      <c r="B226" s="147">
        <v>-2.7799999999999998E-2</v>
      </c>
      <c r="C226" s="147">
        <v>1.2E-2</v>
      </c>
      <c r="D226" s="147">
        <v>8.1000000000000013E-3</v>
      </c>
      <c r="E226" s="147">
        <v>2.2000000000000001E-3</v>
      </c>
      <c r="F226" s="147">
        <v>2.5000000000000001E-2</v>
      </c>
    </row>
    <row r="227" spans="1:6">
      <c r="A227" s="230" t="s">
        <v>875</v>
      </c>
      <c r="B227" s="147">
        <v>-2.4400000000000005E-2</v>
      </c>
      <c r="C227" s="147">
        <v>-1.1399999999999999E-2</v>
      </c>
      <c r="D227" s="147">
        <v>3.1899999999999998E-2</v>
      </c>
      <c r="E227" s="147">
        <v>-1.49E-2</v>
      </c>
      <c r="F227" s="147">
        <v>1.9199999999999998E-2</v>
      </c>
    </row>
    <row r="228" spans="1:6">
      <c r="A228" s="230" t="s">
        <v>876</v>
      </c>
      <c r="B228" s="147">
        <v>-4.9400000000000006E-2</v>
      </c>
      <c r="C228" s="147">
        <v>3.4999999999999996E-3</v>
      </c>
      <c r="D228" s="147">
        <v>6.0499999999999998E-2</v>
      </c>
      <c r="E228" s="147">
        <v>-3.4799999999999998E-2</v>
      </c>
      <c r="F228" s="147">
        <v>4.5599999999999995E-2</v>
      </c>
    </row>
    <row r="229" spans="1:6">
      <c r="A229" s="230" t="s">
        <v>877</v>
      </c>
      <c r="B229" s="147">
        <v>-8.9000000000000017E-3</v>
      </c>
      <c r="C229" s="147">
        <v>-5.0000000000000001E-4</v>
      </c>
      <c r="D229" s="147">
        <v>3.8100000000000002E-2</v>
      </c>
      <c r="E229" s="147">
        <v>-1.38E-2</v>
      </c>
      <c r="F229" s="147">
        <v>2.4900000000000002E-2</v>
      </c>
    </row>
    <row r="230" spans="1:6">
      <c r="A230" s="230" t="s">
        <v>878</v>
      </c>
      <c r="B230" s="147">
        <v>4.3999999999999997E-2</v>
      </c>
      <c r="C230" s="147">
        <v>1.0900000000000002E-2</v>
      </c>
      <c r="D230" s="147">
        <v>-2.7000000000000003E-2</v>
      </c>
      <c r="E230" s="147">
        <v>1.5700000000000002E-2</v>
      </c>
      <c r="F230" s="147">
        <v>-1E-4</v>
      </c>
    </row>
    <row r="231" spans="1:6">
      <c r="A231" s="230" t="s">
        <v>879</v>
      </c>
      <c r="B231" s="147">
        <v>-2.9300000000000007E-2</v>
      </c>
      <c r="C231" s="147">
        <v>6.4000000000000003E-3</v>
      </c>
      <c r="D231" s="147">
        <v>1.7500000000000002E-2</v>
      </c>
      <c r="E231" s="147">
        <v>8.6999999999999994E-3</v>
      </c>
      <c r="F231" s="147">
        <v>-3.0000000000000001E-3</v>
      </c>
    </row>
    <row r="232" spans="1:6">
      <c r="A232" s="230" t="s">
        <v>880</v>
      </c>
      <c r="B232" s="147">
        <v>-2.1299999999999999E-2</v>
      </c>
      <c r="C232" s="147">
        <v>-5.2000000000000006E-3</v>
      </c>
      <c r="D232" s="147">
        <v>1.5300000000000001E-2</v>
      </c>
      <c r="E232" s="147">
        <v>1E-4</v>
      </c>
      <c r="F232" s="147">
        <v>2.7200000000000002E-2</v>
      </c>
    </row>
    <row r="233" spans="1:6">
      <c r="A233" s="230" t="s">
        <v>881</v>
      </c>
      <c r="B233" s="147">
        <v>-2.1399999999999995E-2</v>
      </c>
      <c r="C233" s="147">
        <v>9.4999999999999998E-3</v>
      </c>
      <c r="D233" s="147">
        <v>8.9999999999999998E-4</v>
      </c>
      <c r="E233" s="147">
        <v>1.0400000000000001E-2</v>
      </c>
      <c r="F233" s="147">
        <v>1.5500000000000002E-2</v>
      </c>
    </row>
    <row r="234" spans="1:6">
      <c r="A234" s="230" t="s">
        <v>882</v>
      </c>
      <c r="B234" s="147">
        <v>0.11900000000000001</v>
      </c>
      <c r="C234" s="147">
        <v>-4.3499999999999997E-2</v>
      </c>
      <c r="D234" s="147">
        <v>9.4999999999999998E-3</v>
      </c>
      <c r="E234" s="147">
        <v>-1.89E-2</v>
      </c>
      <c r="F234" s="147">
        <v>8.9999999999999998E-4</v>
      </c>
    </row>
    <row r="235" spans="1:6">
      <c r="A235" s="230" t="s">
        <v>883</v>
      </c>
      <c r="B235" s="147">
        <v>1.8000000000000002E-2</v>
      </c>
      <c r="C235" s="147">
        <v>2.6099999999999998E-2</v>
      </c>
      <c r="D235" s="147">
        <v>2.8000000000000004E-3</v>
      </c>
      <c r="E235" s="147">
        <v>2.1400000000000002E-2</v>
      </c>
      <c r="F235" s="147">
        <v>-4.0000000000000002E-4</v>
      </c>
    </row>
    <row r="236" spans="1:6">
      <c r="A236" s="230" t="s">
        <v>884</v>
      </c>
      <c r="B236" s="147">
        <v>0.11890000000000001</v>
      </c>
      <c r="C236" s="147">
        <v>1.9199999999999998E-2</v>
      </c>
      <c r="D236" s="147">
        <v>-3.6600000000000001E-2</v>
      </c>
      <c r="E236" s="147">
        <v>2.8999999999999998E-3</v>
      </c>
      <c r="F236" s="147">
        <v>-3.4000000000000002E-3</v>
      </c>
    </row>
    <row r="237" spans="1:6">
      <c r="A237" s="230" t="s">
        <v>885</v>
      </c>
      <c r="B237" s="147">
        <v>5.2999999999999999E-2</v>
      </c>
      <c r="C237" s="147">
        <v>4.4299999999999999E-2</v>
      </c>
      <c r="D237" s="147">
        <v>-1.8700000000000001E-2</v>
      </c>
      <c r="E237" s="147">
        <v>-9.7000000000000003E-3</v>
      </c>
      <c r="F237" s="147">
        <v>2.7000000000000001E-3</v>
      </c>
    </row>
    <row r="238" spans="1:6">
      <c r="A238" s="230" t="s">
        <v>886</v>
      </c>
      <c r="B238" s="147">
        <v>1.2200000000000001E-2</v>
      </c>
      <c r="C238" s="147">
        <v>-4.0000000000000002E-4</v>
      </c>
      <c r="D238" s="147">
        <v>-2.0000000000000001E-4</v>
      </c>
      <c r="E238" s="147">
        <v>-1E-4</v>
      </c>
      <c r="F238" s="147">
        <v>1.0200000000000001E-2</v>
      </c>
    </row>
    <row r="239" spans="1:6">
      <c r="A239" s="230" t="s">
        <v>887</v>
      </c>
      <c r="B239" s="147">
        <v>4.2900000000000008E-2</v>
      </c>
      <c r="C239" s="147">
        <v>3.3500000000000002E-2</v>
      </c>
      <c r="D239" s="147">
        <v>-7.4999999999999997E-3</v>
      </c>
      <c r="E239" s="147">
        <v>-1.5500000000000002E-2</v>
      </c>
      <c r="F239" s="147">
        <v>-5.7999999999999996E-3</v>
      </c>
    </row>
    <row r="240" spans="1:6">
      <c r="A240" s="230" t="s">
        <v>888</v>
      </c>
      <c r="B240" s="147">
        <v>3.2099999999999997E-2</v>
      </c>
      <c r="C240" s="147">
        <v>2.92E-2</v>
      </c>
      <c r="D240" s="147">
        <v>6.9999999999999993E-3</v>
      </c>
      <c r="E240" s="147">
        <v>-5.2000000000000006E-3</v>
      </c>
      <c r="F240" s="147">
        <v>1.0500000000000001E-2</v>
      </c>
    </row>
    <row r="241" spans="1:6">
      <c r="A241" s="230" t="s">
        <v>889</v>
      </c>
      <c r="B241" s="147">
        <v>3.4500000000000003E-2</v>
      </c>
      <c r="C241" s="147">
        <v>1.3700000000000002E-2</v>
      </c>
      <c r="D241" s="147">
        <v>2.0199999999999999E-2</v>
      </c>
      <c r="E241" s="147">
        <v>-1.7000000000000001E-3</v>
      </c>
      <c r="F241" s="147">
        <v>2.7400000000000004E-2</v>
      </c>
    </row>
    <row r="242" spans="1:6">
      <c r="A242" s="230" t="s">
        <v>890</v>
      </c>
      <c r="B242" s="147">
        <v>7.3799999999999991E-2</v>
      </c>
      <c r="C242" s="147">
        <v>4.7999999999999996E-3</v>
      </c>
      <c r="D242" s="147">
        <v>4.8999999999999998E-3</v>
      </c>
      <c r="E242" s="147">
        <v>-1.1000000000000001E-3</v>
      </c>
      <c r="F242" s="147">
        <v>1.4199999999999999E-2</v>
      </c>
    </row>
    <row r="243" spans="1:6">
      <c r="A243" s="230" t="s">
        <v>891</v>
      </c>
      <c r="B243" s="147">
        <v>1.21E-2</v>
      </c>
      <c r="C243" s="147">
        <v>6.3E-2</v>
      </c>
      <c r="D243" s="147">
        <v>-1.3999999999999999E-2</v>
      </c>
      <c r="E243" s="147">
        <v>-1.84E-2</v>
      </c>
      <c r="F243" s="147">
        <v>-1.5100000000000001E-2</v>
      </c>
    </row>
    <row r="244" spans="1:6">
      <c r="A244" s="230" t="s">
        <v>892</v>
      </c>
      <c r="B244" s="147">
        <v>3.7399999999999996E-2</v>
      </c>
      <c r="C244" s="147">
        <v>1.18E-2</v>
      </c>
      <c r="D244" s="147">
        <v>-3.9E-2</v>
      </c>
      <c r="E244" s="147">
        <v>2.6000000000000002E-2</v>
      </c>
      <c r="F244" s="147">
        <v>-8.6999999999999994E-3</v>
      </c>
    </row>
    <row r="245" spans="1:6">
      <c r="A245" s="230" t="s">
        <v>893</v>
      </c>
      <c r="B245" s="147">
        <v>-3.330000000000001E-2</v>
      </c>
      <c r="C245" s="147">
        <v>1.01E-2</v>
      </c>
      <c r="D245" s="147">
        <v>5.62E-2</v>
      </c>
      <c r="E245" s="147">
        <v>-1.4000000000000002E-3</v>
      </c>
      <c r="F245" s="147">
        <v>2.81E-2</v>
      </c>
    </row>
    <row r="246" spans="1:6">
      <c r="A246" s="230" t="s">
        <v>894</v>
      </c>
      <c r="B246" s="147">
        <v>2.5999999999999999E-3</v>
      </c>
      <c r="C246" s="147">
        <v>-4.3200000000000002E-2</v>
      </c>
      <c r="D246" s="147">
        <v>5.5400000000000005E-2</v>
      </c>
      <c r="E246" s="147">
        <v>5.1000000000000004E-3</v>
      </c>
      <c r="F246" s="147">
        <v>1.9E-2</v>
      </c>
    </row>
    <row r="247" spans="1:6">
      <c r="A247" s="230" t="s">
        <v>895</v>
      </c>
      <c r="B247" s="147">
        <v>1.67E-2</v>
      </c>
      <c r="C247" s="147">
        <v>3.0000000000000001E-3</v>
      </c>
      <c r="D247" s="147">
        <v>1.01E-2</v>
      </c>
      <c r="E247" s="147">
        <v>1.24E-2</v>
      </c>
      <c r="F247" s="147">
        <v>5.0000000000000001E-3</v>
      </c>
    </row>
    <row r="248" spans="1:6">
      <c r="A248" s="230" t="s">
        <v>896</v>
      </c>
      <c r="B248" s="147">
        <v>-2.6800000000000001E-2</v>
      </c>
      <c r="C248" s="147">
        <v>-3.7700000000000004E-2</v>
      </c>
      <c r="D248" s="147">
        <v>4.9700000000000001E-2</v>
      </c>
      <c r="E248" s="147">
        <v>-7.7000000000000002E-3</v>
      </c>
      <c r="F248" s="147">
        <v>2.9600000000000001E-2</v>
      </c>
    </row>
    <row r="249" spans="1:6">
      <c r="A249" s="230" t="s">
        <v>897</v>
      </c>
      <c r="B249" s="147">
        <v>2.86E-2</v>
      </c>
      <c r="C249" s="147">
        <v>1.8700000000000001E-2</v>
      </c>
      <c r="D249" s="147">
        <v>-7.1999999999999998E-3</v>
      </c>
      <c r="E249" s="147">
        <v>-6.7000000000000002E-3</v>
      </c>
      <c r="F249" s="147">
        <v>6.6000000000000008E-3</v>
      </c>
    </row>
    <row r="250" spans="1:6">
      <c r="A250" s="230" t="s">
        <v>898</v>
      </c>
      <c r="B250" s="147">
        <v>-1.0499999999999999E-2</v>
      </c>
      <c r="C250" s="147">
        <v>-4.5000000000000005E-3</v>
      </c>
      <c r="D250" s="147">
        <v>1.7299999999999999E-2</v>
      </c>
      <c r="E250" s="147">
        <v>1.6399999999999998E-2</v>
      </c>
      <c r="F250" s="147">
        <v>1.2700000000000001E-2</v>
      </c>
    </row>
    <row r="251" spans="1:6">
      <c r="A251" s="230" t="s">
        <v>899</v>
      </c>
      <c r="B251" s="147">
        <v>-1.1599999999999999E-2</v>
      </c>
      <c r="C251" s="147">
        <v>-4.0000000000000002E-4</v>
      </c>
      <c r="D251" s="147">
        <v>7.5800000000000006E-2</v>
      </c>
      <c r="E251" s="147">
        <v>-8.8999999999999999E-3</v>
      </c>
      <c r="F251" s="147">
        <v>2.92E-2</v>
      </c>
    </row>
    <row r="252" spans="1:6">
      <c r="A252" s="230" t="s">
        <v>900</v>
      </c>
      <c r="B252" s="147">
        <v>-4.1100000000000005E-2</v>
      </c>
      <c r="C252" s="147">
        <v>-1.5900000000000001E-2</v>
      </c>
      <c r="D252" s="147">
        <v>3.3300000000000003E-2</v>
      </c>
      <c r="E252" s="147">
        <v>9.0000000000000011E-3</v>
      </c>
      <c r="F252" s="147">
        <v>1.5800000000000002E-2</v>
      </c>
    </row>
    <row r="253" spans="1:6">
      <c r="A253" s="230" t="s">
        <v>901</v>
      </c>
      <c r="B253" s="147">
        <v>1.3600000000000001E-2</v>
      </c>
      <c r="C253" s="147">
        <v>-2.8999999999999998E-3</v>
      </c>
      <c r="D253" s="147">
        <v>4.5999999999999999E-3</v>
      </c>
      <c r="E253" s="147">
        <v>-9.5999999999999992E-3</v>
      </c>
      <c r="F253" s="147">
        <v>1.17E-2</v>
      </c>
    </row>
    <row r="254" spans="1:6">
      <c r="A254" s="230" t="s">
        <v>902</v>
      </c>
      <c r="B254" s="147">
        <v>3.0000000000000009E-3</v>
      </c>
      <c r="C254" s="147">
        <v>-9.4999999999999998E-3</v>
      </c>
      <c r="D254" s="147">
        <v>1.2E-2</v>
      </c>
      <c r="E254" s="147">
        <v>3.3399999999999999E-2</v>
      </c>
      <c r="F254" s="147">
        <v>7.6E-3</v>
      </c>
    </row>
    <row r="255" spans="1:6">
      <c r="A255" s="230" t="s">
        <v>903</v>
      </c>
      <c r="B255" s="147">
        <v>-5.1899999999999995E-2</v>
      </c>
      <c r="C255" s="147">
        <v>1.3000000000000002E-3</v>
      </c>
      <c r="D255" s="147">
        <v>3.0999999999999999E-3</v>
      </c>
      <c r="E255" s="147">
        <v>2.3599999999999999E-2</v>
      </c>
      <c r="F255" s="147">
        <v>-4.5999999999999999E-3</v>
      </c>
    </row>
    <row r="256" spans="1:6">
      <c r="A256" s="230" t="s">
        <v>904</v>
      </c>
      <c r="B256" s="147">
        <v>2.5700000000000001E-2</v>
      </c>
      <c r="C256" s="147">
        <v>1.1000000000000001E-3</v>
      </c>
      <c r="D256" s="147">
        <v>-2.6600000000000002E-2</v>
      </c>
      <c r="E256" s="147">
        <v>3.1699999999999999E-2</v>
      </c>
      <c r="F256" s="147">
        <v>-1.5600000000000001E-2</v>
      </c>
    </row>
    <row r="257" spans="1:6">
      <c r="A257" s="230" t="s">
        <v>905</v>
      </c>
      <c r="B257" s="147">
        <v>-1.9200000000000005E-2</v>
      </c>
      <c r="C257" s="147">
        <v>-2.2200000000000001E-2</v>
      </c>
      <c r="D257" s="147">
        <v>3.5999999999999999E-3</v>
      </c>
      <c r="E257" s="147">
        <v>3.5499999999999997E-2</v>
      </c>
      <c r="F257" s="147">
        <v>-2.1499999999999998E-2</v>
      </c>
    </row>
    <row r="258" spans="1:6">
      <c r="A258" s="230" t="s">
        <v>906</v>
      </c>
      <c r="B258" s="147">
        <v>0.1111</v>
      </c>
      <c r="C258" s="147">
        <v>-2.6000000000000003E-3</v>
      </c>
      <c r="D258" s="147">
        <v>-1.8200000000000001E-2</v>
      </c>
      <c r="E258" s="147">
        <v>-6.8000000000000005E-3</v>
      </c>
      <c r="F258" s="147">
        <v>-9.1999999999999998E-3</v>
      </c>
    </row>
    <row r="259" spans="1:6">
      <c r="A259" s="230" t="s">
        <v>907</v>
      </c>
      <c r="B259" s="147">
        <v>5.9999999999999984E-4</v>
      </c>
      <c r="C259" s="147">
        <v>-2.9999999999999997E-4</v>
      </c>
      <c r="D259" s="147">
        <v>5.2800000000000007E-2</v>
      </c>
      <c r="E259" s="147">
        <v>1.3700000000000002E-2</v>
      </c>
      <c r="F259" s="147">
        <v>2.4100000000000003E-2</v>
      </c>
    </row>
    <row r="260" spans="1:6">
      <c r="A260" s="230" t="s">
        <v>908</v>
      </c>
      <c r="B260" s="147">
        <v>1.6000000000000007E-3</v>
      </c>
      <c r="C260" s="147">
        <v>-1.44E-2</v>
      </c>
      <c r="D260" s="147">
        <v>4.5000000000000005E-3</v>
      </c>
      <c r="E260" s="147">
        <v>1.18E-2</v>
      </c>
      <c r="F260" s="147">
        <v>-1.0900000000000002E-2</v>
      </c>
    </row>
    <row r="261" spans="1:6">
      <c r="A261" s="230" t="s">
        <v>909</v>
      </c>
      <c r="B261" s="147">
        <v>-1.03E-2</v>
      </c>
      <c r="C261" s="147">
        <v>-1.0200000000000001E-2</v>
      </c>
      <c r="D261" s="147">
        <v>4.0599999999999997E-2</v>
      </c>
      <c r="E261" s="147">
        <v>7.1999999999999998E-3</v>
      </c>
      <c r="F261" s="147">
        <v>2.06E-2</v>
      </c>
    </row>
    <row r="262" spans="1:6">
      <c r="A262" s="230" t="s">
        <v>910</v>
      </c>
      <c r="B262" s="147">
        <v>2.4799999999999999E-2</v>
      </c>
      <c r="C262" s="147">
        <v>-6.5000000000000006E-3</v>
      </c>
      <c r="D262" s="147">
        <v>-2.6000000000000003E-3</v>
      </c>
      <c r="E262" s="147">
        <v>1.3100000000000001E-2</v>
      </c>
      <c r="F262" s="147">
        <v>-1.3600000000000001E-2</v>
      </c>
    </row>
    <row r="263" spans="1:6">
      <c r="A263" s="230" t="s">
        <v>911</v>
      </c>
      <c r="B263" s="147">
        <v>8.6400000000000005E-2</v>
      </c>
      <c r="C263" s="147">
        <v>3.5099999999999999E-2</v>
      </c>
      <c r="D263" s="147">
        <v>-5.3499999999999999E-2</v>
      </c>
      <c r="E263" s="147">
        <v>-8.8999999999999999E-3</v>
      </c>
      <c r="F263" s="147">
        <v>-3.4100000000000005E-2</v>
      </c>
    </row>
    <row r="264" spans="1:6">
      <c r="A264" s="230" t="s">
        <v>912</v>
      </c>
      <c r="B264" s="147">
        <v>1.8000000000000002E-2</v>
      </c>
      <c r="C264" s="147">
        <v>1.0400000000000001E-2</v>
      </c>
      <c r="D264" s="147">
        <v>-1E-3</v>
      </c>
      <c r="E264" s="147">
        <v>1.29E-2</v>
      </c>
      <c r="F264" s="147">
        <v>1.06E-2</v>
      </c>
    </row>
    <row r="265" spans="1:6">
      <c r="A265" s="230" t="s">
        <v>913</v>
      </c>
      <c r="B265" s="147">
        <v>-2.1999999999999997E-3</v>
      </c>
      <c r="C265" s="147">
        <v>-1.3899999999999999E-2</v>
      </c>
      <c r="D265" s="147">
        <v>4.0700000000000007E-2</v>
      </c>
      <c r="E265" s="147">
        <v>1.23E-2</v>
      </c>
      <c r="F265" s="147">
        <v>2.8799999999999999E-2</v>
      </c>
    </row>
    <row r="266" spans="1:6">
      <c r="A266" s="230" t="s">
        <v>914</v>
      </c>
      <c r="B266" s="147">
        <v>-2.3999999999999994E-3</v>
      </c>
      <c r="C266" s="147">
        <v>-1E-3</v>
      </c>
      <c r="D266" s="147">
        <v>3.7200000000000004E-2</v>
      </c>
      <c r="E266" s="147">
        <v>1.5500000000000002E-2</v>
      </c>
      <c r="F266" s="147">
        <v>7.0999999999999995E-3</v>
      </c>
    </row>
    <row r="267" spans="1:6">
      <c r="A267" s="230" t="s">
        <v>915</v>
      </c>
      <c r="B267" s="147">
        <v>5.7500000000000002E-2</v>
      </c>
      <c r="C267" s="147">
        <v>-2.3100000000000002E-2</v>
      </c>
      <c r="D267" s="147">
        <v>-9.5999999999999992E-3</v>
      </c>
      <c r="E267" s="147">
        <v>1.3300000000000001E-2</v>
      </c>
      <c r="F267" s="147">
        <v>-1.49E-2</v>
      </c>
    </row>
    <row r="268" spans="1:6">
      <c r="A268" s="230" t="s">
        <v>916</v>
      </c>
      <c r="B268" s="147">
        <v>1.8200000000000001E-2</v>
      </c>
      <c r="C268" s="147">
        <v>3.4999999999999996E-3</v>
      </c>
      <c r="D268" s="147">
        <v>3.8E-3</v>
      </c>
      <c r="E268" s="147">
        <v>1.7600000000000001E-2</v>
      </c>
      <c r="F268" s="147">
        <v>-7.7000000000000002E-3</v>
      </c>
    </row>
    <row r="269" spans="1:6">
      <c r="A269" s="230" t="s">
        <v>917</v>
      </c>
      <c r="B269" s="147">
        <v>-1.2000000000000005E-3</v>
      </c>
      <c r="C269" s="147">
        <v>2.8700000000000003E-2</v>
      </c>
      <c r="D269" s="147">
        <v>-1.6200000000000003E-2</v>
      </c>
      <c r="E269" s="147">
        <v>-4.1999999999999997E-3</v>
      </c>
      <c r="F269" s="147">
        <v>-3.8E-3</v>
      </c>
    </row>
    <row r="270" spans="1:6">
      <c r="A270" s="230" t="s">
        <v>918</v>
      </c>
      <c r="B270" s="147">
        <v>-4.7000000000000002E-3</v>
      </c>
      <c r="C270" s="147">
        <v>-2.8999999999999998E-3</v>
      </c>
      <c r="D270" s="147">
        <v>2.3199999999999998E-2</v>
      </c>
      <c r="E270" s="147">
        <v>-1E-3</v>
      </c>
      <c r="F270" s="147">
        <v>1.83E-2</v>
      </c>
    </row>
    <row r="271" spans="1:6">
      <c r="A271" s="230" t="s">
        <v>919</v>
      </c>
      <c r="B271" s="147">
        <v>-3.9400000000000004E-2</v>
      </c>
      <c r="C271" s="147">
        <v>-1.8000000000000002E-2</v>
      </c>
      <c r="D271" s="147">
        <v>1.29E-2</v>
      </c>
      <c r="E271" s="147">
        <v>1.1399999999999999E-2</v>
      </c>
      <c r="F271" s="147">
        <v>1.6399999999999998E-2</v>
      </c>
    </row>
    <row r="272" spans="1:6">
      <c r="A272" s="230" t="s">
        <v>920</v>
      </c>
      <c r="B272" s="147">
        <v>4.6699999999999998E-2</v>
      </c>
      <c r="C272" s="147">
        <v>-1.4999999999999999E-2</v>
      </c>
      <c r="D272" s="147">
        <v>7.4999999999999997E-3</v>
      </c>
      <c r="E272" s="147">
        <v>8.8999999999999999E-3</v>
      </c>
      <c r="F272" s="147">
        <v>-1.06E-2</v>
      </c>
    </row>
    <row r="273" spans="1:6">
      <c r="A273" s="230" t="s">
        <v>921</v>
      </c>
      <c r="B273" s="147">
        <v>7.0900000000000005E-2</v>
      </c>
      <c r="C273" s="147">
        <v>2.0000000000000001E-4</v>
      </c>
      <c r="D273" s="147">
        <v>-2.8500000000000001E-2</v>
      </c>
      <c r="E273" s="147">
        <v>3.3000000000000004E-3</v>
      </c>
      <c r="F273" s="147">
        <v>-2.3199999999999998E-2</v>
      </c>
    </row>
    <row r="274" spans="1:6">
      <c r="A274" s="230" t="s">
        <v>922</v>
      </c>
      <c r="B274" s="147">
        <v>4.53E-2</v>
      </c>
      <c r="C274" s="147">
        <v>-4.0999999999999995E-3</v>
      </c>
      <c r="D274" s="147">
        <v>-1.54E-2</v>
      </c>
      <c r="E274" s="147">
        <v>9.9000000000000008E-3</v>
      </c>
      <c r="F274" s="147">
        <v>-1.8000000000000002E-2</v>
      </c>
    </row>
    <row r="275" spans="1:6">
      <c r="A275" s="230" t="s">
        <v>923</v>
      </c>
      <c r="B275" s="147">
        <v>1.2100000000000001E-2</v>
      </c>
      <c r="C275" s="147">
        <v>1.01E-2</v>
      </c>
      <c r="D275" s="147">
        <v>4.4000000000000003E-3</v>
      </c>
      <c r="E275" s="147">
        <v>-0.02</v>
      </c>
      <c r="F275" s="147">
        <v>-2.0299999999999999E-2</v>
      </c>
    </row>
    <row r="276" spans="1:6">
      <c r="A276" s="230" t="s">
        <v>924</v>
      </c>
      <c r="B276" s="147">
        <v>7.6600000000000001E-2</v>
      </c>
      <c r="C276" s="147">
        <v>-7.0999999999999995E-3</v>
      </c>
      <c r="D276" s="147">
        <v>-7.1999999999999998E-3</v>
      </c>
      <c r="E276" s="147">
        <v>1.06E-2</v>
      </c>
      <c r="F276" s="147">
        <v>-1.2E-2</v>
      </c>
    </row>
    <row r="277" spans="1:6">
      <c r="A277" s="230" t="s">
        <v>925</v>
      </c>
      <c r="B277" s="147">
        <v>5.4800000000000001E-2</v>
      </c>
      <c r="C277" s="147">
        <v>-6.6000000000000008E-3</v>
      </c>
      <c r="D277" s="147">
        <v>-3.9000000000000003E-3</v>
      </c>
      <c r="E277" s="147">
        <v>1.21E-2</v>
      </c>
      <c r="F277" s="147">
        <v>9.1999999999999998E-3</v>
      </c>
    </row>
    <row r="278" spans="1:6">
      <c r="A278" s="230" t="s">
        <v>926</v>
      </c>
      <c r="B278" s="147">
        <v>-7.9000000000000008E-3</v>
      </c>
      <c r="C278" s="147">
        <v>2.8399999999999998E-2</v>
      </c>
      <c r="D278" s="147">
        <v>-2.8700000000000003E-2</v>
      </c>
      <c r="E278" s="147">
        <v>2.9100000000000001E-2</v>
      </c>
      <c r="F278" s="147">
        <v>2.9999999999999997E-4</v>
      </c>
    </row>
    <row r="279" spans="1:6">
      <c r="A279" s="230" t="s">
        <v>927</v>
      </c>
      <c r="B279" s="147">
        <v>5.1100000000000007E-2</v>
      </c>
      <c r="C279" s="147">
        <v>-1.29E-2</v>
      </c>
      <c r="D279" s="147">
        <v>-2.0999999999999999E-3</v>
      </c>
      <c r="E279" s="147">
        <v>2.1299999999999999E-2</v>
      </c>
      <c r="F279" s="147">
        <v>1.0800000000000001E-2</v>
      </c>
    </row>
    <row r="280" spans="1:6">
      <c r="A280" s="230" t="s">
        <v>928</v>
      </c>
      <c r="B280" s="147">
        <v>1.55E-2</v>
      </c>
      <c r="C280" s="147">
        <v>-8.8999999999999999E-3</v>
      </c>
      <c r="D280" s="147">
        <v>1.2800000000000001E-2</v>
      </c>
      <c r="E280" s="147">
        <v>1.8000000000000002E-2</v>
      </c>
      <c r="F280" s="147">
        <v>8.6999999999999994E-3</v>
      </c>
    </row>
    <row r="281" spans="1:6">
      <c r="A281" s="230" t="s">
        <v>929</v>
      </c>
      <c r="B281" s="147">
        <v>-5.9299999999999999E-2</v>
      </c>
      <c r="C281" s="147">
        <v>-3.4599999999999999E-2</v>
      </c>
      <c r="D281" s="147">
        <v>4.7E-2</v>
      </c>
      <c r="E281" s="147">
        <v>-5.4000000000000003E-3</v>
      </c>
      <c r="F281" s="147">
        <v>8.3999999999999995E-3</v>
      </c>
    </row>
    <row r="282" spans="1:6">
      <c r="A282" s="230" t="s">
        <v>930</v>
      </c>
      <c r="B282" s="147">
        <v>6.5299999999999997E-2</v>
      </c>
      <c r="C282" s="147">
        <v>-4.3499999999999997E-2</v>
      </c>
      <c r="D282" s="147">
        <v>3.5099999999999999E-2</v>
      </c>
      <c r="E282" s="147">
        <v>-1.66E-2</v>
      </c>
      <c r="F282" s="147">
        <v>3.2100000000000004E-2</v>
      </c>
    </row>
    <row r="283" spans="1:6">
      <c r="A283" s="230" t="s">
        <v>931</v>
      </c>
      <c r="B283" s="147">
        <v>-8.1499999999999989E-2</v>
      </c>
      <c r="C283" s="147">
        <v>2.0499999999999997E-2</v>
      </c>
      <c r="D283" s="147">
        <v>3.2199999999999999E-2</v>
      </c>
      <c r="E283" s="147">
        <v>-8.0000000000000004E-4</v>
      </c>
      <c r="F283" s="147">
        <v>3.7100000000000001E-2</v>
      </c>
    </row>
    <row r="284" spans="1:6">
      <c r="A284" s="230" t="s">
        <v>932</v>
      </c>
      <c r="B284" s="147">
        <v>5.1200000000000002E-2</v>
      </c>
      <c r="C284" s="147">
        <v>-2.3300000000000001E-2</v>
      </c>
      <c r="D284" s="147">
        <v>-1.4199999999999999E-2</v>
      </c>
      <c r="E284" s="147">
        <v>-5.0000000000000001E-4</v>
      </c>
      <c r="F284" s="147">
        <v>0.01</v>
      </c>
    </row>
    <row r="285" spans="1:6">
      <c r="A285" s="230" t="s">
        <v>933</v>
      </c>
      <c r="B285" s="147">
        <v>1.5600000000000001E-2</v>
      </c>
      <c r="C285" s="147">
        <v>-1.8800000000000001E-2</v>
      </c>
      <c r="D285" s="147">
        <v>-7.000000000000001E-4</v>
      </c>
      <c r="E285" s="147">
        <v>1.0900000000000002E-2</v>
      </c>
      <c r="F285" s="147">
        <v>6.7000000000000002E-3</v>
      </c>
    </row>
    <row r="286" spans="1:6">
      <c r="A286" s="230" t="s">
        <v>934</v>
      </c>
      <c r="B286" s="147">
        <v>-2.7799999999999998E-2</v>
      </c>
      <c r="C286" s="147">
        <v>1.1999999999999999E-3</v>
      </c>
      <c r="D286" s="147">
        <v>3.5999999999999999E-3</v>
      </c>
      <c r="E286" s="147">
        <v>7.9000000000000008E-3</v>
      </c>
      <c r="F286" s="147">
        <v>8.9999999999999998E-4</v>
      </c>
    </row>
    <row r="287" spans="1:6">
      <c r="A287" s="230" t="s">
        <v>935</v>
      </c>
      <c r="B287" s="147">
        <v>0.12890000000000001</v>
      </c>
      <c r="C287" s="147">
        <v>-1.54E-2</v>
      </c>
      <c r="D287" s="147">
        <v>-3.1600000000000003E-2</v>
      </c>
      <c r="E287" s="147">
        <v>1.7000000000000001E-3</v>
      </c>
      <c r="F287" s="147">
        <v>-0.01</v>
      </c>
    </row>
    <row r="288" spans="1:6">
      <c r="A288" s="230" t="s">
        <v>936</v>
      </c>
      <c r="B288" s="147">
        <v>4.8199999999999993E-2</v>
      </c>
      <c r="C288" s="147">
        <v>3.4000000000000002E-2</v>
      </c>
      <c r="D288" s="147">
        <v>-5.91E-2</v>
      </c>
      <c r="E288" s="147">
        <v>-7.6E-3</v>
      </c>
      <c r="F288" s="147">
        <v>-2.6600000000000002E-2</v>
      </c>
    </row>
    <row r="289" spans="1:6">
      <c r="A289" s="230" t="s">
        <v>937</v>
      </c>
      <c r="B289" s="147">
        <v>2.1099999999999997E-2</v>
      </c>
      <c r="C289" s="147">
        <v>2.8000000000000004E-3</v>
      </c>
      <c r="D289" s="147">
        <v>1.61E-2</v>
      </c>
      <c r="E289" s="147">
        <v>1.3600000000000001E-2</v>
      </c>
      <c r="F289" s="147">
        <v>4.1399999999999999E-2</v>
      </c>
    </row>
    <row r="290" spans="1:6">
      <c r="A290" s="230" t="s">
        <v>938</v>
      </c>
      <c r="B290" s="147">
        <v>-1.67E-2</v>
      </c>
      <c r="C290" s="147">
        <v>-1.54E-2</v>
      </c>
      <c r="D290" s="147">
        <v>-3.9000000000000003E-3</v>
      </c>
      <c r="E290" s="147">
        <v>-4.8999999999999998E-3</v>
      </c>
      <c r="F290" s="147">
        <v>1.0500000000000001E-2</v>
      </c>
    </row>
    <row r="291" spans="1:6">
      <c r="A291" s="230" t="s">
        <v>939</v>
      </c>
      <c r="B291" s="147">
        <v>4.8999999999999998E-3</v>
      </c>
      <c r="C291" s="147">
        <v>-5.6000000000000008E-3</v>
      </c>
      <c r="D291" s="147">
        <v>2.3E-3</v>
      </c>
      <c r="E291" s="147">
        <v>5.1000000000000004E-3</v>
      </c>
      <c r="F291" s="147">
        <v>1.1399999999999999E-2</v>
      </c>
    </row>
    <row r="292" spans="1:6">
      <c r="A292" s="230" t="s">
        <v>940</v>
      </c>
      <c r="B292" s="147">
        <v>4.4199999999999996E-2</v>
      </c>
      <c r="C292" s="147">
        <v>-2.2100000000000002E-2</v>
      </c>
      <c r="D292" s="147">
        <v>1.0400000000000001E-2</v>
      </c>
      <c r="E292" s="147">
        <v>1.7000000000000001E-2</v>
      </c>
      <c r="F292" s="147">
        <v>8.3999999999999995E-3</v>
      </c>
    </row>
    <row r="293" spans="1:6">
      <c r="A293" s="230" t="s">
        <v>941</v>
      </c>
      <c r="B293" s="147">
        <v>4.3099999999999999E-2</v>
      </c>
      <c r="C293" s="147">
        <v>-1.1399999999999999E-2</v>
      </c>
      <c r="D293" s="147">
        <v>6.8000000000000005E-3</v>
      </c>
      <c r="E293" s="147">
        <v>-6.1000000000000004E-3</v>
      </c>
      <c r="F293" s="147">
        <v>1.61E-2</v>
      </c>
    </row>
    <row r="294" spans="1:6">
      <c r="A294" s="230" t="s">
        <v>942</v>
      </c>
      <c r="B294" s="147">
        <v>3.9900000000000005E-2</v>
      </c>
      <c r="C294" s="147">
        <v>-9.4000000000000004E-3</v>
      </c>
      <c r="D294" s="147">
        <v>-9.300000000000001E-3</v>
      </c>
      <c r="E294" s="147">
        <v>2.0400000000000001E-2</v>
      </c>
      <c r="F294" s="147">
        <v>-1.61E-2</v>
      </c>
    </row>
    <row r="295" spans="1:6">
      <c r="A295" s="230" t="s">
        <v>943</v>
      </c>
      <c r="B295" s="147">
        <v>-2.1399999999999999E-2</v>
      </c>
      <c r="C295" s="147">
        <v>3.8E-3</v>
      </c>
      <c r="D295" s="147">
        <v>2.7000000000000001E-3</v>
      </c>
      <c r="E295" s="147">
        <v>-9.7000000000000003E-3</v>
      </c>
      <c r="F295" s="147">
        <v>1.8700000000000001E-2</v>
      </c>
    </row>
    <row r="296" spans="1:6">
      <c r="A296" s="230" t="s">
        <v>944</v>
      </c>
      <c r="B296" s="147">
        <v>-0.22639999999999999</v>
      </c>
      <c r="C296" s="147">
        <v>-8.0700000000000008E-2</v>
      </c>
      <c r="D296" s="147">
        <v>4.24E-2</v>
      </c>
      <c r="E296" s="147">
        <v>2.0400000000000001E-2</v>
      </c>
      <c r="F296" s="147">
        <v>2.3400000000000001E-2</v>
      </c>
    </row>
    <row r="297" spans="1:6">
      <c r="A297" s="230" t="s">
        <v>945</v>
      </c>
      <c r="B297" s="147">
        <v>-7.4199999999999988E-2</v>
      </c>
      <c r="C297" s="147">
        <v>2.8500000000000001E-2</v>
      </c>
      <c r="D297" s="147">
        <v>2.9500000000000002E-2</v>
      </c>
      <c r="E297" s="147">
        <v>-1.8800000000000001E-2</v>
      </c>
      <c r="F297" s="147">
        <v>6.8000000000000005E-3</v>
      </c>
    </row>
    <row r="298" spans="1:6">
      <c r="A298" s="230" t="s">
        <v>946</v>
      </c>
      <c r="B298" s="147">
        <v>7.1999999999999995E-2</v>
      </c>
      <c r="C298" s="147">
        <v>5.9999999999999995E-4</v>
      </c>
      <c r="D298" s="147">
        <v>-4.4299999999999999E-2</v>
      </c>
      <c r="E298" s="147">
        <v>2.9600000000000001E-2</v>
      </c>
      <c r="F298" s="147">
        <v>-2.4199999999999999E-2</v>
      </c>
    </row>
    <row r="299" spans="1:6">
      <c r="A299" s="230" t="s">
        <v>947</v>
      </c>
      <c r="B299" s="147">
        <v>4.4999999999999998E-2</v>
      </c>
      <c r="C299" s="147">
        <v>-5.1000000000000004E-3</v>
      </c>
      <c r="D299" s="147">
        <v>5.0099999999999999E-2</v>
      </c>
      <c r="E299" s="147">
        <v>-1.1399999999999999E-2</v>
      </c>
      <c r="F299" s="147">
        <v>2.1299999999999999E-2</v>
      </c>
    </row>
    <row r="300" spans="1:6">
      <c r="A300" s="230" t="s">
        <v>948</v>
      </c>
      <c r="B300" s="147">
        <v>5.21E-2</v>
      </c>
      <c r="C300" s="147">
        <v>3.32E-2</v>
      </c>
      <c r="D300" s="147">
        <v>-1.7100000000000001E-2</v>
      </c>
      <c r="E300" s="147">
        <v>1.5600000000000001E-2</v>
      </c>
      <c r="F300" s="147">
        <v>-1E-4</v>
      </c>
    </row>
    <row r="301" spans="1:6">
      <c r="A301" s="230" t="s">
        <v>949</v>
      </c>
      <c r="B301" s="147">
        <v>-1.83E-2</v>
      </c>
      <c r="C301" s="147">
        <v>6.25E-2</v>
      </c>
      <c r="D301" s="147">
        <v>7.3000000000000001E-3</v>
      </c>
      <c r="E301" s="147">
        <v>-2.5000000000000001E-3</v>
      </c>
      <c r="F301" s="147">
        <v>1.8000000000000002E-2</v>
      </c>
    </row>
    <row r="302" spans="1:6">
      <c r="A302" s="230" t="s">
        <v>950</v>
      </c>
      <c r="B302" s="147">
        <v>1.0200000000000001E-2</v>
      </c>
      <c r="C302" s="147">
        <v>1.1599999999999999E-2</v>
      </c>
      <c r="D302" s="147">
        <v>1.67E-2</v>
      </c>
      <c r="E302" s="147">
        <v>-2E-3</v>
      </c>
      <c r="F302" s="147">
        <v>1.9199999999999998E-2</v>
      </c>
    </row>
    <row r="303" spans="1:6">
      <c r="A303" s="230" t="s">
        <v>951</v>
      </c>
      <c r="B303" s="147">
        <v>2.2000000000000006E-3</v>
      </c>
      <c r="C303" s="147">
        <v>-2.5600000000000001E-2</v>
      </c>
      <c r="D303" s="147">
        <v>2.4199999999999999E-2</v>
      </c>
      <c r="E303" s="147">
        <v>-7.4000000000000003E-3</v>
      </c>
      <c r="F303" s="147">
        <v>3.3000000000000004E-3</v>
      </c>
    </row>
    <row r="304" spans="1:6">
      <c r="A304" s="230" t="s">
        <v>952</v>
      </c>
      <c r="B304" s="147">
        <v>5.28E-2</v>
      </c>
      <c r="C304" s="147">
        <v>2.1600000000000001E-2</v>
      </c>
      <c r="D304" s="147">
        <v>-1.24E-2</v>
      </c>
      <c r="E304" s="147">
        <v>1.47E-2</v>
      </c>
      <c r="F304" s="147">
        <v>-3.3700000000000001E-2</v>
      </c>
    </row>
    <row r="305" spans="1:6">
      <c r="A305" s="230" t="s">
        <v>953</v>
      </c>
      <c r="B305" s="147">
        <v>-7.4000000000000003E-3</v>
      </c>
      <c r="C305" s="147">
        <v>-2.0999999999999999E-3</v>
      </c>
      <c r="D305" s="147">
        <v>2.2200000000000001E-2</v>
      </c>
      <c r="E305" s="147">
        <v>-5.7999999999999996E-3</v>
      </c>
      <c r="F305" s="147">
        <v>1.52E-2</v>
      </c>
    </row>
    <row r="306" spans="1:6">
      <c r="A306" s="230" t="s">
        <v>954</v>
      </c>
      <c r="B306" s="147">
        <v>-2.7200000000000005E-2</v>
      </c>
      <c r="C306" s="147">
        <v>-2.9999999999999997E-4</v>
      </c>
      <c r="D306" s="147">
        <v>2.1499999999999998E-2</v>
      </c>
      <c r="E306" s="147">
        <v>-8.199999999999999E-3</v>
      </c>
      <c r="F306" s="147">
        <v>1.7600000000000001E-2</v>
      </c>
    </row>
    <row r="307" spans="1:6">
      <c r="A307" s="230" t="s">
        <v>955</v>
      </c>
      <c r="B307" s="147">
        <v>3.9199999999999999E-2</v>
      </c>
      <c r="C307" s="147">
        <v>-1.3600000000000001E-2</v>
      </c>
      <c r="D307" s="147">
        <v>-7.4999999999999997E-3</v>
      </c>
      <c r="E307" s="147">
        <v>1.7600000000000001E-2</v>
      </c>
      <c r="F307" s="147">
        <v>-6.1000000000000004E-3</v>
      </c>
    </row>
    <row r="308" spans="1:6">
      <c r="A308" s="230" t="s">
        <v>956</v>
      </c>
      <c r="B308" s="147">
        <v>1.7600000000000001E-2</v>
      </c>
      <c r="C308" s="147">
        <v>-2.9500000000000002E-2</v>
      </c>
      <c r="D308" s="147">
        <v>2.0499999999999997E-2</v>
      </c>
      <c r="E308" s="147">
        <v>1.3000000000000001E-2</v>
      </c>
      <c r="F308" s="147">
        <v>1.03E-2</v>
      </c>
    </row>
    <row r="309" spans="1:6">
      <c r="A309" s="230" t="s">
        <v>957</v>
      </c>
      <c r="B309" s="147">
        <v>-1.72E-2</v>
      </c>
      <c r="C309" s="147">
        <v>-1.6500000000000001E-2</v>
      </c>
      <c r="D309" s="147">
        <v>1.41E-2</v>
      </c>
      <c r="E309" s="147">
        <v>-2.8000000000000004E-3</v>
      </c>
      <c r="F309" s="147">
        <v>1.6200000000000003E-2</v>
      </c>
    </row>
    <row r="310" spans="1:6">
      <c r="A310" s="230" t="s">
        <v>958</v>
      </c>
      <c r="B310" s="147">
        <v>2.12E-2</v>
      </c>
      <c r="C310" s="147">
        <v>2.01E-2</v>
      </c>
      <c r="D310" s="147">
        <v>-1.6899999999999998E-2</v>
      </c>
      <c r="E310" s="147">
        <v>6.8999999999999999E-3</v>
      </c>
      <c r="F310" s="147">
        <v>-3.8E-3</v>
      </c>
    </row>
    <row r="311" spans="1:6">
      <c r="A311" s="230" t="s">
        <v>959</v>
      </c>
      <c r="B311" s="147">
        <v>6.6500000000000004E-2</v>
      </c>
      <c r="C311" s="147">
        <v>-2.3100000000000002E-2</v>
      </c>
      <c r="D311" s="147">
        <v>6.0000000000000001E-3</v>
      </c>
      <c r="E311" s="147">
        <v>-9.4999999999999998E-3</v>
      </c>
      <c r="F311" s="147">
        <v>1.4000000000000002E-3</v>
      </c>
    </row>
    <row r="312" spans="1:6">
      <c r="A312" s="230" t="s">
        <v>960</v>
      </c>
      <c r="B312" s="147">
        <v>-1.6399999999999998E-2</v>
      </c>
      <c r="C312" s="147">
        <v>2.7099999999999999E-2</v>
      </c>
      <c r="D312" s="147">
        <v>1.01E-2</v>
      </c>
      <c r="E312" s="147">
        <v>-8.6999999999999994E-3</v>
      </c>
      <c r="F312" s="147">
        <v>1.8100000000000002E-2</v>
      </c>
    </row>
    <row r="313" spans="1:6">
      <c r="A313" s="230" t="s">
        <v>961</v>
      </c>
      <c r="B313" s="147">
        <v>2.2400000000000003E-2</v>
      </c>
      <c r="C313" s="147">
        <v>6.8000000000000005E-3</v>
      </c>
      <c r="D313" s="147">
        <v>5.7999999999999996E-3</v>
      </c>
      <c r="E313" s="147">
        <v>5.0000000000000001E-4</v>
      </c>
      <c r="F313" s="147">
        <v>7.1999999999999998E-3</v>
      </c>
    </row>
    <row r="314" spans="1:6">
      <c r="A314" s="230" t="s">
        <v>962</v>
      </c>
      <c r="B314" s="147">
        <v>4.9999999999999996E-2</v>
      </c>
      <c r="C314" s="147">
        <v>-7.8000000000000005E-3</v>
      </c>
      <c r="D314" s="147">
        <v>-1.4199999999999999E-2</v>
      </c>
      <c r="E314" s="147">
        <v>7.0999999999999995E-3</v>
      </c>
      <c r="F314" s="147">
        <v>-5.6999999999999993E-3</v>
      </c>
    </row>
    <row r="315" spans="1:6">
      <c r="A315" s="230" t="s">
        <v>963</v>
      </c>
      <c r="B315" s="147">
        <v>4.1400000000000006E-2</v>
      </c>
      <c r="C315" s="147">
        <v>-1E-4</v>
      </c>
      <c r="D315" s="147">
        <v>-8.8000000000000005E-3</v>
      </c>
      <c r="E315" s="147">
        <v>4.8999999999999998E-3</v>
      </c>
      <c r="F315" s="147">
        <v>-8.0000000000000004E-4</v>
      </c>
    </row>
    <row r="316" spans="1:6">
      <c r="A316" s="230" t="s">
        <v>964</v>
      </c>
      <c r="B316" s="147">
        <v>-6.400000000000002E-3</v>
      </c>
      <c r="C316" s="147">
        <v>-1.0900000000000002E-2</v>
      </c>
      <c r="D316" s="147">
        <v>2.2499999999999999E-2</v>
      </c>
      <c r="E316" s="147">
        <v>2.7000000000000001E-3</v>
      </c>
      <c r="F316" s="147">
        <v>1.5600000000000001E-2</v>
      </c>
    </row>
    <row r="317" spans="1:6">
      <c r="A317" s="230" t="s">
        <v>965</v>
      </c>
      <c r="B317" s="147">
        <v>7.9000000000000015E-2</v>
      </c>
      <c r="C317" s="147">
        <v>-4.1500000000000002E-2</v>
      </c>
      <c r="D317" s="147">
        <v>-2.7900000000000001E-2</v>
      </c>
      <c r="E317" s="147">
        <v>1.9800000000000002E-2</v>
      </c>
      <c r="F317" s="147">
        <v>-5.7999999999999996E-3</v>
      </c>
    </row>
    <row r="318" spans="1:6">
      <c r="A318" s="230" t="s">
        <v>966</v>
      </c>
      <c r="B318" s="147">
        <v>2.18E-2</v>
      </c>
      <c r="C318" s="147">
        <v>4.7999999999999996E-3</v>
      </c>
      <c r="D318" s="147">
        <v>6.0000000000000001E-3</v>
      </c>
      <c r="E318" s="147">
        <v>3.9000000000000003E-3</v>
      </c>
      <c r="F318" s="147">
        <v>-5.7999999999999996E-3</v>
      </c>
    </row>
    <row r="319" spans="1:6">
      <c r="A319" s="230" t="s">
        <v>967</v>
      </c>
      <c r="B319" s="147">
        <v>-1.0999999999999994E-3</v>
      </c>
      <c r="C319" s="147">
        <v>4.8999999999999998E-3</v>
      </c>
      <c r="D319" s="147">
        <v>-1.2700000000000001E-2</v>
      </c>
      <c r="E319" s="147">
        <v>1.3999999999999999E-2</v>
      </c>
      <c r="F319" s="147">
        <v>5.0000000000000001E-3</v>
      </c>
    </row>
    <row r="320" spans="1:6">
      <c r="A320" s="230" t="s">
        <v>968</v>
      </c>
      <c r="B320" s="147">
        <v>-2.9900000000000003E-2</v>
      </c>
      <c r="C320" s="147">
        <v>-3.3000000000000002E-2</v>
      </c>
      <c r="D320" s="147">
        <v>-1.11E-2</v>
      </c>
      <c r="E320" s="147">
        <v>1.1000000000000001E-3</v>
      </c>
      <c r="F320" s="147">
        <v>-4.0000000000000002E-4</v>
      </c>
    </row>
    <row r="321" spans="1:6">
      <c r="A321" s="230" t="s">
        <v>969</v>
      </c>
      <c r="B321" s="147">
        <v>1.72E-2</v>
      </c>
      <c r="C321" s="147">
        <v>-1.29E-2</v>
      </c>
      <c r="D321" s="147">
        <v>-1.0900000000000002E-2</v>
      </c>
      <c r="E321" s="147">
        <v>-8.6E-3</v>
      </c>
      <c r="F321" s="147">
        <v>1.41E-2</v>
      </c>
    </row>
    <row r="322" spans="1:6">
      <c r="A322" s="230" t="s">
        <v>970</v>
      </c>
      <c r="B322" s="147">
        <v>1.77E-2</v>
      </c>
      <c r="C322" s="147">
        <v>-2.2700000000000001E-2</v>
      </c>
      <c r="D322" s="147">
        <v>1.6000000000000001E-3</v>
      </c>
      <c r="E322" s="147">
        <v>-7.000000000000001E-4</v>
      </c>
      <c r="F322" s="147">
        <v>1.4199999999999999E-2</v>
      </c>
    </row>
    <row r="323" spans="1:6">
      <c r="A323" s="230" t="s">
        <v>971</v>
      </c>
      <c r="B323" s="147">
        <v>-7.2800000000000004E-2</v>
      </c>
      <c r="C323" s="147">
        <v>-1.3100000000000001E-2</v>
      </c>
      <c r="D323" s="147">
        <v>8.5000000000000006E-3</v>
      </c>
      <c r="E323" s="147">
        <v>-1.17E-2</v>
      </c>
      <c r="F323" s="147">
        <v>1.3500000000000002E-2</v>
      </c>
    </row>
    <row r="324" spans="1:6">
      <c r="A324" s="230" t="s">
        <v>972</v>
      </c>
      <c r="B324" s="147">
        <v>1.6799999999999999E-2</v>
      </c>
      <c r="C324" s="147">
        <v>1.17E-2</v>
      </c>
      <c r="D324" s="147">
        <v>6.4000000000000003E-3</v>
      </c>
      <c r="E324" s="147">
        <v>-2.9999999999999997E-4</v>
      </c>
      <c r="F324" s="147">
        <v>-6.6000000000000008E-3</v>
      </c>
    </row>
    <row r="325" spans="1:6">
      <c r="A325" s="230" t="s">
        <v>973</v>
      </c>
      <c r="B325" s="147">
        <v>2.47E-2</v>
      </c>
      <c r="C325" s="147">
        <v>1.6200000000000003E-2</v>
      </c>
      <c r="D325" s="147">
        <v>-2.92E-2</v>
      </c>
      <c r="E325" s="147">
        <v>2.0400000000000001E-2</v>
      </c>
      <c r="F325" s="147">
        <v>-1.0200000000000001E-2</v>
      </c>
    </row>
    <row r="326" spans="1:6">
      <c r="A326" s="230" t="s">
        <v>974</v>
      </c>
      <c r="B326" s="147">
        <v>-2.6699999999999998E-2</v>
      </c>
      <c r="C326" s="147">
        <v>-3.3000000000000004E-3</v>
      </c>
      <c r="D326" s="147">
        <v>-2.5899999999999999E-2</v>
      </c>
      <c r="E326" s="147">
        <v>1.78E-2</v>
      </c>
      <c r="F326" s="147">
        <v>-9.7999999999999997E-3</v>
      </c>
    </row>
    <row r="327" spans="1:6">
      <c r="A327" s="230" t="s">
        <v>975</v>
      </c>
      <c r="B327" s="147">
        <v>9.0999999999999998E-2</v>
      </c>
      <c r="C327" s="147">
        <v>-2.35E-2</v>
      </c>
      <c r="D327" s="147">
        <v>-3.8300000000000001E-2</v>
      </c>
      <c r="E327" s="147">
        <v>1.5700000000000002E-2</v>
      </c>
      <c r="F327" s="147">
        <v>-1.6799999999999999E-2</v>
      </c>
    </row>
    <row r="328" spans="1:6">
      <c r="A328" s="230" t="s">
        <v>976</v>
      </c>
      <c r="B328" s="147">
        <v>-4.6000000000000017E-3</v>
      </c>
      <c r="C328" s="147">
        <v>1.3500000000000002E-2</v>
      </c>
      <c r="D328" s="147">
        <v>-1.9300000000000001E-2</v>
      </c>
      <c r="E328" s="147">
        <v>-1.03E-2</v>
      </c>
      <c r="F328" s="147">
        <v>-3.9000000000000003E-3</v>
      </c>
    </row>
    <row r="329" spans="1:6">
      <c r="A329" s="230" t="s">
        <v>977</v>
      </c>
      <c r="B329" s="147">
        <v>-1.2199999999999999E-2</v>
      </c>
      <c r="C329" s="147">
        <v>-3.1600000000000003E-2</v>
      </c>
      <c r="D329" s="147">
        <v>-2.9999999999999997E-4</v>
      </c>
      <c r="E329" s="147">
        <v>-1.8E-3</v>
      </c>
      <c r="F329" s="147">
        <v>3.2100000000000004E-2</v>
      </c>
    </row>
    <row r="330" spans="1:6">
      <c r="A330" s="230" t="s">
        <v>978</v>
      </c>
      <c r="B330" s="147">
        <v>-9.4900000000000012E-2</v>
      </c>
      <c r="C330" s="147">
        <v>-3.8700000000000005E-2</v>
      </c>
      <c r="D330" s="147">
        <v>1.6399999999999998E-2</v>
      </c>
      <c r="E330" s="147">
        <v>-3.4999999999999996E-3</v>
      </c>
      <c r="F330" s="147">
        <v>2.9600000000000001E-2</v>
      </c>
    </row>
    <row r="331" spans="1:6">
      <c r="A331" s="230" t="s">
        <v>979</v>
      </c>
      <c r="B331" s="147">
        <v>-5.5200000000000006E-2</v>
      </c>
      <c r="C331" s="147">
        <v>-3.7400000000000003E-2</v>
      </c>
      <c r="D331" s="147">
        <v>6.4000000000000003E-3</v>
      </c>
      <c r="E331" s="147">
        <v>5.9999999999999995E-4</v>
      </c>
      <c r="F331" s="147">
        <v>3.6700000000000003E-2</v>
      </c>
    </row>
    <row r="332" spans="1:6">
      <c r="A332" s="230" t="s">
        <v>980</v>
      </c>
      <c r="B332" s="147">
        <v>-1.2399999999999998E-2</v>
      </c>
      <c r="C332" s="147">
        <v>-5.1200000000000002E-2</v>
      </c>
      <c r="D332" s="147">
        <v>1E-3</v>
      </c>
      <c r="E332" s="147">
        <v>2.9700000000000004E-2</v>
      </c>
      <c r="F332" s="147">
        <v>-3.0000000000000001E-3</v>
      </c>
    </row>
    <row r="333" spans="1:6">
      <c r="A333" s="230" t="s">
        <v>981</v>
      </c>
      <c r="B333" s="147">
        <v>6.9199999999999998E-2</v>
      </c>
      <c r="C333" s="147">
        <v>7.000000000000001E-4</v>
      </c>
      <c r="D333" s="147">
        <v>-3.1000000000000003E-2</v>
      </c>
      <c r="E333" s="147">
        <v>6.5000000000000006E-3</v>
      </c>
      <c r="F333" s="147">
        <v>-4.7400000000000005E-2</v>
      </c>
    </row>
    <row r="334" spans="1:6">
      <c r="A334" s="230" t="s">
        <v>982</v>
      </c>
      <c r="B334" s="147">
        <v>3.0600000000000002E-2</v>
      </c>
      <c r="C334" s="147">
        <v>6.7000000000000002E-3</v>
      </c>
      <c r="D334" s="147">
        <v>-1.7000000000000001E-2</v>
      </c>
      <c r="E334" s="147">
        <v>2.7300000000000001E-2</v>
      </c>
      <c r="F334" s="147">
        <v>-1.89E-2</v>
      </c>
    </row>
    <row r="335" spans="1:6">
      <c r="A335" s="230" t="s">
        <v>983</v>
      </c>
      <c r="B335" s="147">
        <v>5.2100000000000007E-2</v>
      </c>
      <c r="C335" s="147">
        <v>3.9100000000000003E-2</v>
      </c>
      <c r="D335" s="147">
        <v>-1.6E-2</v>
      </c>
      <c r="E335" s="147">
        <v>1.2800000000000001E-2</v>
      </c>
      <c r="F335" s="147">
        <v>-3.9900000000000005E-2</v>
      </c>
    </row>
    <row r="336" spans="1:6">
      <c r="A336" s="230" t="s">
        <v>984</v>
      </c>
      <c r="B336" s="147">
        <v>7.6700000000000004E-2</v>
      </c>
      <c r="C336" s="147">
        <v>3.9399999999999998E-2</v>
      </c>
      <c r="D336" s="147">
        <v>-5.7999999999999996E-3</v>
      </c>
      <c r="E336" s="147">
        <v>-2E-3</v>
      </c>
      <c r="F336" s="147">
        <v>-3.3000000000000004E-3</v>
      </c>
    </row>
    <row r="337" spans="1:6">
      <c r="A337" s="230" t="s">
        <v>985</v>
      </c>
      <c r="B337" s="147">
        <v>3.09E-2</v>
      </c>
      <c r="C337" s="147">
        <v>3.8300000000000001E-2</v>
      </c>
      <c r="D337" s="147">
        <v>-1.3899999999999999E-2</v>
      </c>
      <c r="E337" s="147">
        <v>-5.3E-3</v>
      </c>
      <c r="F337" s="147">
        <v>-1.06E-2</v>
      </c>
    </row>
    <row r="338" spans="1:6">
      <c r="A338" s="230" t="s">
        <v>986</v>
      </c>
      <c r="B338" s="147">
        <v>2.4999999999999996E-3</v>
      </c>
      <c r="C338" s="147">
        <v>3.0999999999999999E-3</v>
      </c>
      <c r="D338" s="147">
        <v>1.4999999999999999E-2</v>
      </c>
      <c r="E338" s="147">
        <v>6.1999999999999998E-3</v>
      </c>
      <c r="F338" s="147">
        <v>7.4000000000000003E-3</v>
      </c>
    </row>
    <row r="339" spans="1:6">
      <c r="A339" s="230" t="s">
        <v>987</v>
      </c>
      <c r="B339" s="147">
        <v>4.1200000000000001E-2</v>
      </c>
      <c r="C339" s="147">
        <v>1.4000000000000002E-3</v>
      </c>
      <c r="D339" s="147">
        <v>-5.2000000000000006E-3</v>
      </c>
      <c r="E339" s="147">
        <v>0.02</v>
      </c>
      <c r="F339" s="147">
        <v>-2.4300000000000002E-2</v>
      </c>
    </row>
    <row r="340" spans="1:6">
      <c r="A340" s="230" t="s">
        <v>988</v>
      </c>
      <c r="B340" s="147">
        <v>-4.5200000000000004E-2</v>
      </c>
      <c r="C340" s="147">
        <v>2.3999999999999998E-3</v>
      </c>
      <c r="D340" s="147">
        <v>1.15E-2</v>
      </c>
      <c r="E340" s="147">
        <v>1.7899999999999999E-2</v>
      </c>
      <c r="F340" s="147">
        <v>6.5000000000000006E-3</v>
      </c>
    </row>
    <row r="341" spans="1:6">
      <c r="A341" s="230" t="s">
        <v>989</v>
      </c>
      <c r="B341" s="147">
        <v>4.7300000000000002E-2</v>
      </c>
      <c r="C341" s="147">
        <v>-9.5999999999999992E-3</v>
      </c>
      <c r="D341" s="147">
        <v>-1.3200000000000002E-2</v>
      </c>
      <c r="E341" s="147">
        <v>1.6E-2</v>
      </c>
      <c r="F341" s="147">
        <v>-1.3600000000000001E-2</v>
      </c>
    </row>
    <row r="342" spans="1:6">
      <c r="A342" s="230" t="s">
        <v>990</v>
      </c>
      <c r="B342" s="147">
        <v>2.7799999999999998E-2</v>
      </c>
      <c r="C342" s="147">
        <v>1.3999999999999999E-2</v>
      </c>
      <c r="D342" s="147">
        <v>-7.8000000000000005E-3</v>
      </c>
      <c r="E342" s="147">
        <v>8.3999999999999995E-3</v>
      </c>
      <c r="F342" s="147">
        <v>-3.4000000000000002E-3</v>
      </c>
    </row>
    <row r="343" spans="1:6">
      <c r="A343" s="230" t="s">
        <v>991</v>
      </c>
      <c r="B343" s="147">
        <v>-1.1300000000000001E-2</v>
      </c>
      <c r="C343" s="147">
        <v>1.5600000000000001E-2</v>
      </c>
      <c r="D343" s="147">
        <v>-1.0800000000000001E-2</v>
      </c>
      <c r="E343" s="147">
        <v>-1.8200000000000001E-2</v>
      </c>
      <c r="F343" s="147">
        <v>8.0000000000000004E-4</v>
      </c>
    </row>
    <row r="344" spans="1:6">
      <c r="A344" s="230" t="s">
        <v>992</v>
      </c>
      <c r="B344" s="147">
        <v>1.7100000000000001E-2</v>
      </c>
      <c r="C344" s="147">
        <v>9.1000000000000004E-3</v>
      </c>
      <c r="D344" s="147">
        <v>-4.7000000000000002E-3</v>
      </c>
      <c r="E344" s="147">
        <v>-1.7000000000000001E-2</v>
      </c>
      <c r="F344" s="147">
        <v>-2.3E-3</v>
      </c>
    </row>
    <row r="345" spans="1:6">
      <c r="A345" s="230" t="s">
        <v>993</v>
      </c>
      <c r="B345" s="147">
        <v>-3.8000000000000006E-2</v>
      </c>
      <c r="C345" s="147">
        <v>-8.3000000000000001E-3</v>
      </c>
      <c r="D345" s="147">
        <v>-1.89E-2</v>
      </c>
      <c r="E345" s="147">
        <v>1.11E-2</v>
      </c>
      <c r="F345" s="147">
        <v>1E-4</v>
      </c>
    </row>
    <row r="346" spans="1:6">
      <c r="A346" s="230" t="s">
        <v>994</v>
      </c>
      <c r="B346" s="147">
        <v>0.11219999999999999</v>
      </c>
      <c r="C346" s="147">
        <v>-2.4E-2</v>
      </c>
      <c r="D346" s="147">
        <v>-4.1700000000000001E-2</v>
      </c>
      <c r="E346" s="147">
        <v>3.5499999999999997E-2</v>
      </c>
      <c r="F346" s="147">
        <v>-3.1200000000000002E-2</v>
      </c>
    </row>
    <row r="347" spans="1:6">
      <c r="A347" s="230" t="s">
        <v>995</v>
      </c>
      <c r="B347" s="147">
        <v>-2.4999999999999996E-3</v>
      </c>
      <c r="C347" s="147">
        <v>9.1799999999999993E-2</v>
      </c>
      <c r="D347" s="147">
        <v>4.7100000000000003E-2</v>
      </c>
      <c r="E347" s="147">
        <v>-1.3200000000000002E-2</v>
      </c>
      <c r="F347" s="147">
        <v>3.2000000000000001E-2</v>
      </c>
    </row>
    <row r="348" spans="1:6">
      <c r="A348" s="230" t="s">
        <v>996</v>
      </c>
      <c r="B348" s="147">
        <v>1.3700000000000002E-2</v>
      </c>
      <c r="C348" s="147">
        <v>1.3300000000000001E-2</v>
      </c>
      <c r="D348" s="147">
        <v>6.4699999999999994E-2</v>
      </c>
      <c r="E348" s="147">
        <v>8.0000000000000004E-4</v>
      </c>
      <c r="F348" s="147">
        <v>2.1899999999999999E-2</v>
      </c>
    </row>
    <row r="349" spans="1:6">
      <c r="A349" s="230" t="s">
        <v>997</v>
      </c>
      <c r="B349" s="147">
        <v>-2.3200000000000002E-2</v>
      </c>
      <c r="C349" s="147">
        <v>-9.300000000000001E-3</v>
      </c>
      <c r="D349" s="147">
        <v>3.56E-2</v>
      </c>
      <c r="E349" s="147">
        <v>-1E-4</v>
      </c>
      <c r="F349" s="147">
        <v>1.95E-2</v>
      </c>
    </row>
    <row r="350" spans="1:6">
      <c r="A350" s="230" t="s">
        <v>998</v>
      </c>
      <c r="B350" s="147">
        <v>1.3900000000000001E-2</v>
      </c>
      <c r="C350" s="147">
        <v>-5.7000000000000002E-2</v>
      </c>
      <c r="D350" s="147">
        <v>4.3400000000000001E-2</v>
      </c>
      <c r="E350" s="147">
        <v>1.6899999999999998E-2</v>
      </c>
      <c r="F350" s="147">
        <v>2.23E-2</v>
      </c>
    </row>
    <row r="351" spans="1:6">
      <c r="A351" s="230" t="s">
        <v>999</v>
      </c>
      <c r="B351" s="147">
        <v>5.8000000000000005E-3</v>
      </c>
      <c r="C351" s="147">
        <v>2.0999999999999999E-3</v>
      </c>
      <c r="D351" s="147">
        <v>1.1899999999999999E-2</v>
      </c>
      <c r="E351" s="147">
        <v>-9.4999999999999998E-3</v>
      </c>
      <c r="F351" s="147">
        <v>4.7999999999999996E-3</v>
      </c>
    </row>
    <row r="352" spans="1:6">
      <c r="A352" s="230" t="s">
        <v>1000</v>
      </c>
      <c r="B352" s="147">
        <v>-2.0199999999999999E-2</v>
      </c>
      <c r="C352" s="147">
        <v>-2.7300000000000001E-2</v>
      </c>
      <c r="D352" s="147">
        <v>3.2400000000000005E-2</v>
      </c>
      <c r="E352" s="147">
        <v>-5.0000000000000001E-4</v>
      </c>
      <c r="F352" s="147">
        <v>1.01E-2</v>
      </c>
    </row>
    <row r="353" spans="1:6">
      <c r="A353" s="230" t="s">
        <v>1001</v>
      </c>
      <c r="B353" s="147">
        <v>4.0800000000000003E-2</v>
      </c>
      <c r="C353" s="147">
        <v>-6.1999999999999998E-3</v>
      </c>
      <c r="D353" s="147">
        <v>-5.6000000000000008E-3</v>
      </c>
      <c r="E353" s="147">
        <v>1.3000000000000001E-2</v>
      </c>
      <c r="F353" s="147">
        <v>-9.1000000000000004E-3</v>
      </c>
    </row>
    <row r="354" spans="1:6">
      <c r="A354" s="230" t="s">
        <v>1002</v>
      </c>
      <c r="B354" s="147">
        <v>-2.1199999999999997E-2</v>
      </c>
      <c r="C354" s="147">
        <v>-4.1999999999999997E-3</v>
      </c>
      <c r="D354" s="147">
        <v>-1.1000000000000001E-2</v>
      </c>
      <c r="E354" s="147">
        <v>3.7200000000000004E-2</v>
      </c>
      <c r="F354" s="147">
        <v>-1.6500000000000001E-2</v>
      </c>
    </row>
    <row r="355" spans="1:6">
      <c r="A355" s="230" t="s">
        <v>1003</v>
      </c>
      <c r="B355" s="147">
        <v>1.4499999999999999E-2</v>
      </c>
      <c r="C355" s="147">
        <v>4.7999999999999996E-3</v>
      </c>
      <c r="D355" s="147">
        <v>-2.6000000000000003E-3</v>
      </c>
      <c r="E355" s="147">
        <v>1.6399999999999998E-2</v>
      </c>
      <c r="F355" s="147">
        <v>-5.8999999999999999E-3</v>
      </c>
    </row>
    <row r="356" spans="1:6">
      <c r="A356" s="230" t="s">
        <v>1004</v>
      </c>
      <c r="B356" s="147">
        <v>1.2500000000000001E-2</v>
      </c>
      <c r="C356" s="147">
        <v>2.07E-2</v>
      </c>
      <c r="D356" s="147">
        <v>-1.9800000000000002E-2</v>
      </c>
      <c r="E356" s="147">
        <v>1.24E-2</v>
      </c>
      <c r="F356" s="147">
        <v>-7.9000000000000008E-3</v>
      </c>
    </row>
    <row r="357" spans="1:6">
      <c r="A357" s="230" t="s">
        <v>1005</v>
      </c>
      <c r="B357" s="147">
        <v>4.36E-2</v>
      </c>
      <c r="C357" s="147">
        <v>3.9399999999999998E-2</v>
      </c>
      <c r="D357" s="147">
        <v>-1.3500000000000002E-2</v>
      </c>
      <c r="E357" s="147">
        <v>-6.8000000000000005E-3</v>
      </c>
      <c r="F357" s="147">
        <v>-1.5900000000000001E-2</v>
      </c>
    </row>
    <row r="358" spans="1:6">
      <c r="A358" s="230" t="s">
        <v>1006</v>
      </c>
      <c r="B358" s="147">
        <v>1.8100000000000002E-2</v>
      </c>
      <c r="C358" s="147">
        <v>1.6799999999999999E-2</v>
      </c>
      <c r="D358" s="147">
        <v>2.6200000000000001E-2</v>
      </c>
      <c r="E358" s="147">
        <v>-4.7999999999999996E-3</v>
      </c>
      <c r="F358" s="147">
        <v>8.3999999999999995E-3</v>
      </c>
    </row>
    <row r="359" spans="1:6">
      <c r="A359" s="230" t="s">
        <v>1007</v>
      </c>
      <c r="B359" s="147">
        <v>1.1600000000000001E-2</v>
      </c>
      <c r="C359" s="147">
        <v>1.9300000000000001E-2</v>
      </c>
      <c r="D359" s="147">
        <v>5.9400000000000008E-2</v>
      </c>
      <c r="E359" s="147">
        <v>-1.84E-2</v>
      </c>
      <c r="F359" s="147">
        <v>2.9100000000000001E-2</v>
      </c>
    </row>
    <row r="360" spans="1:6">
      <c r="A360" s="230" t="s">
        <v>1008</v>
      </c>
      <c r="B360" s="147">
        <v>3.4000000000000002E-3</v>
      </c>
      <c r="C360" s="147">
        <v>-3.4500000000000003E-2</v>
      </c>
      <c r="D360" s="147">
        <v>6.4200000000000007E-2</v>
      </c>
      <c r="E360" s="147">
        <v>-4.1999999999999997E-3</v>
      </c>
      <c r="F360" s="147">
        <v>4.1299999999999996E-2</v>
      </c>
    </row>
    <row r="361" spans="1:6">
      <c r="A361" s="230" t="s">
        <v>1009</v>
      </c>
      <c r="B361" s="147">
        <v>2.5499999999999998E-2</v>
      </c>
      <c r="C361" s="147">
        <v>8.9999999999999998E-4</v>
      </c>
      <c r="D361" s="147">
        <v>1.18E-2</v>
      </c>
      <c r="E361" s="147">
        <v>-1.5E-3</v>
      </c>
      <c r="F361" s="147">
        <v>9.0000000000000011E-3</v>
      </c>
    </row>
    <row r="362" spans="1:6">
      <c r="A362" s="230" t="s">
        <v>1010</v>
      </c>
      <c r="B362" s="147">
        <v>-2.81E-2</v>
      </c>
      <c r="C362" s="147">
        <v>-8.5000000000000006E-3</v>
      </c>
      <c r="D362" s="147">
        <v>2.4900000000000002E-2</v>
      </c>
      <c r="E362" s="147">
        <v>-3.61E-2</v>
      </c>
      <c r="F362" s="147">
        <v>1.38E-2</v>
      </c>
    </row>
    <row r="363" spans="1:6">
      <c r="A363" s="230" t="s">
        <v>1011</v>
      </c>
      <c r="B363" s="147">
        <v>3.1100000000000003E-2</v>
      </c>
      <c r="C363" s="147">
        <v>1.9E-2</v>
      </c>
      <c r="D363" s="147">
        <v>-3.4200000000000001E-2</v>
      </c>
      <c r="E363" s="147">
        <v>-1.1999999999999999E-3</v>
      </c>
      <c r="F363" s="147">
        <v>-1.0400000000000001E-2</v>
      </c>
    </row>
    <row r="364" spans="1:6">
      <c r="A364" s="230" t="s">
        <v>1012</v>
      </c>
      <c r="B364" s="147">
        <v>5.5999999999999999E-3</v>
      </c>
      <c r="C364" s="147">
        <v>1.3000000000000002E-3</v>
      </c>
      <c r="D364" s="147">
        <v>2.75E-2</v>
      </c>
      <c r="E364" s="147">
        <v>-9.1999999999999998E-3</v>
      </c>
      <c r="F364" s="147">
        <v>1.21E-2</v>
      </c>
    </row>
    <row r="365" spans="1:6">
      <c r="A365" s="230" t="s">
        <v>1013</v>
      </c>
      <c r="B365" s="147">
        <v>-1.0000000000000005E-3</v>
      </c>
      <c r="C365" s="147">
        <v>9.4999999999999998E-3</v>
      </c>
      <c r="D365" s="147">
        <v>2.8500000000000001E-2</v>
      </c>
      <c r="E365" s="147">
        <v>-1.8700000000000001E-2</v>
      </c>
      <c r="F365" s="147">
        <v>2.06E-2</v>
      </c>
    </row>
    <row r="366" spans="1:6">
      <c r="A366" s="230" t="s">
        <v>1014</v>
      </c>
      <c r="B366" s="147">
        <v>3.9600000000000003E-2</v>
      </c>
      <c r="C366" s="147">
        <v>1E-3</v>
      </c>
      <c r="D366" s="147">
        <v>1.3000000000000002E-3</v>
      </c>
      <c r="E366" s="147">
        <v>-1.54E-2</v>
      </c>
      <c r="F366" s="147">
        <v>-4.0000000000000002E-4</v>
      </c>
    </row>
    <row r="367" spans="1:6">
      <c r="A367" s="230" t="s">
        <v>1015</v>
      </c>
      <c r="B367" s="147">
        <v>1.4000000000000004E-3</v>
      </c>
      <c r="C367" s="147">
        <v>2.98E-2</v>
      </c>
      <c r="D367" s="147">
        <v>-3.0999999999999999E-3</v>
      </c>
      <c r="E367" s="147">
        <v>2.3999999999999998E-3</v>
      </c>
      <c r="F367" s="147">
        <v>-1.6000000000000001E-3</v>
      </c>
    </row>
    <row r="368" spans="1:6">
      <c r="A368" s="230" t="s">
        <v>1016</v>
      </c>
      <c r="B368" s="147">
        <v>1.6299999999999999E-2</v>
      </c>
      <c r="C368" s="147">
        <v>1.89E-2</v>
      </c>
      <c r="D368" s="147">
        <v>-2.76E-2</v>
      </c>
      <c r="E368" s="147">
        <v>5.6999999999999993E-3</v>
      </c>
      <c r="F368" s="147">
        <v>6.0000000000000001E-3</v>
      </c>
    </row>
    <row r="369" spans="1:6">
      <c r="A369" s="230" t="s">
        <v>1017</v>
      </c>
      <c r="B369" s="147">
        <v>-1.6400000000000001E-2</v>
      </c>
      <c r="C369" s="147">
        <v>-1.2700000000000001E-2</v>
      </c>
      <c r="D369" s="147">
        <v>-7.4000000000000003E-3</v>
      </c>
      <c r="E369" s="147">
        <v>2.23E-2</v>
      </c>
      <c r="F369" s="147">
        <v>-9.4000000000000004E-3</v>
      </c>
    </row>
    <row r="370" spans="1:6">
      <c r="A370" s="230" t="s">
        <v>1018</v>
      </c>
      <c r="B370" s="147">
        <v>1.8800000000000001E-2</v>
      </c>
      <c r="C370" s="147">
        <v>1.3999999999999999E-2</v>
      </c>
      <c r="D370" s="147">
        <v>3.2000000000000002E-3</v>
      </c>
      <c r="E370" s="147">
        <v>1.1599999999999999E-2</v>
      </c>
      <c r="F370" s="147">
        <v>-3.4000000000000002E-3</v>
      </c>
    </row>
    <row r="371" spans="1:6">
      <c r="A371" s="230" t="s">
        <v>1019</v>
      </c>
      <c r="B371" s="147">
        <v>3.1200000000000002E-2</v>
      </c>
      <c r="C371" s="147">
        <v>-5.9999999999999995E-4</v>
      </c>
      <c r="D371" s="147">
        <v>1.15E-2</v>
      </c>
      <c r="E371" s="147">
        <v>-1.66E-2</v>
      </c>
      <c r="F371" s="147">
        <v>1.43E-2</v>
      </c>
    </row>
    <row r="372" spans="1:6">
      <c r="A372" s="230" t="s">
        <v>1020</v>
      </c>
      <c r="B372" s="147">
        <v>-2.3399999999999997E-2</v>
      </c>
      <c r="C372" s="147">
        <v>2.6700000000000002E-2</v>
      </c>
      <c r="D372" s="147">
        <v>-1.54E-2</v>
      </c>
      <c r="E372" s="147">
        <v>2.1400000000000002E-2</v>
      </c>
      <c r="F372" s="147">
        <v>-0.01</v>
      </c>
    </row>
    <row r="373" spans="1:6">
      <c r="A373" s="230" t="s">
        <v>1021</v>
      </c>
      <c r="B373" s="147">
        <v>-4.5100000000000001E-2</v>
      </c>
      <c r="C373" s="147">
        <v>-1.0400000000000001E-2</v>
      </c>
      <c r="D373" s="147">
        <v>1.6E-2</v>
      </c>
      <c r="E373" s="147">
        <v>6.8999999999999999E-3</v>
      </c>
      <c r="F373" s="147">
        <v>1.2800000000000001E-2</v>
      </c>
    </row>
    <row r="374" spans="1:6">
      <c r="A374" s="230" t="s">
        <v>1022</v>
      </c>
      <c r="B374" s="147">
        <v>9.5000000000000015E-3</v>
      </c>
      <c r="C374" s="147">
        <v>-1.01E-2</v>
      </c>
      <c r="D374" s="147">
        <v>1.66E-2</v>
      </c>
      <c r="E374" s="147">
        <v>1.0700000000000001E-2</v>
      </c>
      <c r="F374" s="147">
        <v>1.11E-2</v>
      </c>
    </row>
    <row r="375" spans="1:6">
      <c r="A375" s="230" t="s">
        <v>1023</v>
      </c>
      <c r="B375" s="147">
        <v>8.8999999999999999E-3</v>
      </c>
      <c r="C375" s="147">
        <v>-2.5600000000000001E-2</v>
      </c>
      <c r="D375" s="147">
        <v>6.7000000000000002E-3</v>
      </c>
      <c r="E375" s="147">
        <v>6.0000000000000001E-3</v>
      </c>
      <c r="F375" s="147">
        <v>6.8000000000000005E-3</v>
      </c>
    </row>
    <row r="376" spans="1:6">
      <c r="A376" s="230" t="s">
        <v>1024</v>
      </c>
      <c r="B376" s="147">
        <v>-2.7199999999999998E-2</v>
      </c>
      <c r="C376" s="147">
        <v>-5.0000000000000001E-3</v>
      </c>
      <c r="D376" s="147">
        <v>1.67E-2</v>
      </c>
      <c r="E376" s="147">
        <v>1.21E-2</v>
      </c>
      <c r="F376" s="147">
        <v>1.47E-2</v>
      </c>
    </row>
    <row r="377" spans="1:6">
      <c r="A377" s="230" t="s">
        <v>1025</v>
      </c>
      <c r="B377" s="147">
        <v>3.1E-2</v>
      </c>
      <c r="C377" s="147">
        <v>-1.8500000000000003E-2</v>
      </c>
      <c r="D377" s="147">
        <v>5.7999999999999996E-3</v>
      </c>
      <c r="E377" s="147">
        <v>-6.5000000000000006E-3</v>
      </c>
      <c r="F377" s="147">
        <v>1.4000000000000002E-3</v>
      </c>
    </row>
    <row r="378" spans="1:6">
      <c r="A378" s="230" t="s">
        <v>1026</v>
      </c>
      <c r="B378" s="147">
        <v>4.3799999999999999E-2</v>
      </c>
      <c r="C378" s="147">
        <v>1.3700000000000002E-2</v>
      </c>
      <c r="D378" s="147">
        <v>-2.5099999999999997E-2</v>
      </c>
      <c r="E378" s="147">
        <v>9.4999999999999998E-3</v>
      </c>
      <c r="F378" s="147">
        <v>-1.47E-2</v>
      </c>
    </row>
    <row r="379" spans="1:6">
      <c r="A379" s="230" t="s">
        <v>1027</v>
      </c>
      <c r="B379" s="147">
        <v>-1.9400000000000001E-2</v>
      </c>
      <c r="C379" s="147">
        <v>2.7999999999999997E-2</v>
      </c>
      <c r="D379" s="147">
        <v>-1.89E-2</v>
      </c>
      <c r="E379" s="147">
        <v>5.2000000000000006E-3</v>
      </c>
      <c r="F379" s="147">
        <v>9.300000000000001E-3</v>
      </c>
    </row>
    <row r="380" spans="1:6">
      <c r="A380" s="230" t="s">
        <v>1028</v>
      </c>
      <c r="B380" s="147">
        <v>1.72E-2</v>
      </c>
      <c r="C380" s="147">
        <v>-2.3E-2</v>
      </c>
      <c r="D380" s="147">
        <v>-1.6200000000000003E-2</v>
      </c>
      <c r="E380" s="147">
        <v>2.3E-3</v>
      </c>
      <c r="F380" s="147">
        <v>-6.8000000000000005E-3</v>
      </c>
    </row>
    <row r="381" spans="1:6">
      <c r="A381" s="230" t="s">
        <v>1029</v>
      </c>
      <c r="B381" s="147">
        <v>-3.6699999999999997E-2</v>
      </c>
      <c r="C381" s="147">
        <v>7.000000000000001E-4</v>
      </c>
      <c r="D381" s="147">
        <v>-6.9999999999999993E-3</v>
      </c>
      <c r="E381" s="147">
        <v>4.1999999999999997E-3</v>
      </c>
      <c r="F381" s="147">
        <v>-5.0000000000000001E-3</v>
      </c>
    </row>
    <row r="382" spans="1:6">
      <c r="A382" s="230" t="s">
        <v>1030</v>
      </c>
      <c r="B382" s="147">
        <v>1.3000000000000001E-2</v>
      </c>
      <c r="C382" s="147">
        <v>0</v>
      </c>
      <c r="D382" s="147">
        <v>-1.3000000000000002E-3</v>
      </c>
      <c r="E382" s="147">
        <v>3.7000000000000002E-3</v>
      </c>
      <c r="F382" s="147">
        <v>3.8E-3</v>
      </c>
    </row>
    <row r="383" spans="1:6">
      <c r="A383" s="230" t="s">
        <v>1031</v>
      </c>
      <c r="B383" s="147">
        <v>2.2200000000000001E-2</v>
      </c>
      <c r="C383" s="147">
        <v>-3.0600000000000002E-2</v>
      </c>
      <c r="D383" s="147">
        <v>2.5700000000000001E-2</v>
      </c>
      <c r="E383" s="147">
        <v>1.7000000000000001E-3</v>
      </c>
      <c r="F383" s="147">
        <v>-7.4999999999999997E-3</v>
      </c>
    </row>
    <row r="384" spans="1:6">
      <c r="A384" s="230" t="s">
        <v>1032</v>
      </c>
      <c r="B384" s="147">
        <v>4.0300000000000002E-2</v>
      </c>
      <c r="C384" s="147">
        <v>-5.4000000000000003E-3</v>
      </c>
      <c r="D384" s="147">
        <v>1.0800000000000001E-2</v>
      </c>
      <c r="E384" s="147">
        <v>5.8999999999999999E-3</v>
      </c>
      <c r="F384" s="147">
        <v>-3.3000000000000004E-3</v>
      </c>
    </row>
    <row r="385" spans="1:6">
      <c r="A385" s="230" t="s">
        <v>1033</v>
      </c>
      <c r="B385" s="147">
        <v>2.6499999999999999E-2</v>
      </c>
      <c r="C385" s="147">
        <v>-5.1000000000000004E-3</v>
      </c>
      <c r="D385" s="147">
        <v>-2.1499999999999998E-2</v>
      </c>
      <c r="E385" s="147">
        <v>-1.7000000000000001E-3</v>
      </c>
      <c r="F385" s="147">
        <v>2.2000000000000001E-3</v>
      </c>
    </row>
    <row r="386" spans="1:6">
      <c r="A386" s="230" t="s">
        <v>1034</v>
      </c>
      <c r="B386" s="147">
        <v>2.5500000000000002E-2</v>
      </c>
      <c r="C386" s="147">
        <v>-2.2000000000000001E-3</v>
      </c>
      <c r="D386" s="147">
        <v>1.7100000000000001E-2</v>
      </c>
      <c r="E386" s="147">
        <v>4.0999999999999995E-3</v>
      </c>
      <c r="F386" s="147">
        <v>9.0000000000000011E-3</v>
      </c>
    </row>
    <row r="387" spans="1:6">
      <c r="A387" s="230" t="s">
        <v>1035</v>
      </c>
      <c r="B387" s="147">
        <v>3.44E-2</v>
      </c>
      <c r="C387" s="147">
        <v>-2.1899999999999999E-2</v>
      </c>
      <c r="D387" s="147">
        <v>2.29E-2</v>
      </c>
      <c r="E387" s="147">
        <v>3.9000000000000003E-3</v>
      </c>
      <c r="F387" s="147">
        <v>4.0000000000000002E-4</v>
      </c>
    </row>
    <row r="388" spans="1:6">
      <c r="A388" s="230" t="s">
        <v>1036</v>
      </c>
      <c r="B388" s="147">
        <v>3.1900000000000005E-2</v>
      </c>
      <c r="C388" s="147">
        <v>3.0600000000000002E-2</v>
      </c>
      <c r="D388" s="147">
        <v>-2.5400000000000002E-2</v>
      </c>
      <c r="E388" s="147">
        <v>-3.3000000000000004E-3</v>
      </c>
      <c r="F388" s="147">
        <v>-2.4400000000000002E-2</v>
      </c>
    </row>
    <row r="389" spans="1:6">
      <c r="A389" s="230" t="s">
        <v>1037</v>
      </c>
      <c r="B389" s="147">
        <v>4.1700000000000001E-2</v>
      </c>
      <c r="C389" s="147">
        <v>2.0899999999999998E-2</v>
      </c>
      <c r="D389" s="147">
        <v>-1.6200000000000003E-2</v>
      </c>
      <c r="E389" s="147">
        <v>3.0000000000000001E-3</v>
      </c>
      <c r="F389" s="147">
        <v>-1.6500000000000001E-2</v>
      </c>
    </row>
    <row r="390" spans="1:6">
      <c r="A390" s="230" t="s">
        <v>1038</v>
      </c>
      <c r="B390" s="147">
        <v>1.0200000000000001E-2</v>
      </c>
      <c r="C390" s="147">
        <v>1.7500000000000002E-2</v>
      </c>
      <c r="D390" s="147">
        <v>2.7900000000000001E-2</v>
      </c>
      <c r="E390" s="147">
        <v>-1.24E-2</v>
      </c>
      <c r="F390" s="147">
        <v>1.6200000000000003E-2</v>
      </c>
    </row>
    <row r="391" spans="1:6">
      <c r="A391" s="230" t="s">
        <v>1039</v>
      </c>
      <c r="B391" s="147">
        <v>3.78E-2</v>
      </c>
      <c r="C391" s="147">
        <v>-1.8800000000000001E-2</v>
      </c>
      <c r="D391" s="147">
        <v>-4.0000000000000002E-4</v>
      </c>
      <c r="E391" s="147">
        <v>1.03E-2</v>
      </c>
      <c r="F391" s="147">
        <v>3.5999999999999999E-3</v>
      </c>
    </row>
    <row r="392" spans="1:6">
      <c r="A392" s="230" t="s">
        <v>1040</v>
      </c>
      <c r="B392" s="147">
        <v>-1.0499999999999999E-2</v>
      </c>
      <c r="C392" s="147">
        <v>-4.0399999999999998E-2</v>
      </c>
      <c r="D392" s="147">
        <v>-5.0000000000000001E-3</v>
      </c>
      <c r="E392" s="147">
        <v>1.9099999999999999E-2</v>
      </c>
      <c r="F392" s="147">
        <v>-5.0000000000000001E-4</v>
      </c>
    </row>
    <row r="393" spans="1:6">
      <c r="A393" s="230" t="s">
        <v>1041</v>
      </c>
      <c r="B393" s="147">
        <v>4.3800000000000006E-2</v>
      </c>
      <c r="C393" s="147">
        <v>-1.0700000000000001E-2</v>
      </c>
      <c r="D393" s="147">
        <v>5.1000000000000004E-3</v>
      </c>
      <c r="E393" s="147">
        <v>-6.1999999999999998E-3</v>
      </c>
      <c r="F393" s="147">
        <v>1.1200000000000002E-2</v>
      </c>
    </row>
    <row r="394" spans="1:6">
      <c r="A394" s="230" t="s">
        <v>1042</v>
      </c>
      <c r="B394" s="147">
        <v>1.52E-2</v>
      </c>
      <c r="C394" s="147">
        <v>7.1999999999999998E-3</v>
      </c>
      <c r="D394" s="147">
        <v>2.2000000000000001E-3</v>
      </c>
      <c r="E394" s="147">
        <v>-1.3700000000000002E-2</v>
      </c>
      <c r="F394" s="147">
        <v>3.1000000000000003E-2</v>
      </c>
    </row>
    <row r="395" spans="1:6">
      <c r="A395" s="230" t="s">
        <v>1043</v>
      </c>
      <c r="B395" s="147">
        <v>2.69E-2</v>
      </c>
      <c r="C395" s="147">
        <v>-2.5600000000000001E-2</v>
      </c>
      <c r="D395" s="147">
        <v>3.8E-3</v>
      </c>
      <c r="E395" s="147">
        <v>1.8E-3</v>
      </c>
      <c r="F395" s="147">
        <v>2.3100000000000002E-2</v>
      </c>
    </row>
    <row r="396" spans="1:6">
      <c r="A396" s="230" t="s">
        <v>1044</v>
      </c>
      <c r="B396" s="147">
        <v>1.72E-2</v>
      </c>
      <c r="C396" s="147">
        <v>1.77E-2</v>
      </c>
      <c r="D396" s="147">
        <v>-1.0800000000000001E-2</v>
      </c>
      <c r="E396" s="147">
        <v>2.3999999999999998E-3</v>
      </c>
      <c r="F396" s="147">
        <v>-1.9E-2</v>
      </c>
    </row>
    <row r="397" spans="1:6">
      <c r="A397" s="230" t="s">
        <v>1045</v>
      </c>
      <c r="B397" s="147">
        <v>1.12E-2</v>
      </c>
      <c r="C397" s="147">
        <v>1.61E-2</v>
      </c>
      <c r="D397" s="147">
        <v>3.4999999999999996E-3</v>
      </c>
      <c r="E397" s="147">
        <v>1.4199999999999999E-2</v>
      </c>
      <c r="F397" s="147">
        <v>-9.4999999999999998E-3</v>
      </c>
    </row>
    <row r="398" spans="1:6">
      <c r="A398" s="230" t="s">
        <v>1046</v>
      </c>
      <c r="B398" s="147">
        <v>2.52E-2</v>
      </c>
      <c r="C398" s="147">
        <v>4.7100000000000003E-2</v>
      </c>
      <c r="D398" s="147">
        <v>-4.02E-2</v>
      </c>
      <c r="E398" s="147">
        <v>-1.4000000000000002E-3</v>
      </c>
      <c r="F398" s="147">
        <v>-2.1100000000000001E-2</v>
      </c>
    </row>
    <row r="399" spans="1:6">
      <c r="A399" s="230" t="s">
        <v>1047</v>
      </c>
      <c r="B399" s="147">
        <v>2.7799999999999998E-2</v>
      </c>
      <c r="C399" s="147">
        <v>3.2100000000000004E-2</v>
      </c>
      <c r="D399" s="147">
        <v>-8.3000000000000001E-3</v>
      </c>
      <c r="E399" s="147">
        <v>1.1999999999999999E-3</v>
      </c>
      <c r="F399" s="147">
        <v>-3.0000000000000001E-3</v>
      </c>
    </row>
    <row r="400" spans="1:6">
      <c r="A400" s="230" t="s">
        <v>1048</v>
      </c>
      <c r="B400" s="147">
        <v>-7.3999999999999986E-3</v>
      </c>
      <c r="C400" s="147">
        <v>-3.6499999999999998E-2</v>
      </c>
      <c r="D400" s="147">
        <v>2.35E-2</v>
      </c>
      <c r="E400" s="147">
        <v>3.5099999999999999E-2</v>
      </c>
      <c r="F400" s="147">
        <v>1.2200000000000001E-2</v>
      </c>
    </row>
    <row r="401" spans="1:6">
      <c r="A401" s="230" t="s">
        <v>1049</v>
      </c>
      <c r="B401" s="147">
        <v>-5.5199999999999999E-2</v>
      </c>
      <c r="C401" s="147">
        <v>-3.8100000000000002E-2</v>
      </c>
      <c r="D401" s="147">
        <v>5.1400000000000001E-2</v>
      </c>
      <c r="E401" s="147">
        <v>2.9500000000000002E-2</v>
      </c>
      <c r="F401" s="147">
        <v>2.6000000000000002E-2</v>
      </c>
    </row>
    <row r="402" spans="1:6">
      <c r="A402" s="230" t="s">
        <v>1050</v>
      </c>
      <c r="B402" s="147">
        <v>3.1800000000000002E-2</v>
      </c>
      <c r="C402" s="147">
        <v>2.5700000000000001E-2</v>
      </c>
      <c r="D402" s="147">
        <v>-7.4000000000000003E-3</v>
      </c>
      <c r="E402" s="147">
        <v>-3.7000000000000002E-3</v>
      </c>
      <c r="F402" s="147">
        <v>-2.4199999999999999E-2</v>
      </c>
    </row>
    <row r="403" spans="1:6">
      <c r="A403" s="230" t="s">
        <v>1051</v>
      </c>
      <c r="B403" s="147">
        <v>5.45E-2</v>
      </c>
      <c r="C403" s="147">
        <v>-1.3899999999999999E-2</v>
      </c>
      <c r="D403" s="147">
        <v>-2.7200000000000002E-2</v>
      </c>
      <c r="E403" s="147">
        <v>1.2700000000000001E-2</v>
      </c>
      <c r="F403" s="147">
        <v>-2.2200000000000001E-2</v>
      </c>
    </row>
    <row r="404" spans="1:6">
      <c r="A404" s="230" t="s">
        <v>1052</v>
      </c>
      <c r="B404" s="147">
        <v>1.2799999999999999E-2</v>
      </c>
      <c r="C404" s="147">
        <v>-3.7700000000000004E-2</v>
      </c>
      <c r="D404" s="147">
        <v>4.9400000000000006E-2</v>
      </c>
      <c r="E404" s="147">
        <v>1.3999999999999999E-2</v>
      </c>
      <c r="F404" s="147">
        <v>3.2500000000000001E-2</v>
      </c>
    </row>
    <row r="405" spans="1:6">
      <c r="A405" s="230" t="s">
        <v>1053</v>
      </c>
      <c r="B405" s="147">
        <v>6.6599999999999993E-2</v>
      </c>
      <c r="C405" s="147">
        <v>-3.7999999999999999E-2</v>
      </c>
      <c r="D405" s="147">
        <v>1.3899999999999999E-2</v>
      </c>
      <c r="E405" s="147">
        <v>2.12E-2</v>
      </c>
      <c r="F405" s="147">
        <v>-7.9000000000000008E-3</v>
      </c>
    </row>
    <row r="406" spans="1:6">
      <c r="A406" s="230" t="s">
        <v>1054</v>
      </c>
      <c r="B406" s="147">
        <v>-1.2400000000000001E-2</v>
      </c>
      <c r="C406" s="147">
        <v>3.2500000000000001E-2</v>
      </c>
      <c r="D406" s="147">
        <v>1.3100000000000001E-2</v>
      </c>
      <c r="E406" s="147">
        <v>3.7000000000000002E-3</v>
      </c>
      <c r="F406" s="147">
        <v>1.49E-2</v>
      </c>
    </row>
    <row r="407" spans="1:6">
      <c r="A407" s="230" t="s">
        <v>1055</v>
      </c>
      <c r="B407" s="147">
        <v>5.4400000000000004E-2</v>
      </c>
      <c r="C407" s="147">
        <v>-1.8200000000000001E-2</v>
      </c>
      <c r="D407" s="147">
        <v>-1.4199999999999999E-2</v>
      </c>
      <c r="E407" s="147">
        <v>1.1899999999999999E-2</v>
      </c>
      <c r="F407" s="147">
        <v>-2.0000000000000001E-4</v>
      </c>
    </row>
    <row r="408" spans="1:6">
      <c r="A408" s="230" t="s">
        <v>1056</v>
      </c>
      <c r="B408" s="147">
        <v>-9.9999999999999959E-4</v>
      </c>
      <c r="C408" s="147">
        <v>-2.5899999999999999E-2</v>
      </c>
      <c r="D408" s="147">
        <v>5.67E-2</v>
      </c>
      <c r="E408" s="147">
        <v>6.7000000000000002E-3</v>
      </c>
      <c r="F408" s="147">
        <v>3.4700000000000002E-2</v>
      </c>
    </row>
    <row r="409" spans="1:6">
      <c r="A409" s="230" t="s">
        <v>1057</v>
      </c>
      <c r="B409" s="147">
        <v>-4.6000000000000006E-2</v>
      </c>
      <c r="C409" s="147">
        <v>-4.3E-3</v>
      </c>
      <c r="D409" s="147">
        <v>3.39E-2</v>
      </c>
      <c r="E409" s="147">
        <v>5.0000000000000001E-3</v>
      </c>
      <c r="F409" s="147">
        <v>1.66E-2</v>
      </c>
    </row>
    <row r="410" spans="1:6">
      <c r="A410" s="230" t="s">
        <v>1058</v>
      </c>
      <c r="B410" s="147">
        <v>4.4699999999999997E-2</v>
      </c>
      <c r="C410" s="147">
        <v>-5.7000000000000002E-2</v>
      </c>
      <c r="D410" s="147">
        <v>7.000000000000001E-4</v>
      </c>
      <c r="E410" s="147">
        <v>3.2599999999999997E-2</v>
      </c>
      <c r="F410" s="147">
        <v>-7.1999999999999998E-3</v>
      </c>
    </row>
    <row r="411" spans="1:6">
      <c r="A411" s="230" t="s">
        <v>1059</v>
      </c>
      <c r="B411" s="147">
        <v>7.2300000000000003E-2</v>
      </c>
      <c r="C411" s="147">
        <v>4.7500000000000001E-2</v>
      </c>
      <c r="D411" s="147">
        <v>-4.1299999999999996E-2</v>
      </c>
      <c r="E411" s="147">
        <v>-1.0200000000000001E-2</v>
      </c>
      <c r="F411" s="147">
        <v>-2.9600000000000001E-2</v>
      </c>
    </row>
    <row r="412" spans="1:6">
      <c r="A412" s="230" t="s">
        <v>1060</v>
      </c>
      <c r="B412" s="147">
        <v>4.4699999999999997E-2</v>
      </c>
      <c r="C412" s="147">
        <v>1.1899999999999999E-2</v>
      </c>
      <c r="D412" s="147">
        <v>1.5800000000000002E-2</v>
      </c>
      <c r="E412" s="147">
        <v>5.6000000000000008E-3</v>
      </c>
      <c r="F412" s="147">
        <v>6.6000000000000008E-3</v>
      </c>
    </row>
    <row r="413" spans="1:6">
      <c r="A413" s="230" t="s">
        <v>1061</v>
      </c>
      <c r="B413" s="147">
        <v>7.7600000000000002E-2</v>
      </c>
      <c r="C413" s="147">
        <v>-2.76E-2</v>
      </c>
      <c r="D413" s="147">
        <v>2.6000000000000003E-3</v>
      </c>
      <c r="E413" s="147">
        <v>7.000000000000001E-4</v>
      </c>
      <c r="F413" s="147">
        <v>-2.58E-2</v>
      </c>
    </row>
    <row r="414" spans="1:6">
      <c r="A414" s="230" t="s">
        <v>1062</v>
      </c>
      <c r="B414" s="147">
        <v>-3.7400000000000003E-2</v>
      </c>
      <c r="C414" s="147">
        <v>7.6100000000000001E-2</v>
      </c>
      <c r="D414" s="147">
        <v>1.18E-2</v>
      </c>
      <c r="E414" s="147">
        <v>-1.11E-2</v>
      </c>
      <c r="F414" s="147">
        <v>-4.0000000000000002E-4</v>
      </c>
    </row>
    <row r="415" spans="1:6">
      <c r="A415" s="230" t="s">
        <v>1063</v>
      </c>
      <c r="B415" s="147">
        <v>5.79E-2</v>
      </c>
      <c r="C415" s="147">
        <v>2.4900000000000002E-2</v>
      </c>
      <c r="D415" s="147">
        <v>3.7000000000000002E-3</v>
      </c>
      <c r="E415" s="147">
        <v>-1.6299999999999999E-2</v>
      </c>
      <c r="F415" s="147">
        <v>-9.1000000000000004E-3</v>
      </c>
    </row>
    <row r="416" spans="1:6">
      <c r="A416" s="230" t="s">
        <v>1064</v>
      </c>
      <c r="B416" s="147">
        <v>-3.3799999999999997E-2</v>
      </c>
      <c r="C416" s="147">
        <v>-5.2000000000000006E-3</v>
      </c>
      <c r="D416" s="147">
        <v>2.2700000000000001E-2</v>
      </c>
      <c r="E416" s="147">
        <v>0.01</v>
      </c>
      <c r="F416" s="147">
        <v>1.9400000000000001E-2</v>
      </c>
    </row>
    <row r="417" spans="1:6">
      <c r="A417" s="230" t="s">
        <v>1065</v>
      </c>
      <c r="B417" s="147">
        <v>3.3700000000000001E-2</v>
      </c>
      <c r="C417" s="147">
        <v>-5.1100000000000007E-2</v>
      </c>
      <c r="D417" s="147">
        <v>1.2E-2</v>
      </c>
      <c r="E417" s="147">
        <v>2.81E-2</v>
      </c>
      <c r="F417" s="147">
        <v>1.84E-2</v>
      </c>
    </row>
    <row r="418" spans="1:6">
      <c r="A418" s="230" t="s">
        <v>1066</v>
      </c>
      <c r="B418" s="147">
        <v>1.8000000000000002E-2</v>
      </c>
      <c r="C418" s="147">
        <v>-2.0299999999999999E-2</v>
      </c>
      <c r="D418" s="147">
        <v>3.8399999999999997E-2</v>
      </c>
      <c r="E418" s="147">
        <v>7.4000000000000003E-3</v>
      </c>
      <c r="F418" s="147">
        <v>1.9199999999999998E-2</v>
      </c>
    </row>
    <row r="419" spans="1:6">
      <c r="A419" s="230" t="s">
        <v>1067</v>
      </c>
      <c r="B419" s="147">
        <v>5.7999999999999996E-3</v>
      </c>
      <c r="C419" s="147">
        <v>-1.3600000000000001E-2</v>
      </c>
      <c r="D419" s="147">
        <v>-1.6299999999999999E-2</v>
      </c>
      <c r="E419" s="147">
        <v>8.6999999999999994E-3</v>
      </c>
      <c r="F419" s="147">
        <v>-7.3000000000000001E-3</v>
      </c>
    </row>
    <row r="420" spans="1:6">
      <c r="A420" s="230" t="s">
        <v>1068</v>
      </c>
      <c r="B420" s="147">
        <v>7.4300000000000005E-2</v>
      </c>
      <c r="C420" s="147">
        <v>2E-3</v>
      </c>
      <c r="D420" s="147">
        <v>-8.5000000000000006E-3</v>
      </c>
      <c r="E420" s="147">
        <v>-3.0999999999999999E-3</v>
      </c>
      <c r="F420" s="147">
        <v>-2.5400000000000002E-2</v>
      </c>
    </row>
    <row r="421" spans="1:6">
      <c r="A421" s="230" t="s">
        <v>1069</v>
      </c>
      <c r="B421" s="147">
        <v>5.1499999999999997E-2</v>
      </c>
      <c r="C421" s="147">
        <v>-6.5000000000000006E-3</v>
      </c>
      <c r="D421" s="147">
        <v>1.3899999999999999E-2</v>
      </c>
      <c r="E421" s="147">
        <v>-2.6000000000000003E-3</v>
      </c>
      <c r="F421" s="147">
        <v>-3.7000000000000002E-3</v>
      </c>
    </row>
    <row r="422" spans="1:6">
      <c r="A422" s="230" t="s">
        <v>1070</v>
      </c>
      <c r="B422" s="147">
        <v>1.1599999999999999E-2</v>
      </c>
      <c r="C422" s="147">
        <v>0</v>
      </c>
      <c r="D422" s="147">
        <v>9.4000000000000004E-3</v>
      </c>
      <c r="E422" s="147">
        <v>-1.6899999999999998E-2</v>
      </c>
      <c r="F422" s="147">
        <v>-3.5999999999999999E-3</v>
      </c>
    </row>
    <row r="423" spans="1:6">
      <c r="A423" s="230" t="s">
        <v>1071</v>
      </c>
      <c r="B423" s="147">
        <v>-2.6699999999999998E-2</v>
      </c>
      <c r="C423" s="147">
        <v>-2.9500000000000002E-2</v>
      </c>
      <c r="D423" s="147">
        <v>3.44E-2</v>
      </c>
      <c r="E423" s="147">
        <v>1.1000000000000001E-2</v>
      </c>
      <c r="F423" s="147">
        <v>2.6099999999999998E-2</v>
      </c>
    </row>
    <row r="424" spans="1:6">
      <c r="A424" s="230" t="s">
        <v>1072</v>
      </c>
      <c r="B424" s="147">
        <v>3.5900000000000001E-2</v>
      </c>
      <c r="C424" s="147">
        <v>-3.6600000000000001E-2</v>
      </c>
      <c r="D424" s="147">
        <v>-1.9599999999999999E-2</v>
      </c>
      <c r="E424" s="147">
        <v>-2.6000000000000003E-3</v>
      </c>
      <c r="F424" s="147">
        <v>-2.9700000000000004E-2</v>
      </c>
    </row>
    <row r="425" spans="1:6">
      <c r="A425" s="230" t="s">
        <v>1073</v>
      </c>
      <c r="B425" s="147">
        <v>-2.06E-2</v>
      </c>
      <c r="C425" s="147">
        <v>-5.2699999999999997E-2</v>
      </c>
      <c r="D425" s="147">
        <v>-1.78E-2</v>
      </c>
      <c r="E425" s="147">
        <v>1.7399999999999999E-2</v>
      </c>
      <c r="F425" s="147">
        <v>4.5000000000000005E-3</v>
      </c>
    </row>
    <row r="426" spans="1:6">
      <c r="A426" s="230" t="s">
        <v>1074</v>
      </c>
      <c r="B426" s="147">
        <v>-0.1565</v>
      </c>
      <c r="C426" s="147">
        <v>-5.1700000000000003E-2</v>
      </c>
      <c r="D426" s="147">
        <v>3.5299999999999998E-2</v>
      </c>
      <c r="E426" s="147">
        <v>3.3700000000000001E-2</v>
      </c>
      <c r="F426" s="147">
        <v>5.91E-2</v>
      </c>
    </row>
    <row r="427" spans="1:6">
      <c r="A427" s="230" t="s">
        <v>1075</v>
      </c>
      <c r="B427" s="147">
        <v>6.6100000000000006E-2</v>
      </c>
      <c r="C427" s="147">
        <v>-7.8000000000000005E-3</v>
      </c>
      <c r="D427" s="147">
        <v>-3.4200000000000001E-2</v>
      </c>
      <c r="E427" s="147">
        <v>-1.8800000000000001E-2</v>
      </c>
      <c r="F427" s="147">
        <v>-2.9900000000000003E-2</v>
      </c>
    </row>
    <row r="428" spans="1:6">
      <c r="A428" s="230" t="s">
        <v>1076</v>
      </c>
      <c r="B428" s="147">
        <v>7.4499999999999997E-2</v>
      </c>
      <c r="C428" s="147">
        <v>-3.4300000000000004E-2</v>
      </c>
      <c r="D428" s="147">
        <v>-2.23E-2</v>
      </c>
      <c r="E428" s="147">
        <v>9.300000000000001E-3</v>
      </c>
      <c r="F428" s="147">
        <v>3.0999999999999999E-3</v>
      </c>
    </row>
    <row r="429" spans="1:6">
      <c r="A429" s="230" t="s">
        <v>1077</v>
      </c>
      <c r="B429" s="147">
        <v>6.4100000000000004E-2</v>
      </c>
      <c r="C429" s="147">
        <v>7.4999999999999997E-3</v>
      </c>
      <c r="D429" s="147">
        <v>-3.2500000000000001E-2</v>
      </c>
      <c r="E429" s="147">
        <v>-8.6E-3</v>
      </c>
      <c r="F429" s="147">
        <v>-1.18E-2</v>
      </c>
    </row>
    <row r="430" spans="1:6">
      <c r="A430" s="230" t="s">
        <v>1078</v>
      </c>
      <c r="B430" s="147">
        <v>6.54E-2</v>
      </c>
      <c r="C430" s="147">
        <v>-1.5600000000000001E-2</v>
      </c>
      <c r="D430" s="147">
        <v>-4.1900000000000007E-2</v>
      </c>
      <c r="E430" s="147">
        <v>-7.6E-3</v>
      </c>
      <c r="F430" s="147">
        <v>-3.39E-2</v>
      </c>
    </row>
    <row r="431" spans="1:6">
      <c r="A431" s="230" t="s">
        <v>1079</v>
      </c>
      <c r="B431" s="147">
        <v>3.8500000000000006E-2</v>
      </c>
      <c r="C431" s="147">
        <v>-7.4999999999999997E-3</v>
      </c>
      <c r="D431" s="147">
        <v>-4.5999999999999999E-2</v>
      </c>
      <c r="E431" s="147">
        <v>-2.7700000000000002E-2</v>
      </c>
      <c r="F431" s="147">
        <v>-6.8000000000000005E-2</v>
      </c>
    </row>
    <row r="432" spans="1:6">
      <c r="A432" s="230" t="s">
        <v>1080</v>
      </c>
      <c r="B432" s="147">
        <v>-3.73E-2</v>
      </c>
      <c r="C432" s="147">
        <v>-5.2199999999999996E-2</v>
      </c>
      <c r="D432" s="147">
        <v>1.9199999999999998E-2</v>
      </c>
      <c r="E432" s="147">
        <v>-1.23E-2</v>
      </c>
      <c r="F432" s="147">
        <v>4.0999999999999995E-2</v>
      </c>
    </row>
    <row r="433" spans="1:6">
      <c r="A433" s="230" t="s">
        <v>1081</v>
      </c>
      <c r="B433" s="147">
        <v>3.8800000000000001E-2</v>
      </c>
      <c r="C433" s="147">
        <v>-4.2300000000000004E-2</v>
      </c>
      <c r="D433" s="147">
        <v>-2.7400000000000004E-2</v>
      </c>
      <c r="E433" s="147">
        <v>-4.0700000000000007E-2</v>
      </c>
      <c r="F433" s="147">
        <v>-1.4199999999999999E-2</v>
      </c>
    </row>
    <row r="434" spans="1:6">
      <c r="A434" s="230" t="s">
        <v>1082</v>
      </c>
      <c r="B434" s="147">
        <v>4.7E-2</v>
      </c>
      <c r="C434" s="147">
        <v>4.5199999999999997E-2</v>
      </c>
      <c r="D434" s="147">
        <v>2.46E-2</v>
      </c>
      <c r="E434" s="147">
        <v>-2.53E-2</v>
      </c>
      <c r="F434" s="147">
        <v>8.8999999999999999E-3</v>
      </c>
    </row>
    <row r="435" spans="1:6">
      <c r="A435" s="230" t="s">
        <v>1083</v>
      </c>
      <c r="B435" s="147">
        <v>-2.12E-2</v>
      </c>
      <c r="C435" s="147">
        <v>3.7100000000000001E-2</v>
      </c>
      <c r="D435" s="147">
        <v>2.35E-2</v>
      </c>
      <c r="E435" s="147">
        <v>9.300000000000001E-3</v>
      </c>
      <c r="F435" s="147">
        <v>3.3399999999999999E-2</v>
      </c>
    </row>
    <row r="436" spans="1:6">
      <c r="A436" s="230" t="s">
        <v>1084</v>
      </c>
      <c r="B436" s="147">
        <v>5.1699999999999996E-2</v>
      </c>
      <c r="C436" s="147">
        <v>2.29E-2</v>
      </c>
      <c r="D436" s="147">
        <v>-3.1899999999999998E-2</v>
      </c>
      <c r="E436" s="147">
        <v>1.1299999999999999E-2</v>
      </c>
      <c r="F436" s="147">
        <v>-3.2100000000000004E-2</v>
      </c>
    </row>
    <row r="437" spans="1:6">
      <c r="A437" s="230" t="s">
        <v>1085</v>
      </c>
      <c r="B437" s="147">
        <v>-3.1099999999999999E-2</v>
      </c>
      <c r="C437" s="147">
        <v>2.5700000000000001E-2</v>
      </c>
      <c r="D437" s="147">
        <v>-4.4000000000000003E-3</v>
      </c>
      <c r="E437" s="147">
        <v>3.5999999999999999E-3</v>
      </c>
      <c r="F437" s="147">
        <v>3.2199999999999999E-2</v>
      </c>
    </row>
    <row r="438" spans="1:6">
      <c r="A438" s="230" t="s">
        <v>1086</v>
      </c>
      <c r="B438" s="147">
        <v>-9.8999999999999991E-3</v>
      </c>
      <c r="C438" s="147">
        <v>-1.7299999999999999E-2</v>
      </c>
      <c r="D438" s="147">
        <v>-1.8700000000000001E-2</v>
      </c>
      <c r="E438" s="147">
        <v>-2.3999999999999998E-3</v>
      </c>
      <c r="F438" s="147">
        <v>6.4000000000000003E-3</v>
      </c>
    </row>
    <row r="439" spans="1:6">
      <c r="A439" s="230" t="s">
        <v>1087</v>
      </c>
      <c r="B439" s="147">
        <v>-2.4E-2</v>
      </c>
      <c r="C439" s="147">
        <v>2.5899999999999999E-2</v>
      </c>
      <c r="D439" s="147">
        <v>-3.49E-2</v>
      </c>
      <c r="E439" s="147">
        <v>-7.4999999999999997E-3</v>
      </c>
      <c r="F439" s="147">
        <v>-1.23E-2</v>
      </c>
    </row>
    <row r="440" spans="1:6">
      <c r="A440" s="230" t="s">
        <v>1088</v>
      </c>
      <c r="B440" s="147">
        <v>6.5100000000000005E-2</v>
      </c>
      <c r="C440" s="147">
        <v>-6.9100000000000009E-2</v>
      </c>
      <c r="D440" s="147">
        <v>-3.3700000000000001E-2</v>
      </c>
      <c r="E440" s="147">
        <v>-1.7399999999999999E-2</v>
      </c>
      <c r="F440" s="147">
        <v>-1.1899999999999999E-2</v>
      </c>
    </row>
    <row r="441" spans="1:6">
      <c r="A441" s="230" t="s">
        <v>1089</v>
      </c>
      <c r="B441" s="147">
        <v>3.73E-2</v>
      </c>
      <c r="C441" s="147">
        <v>5.7999999999999996E-2</v>
      </c>
      <c r="D441" s="147">
        <v>-6.1200000000000004E-2</v>
      </c>
      <c r="E441" s="147">
        <v>-4.2800000000000005E-2</v>
      </c>
      <c r="F441" s="147">
        <v>-1.7399999999999999E-2</v>
      </c>
    </row>
    <row r="442" spans="1:6">
      <c r="A442" s="230" t="s">
        <v>1090</v>
      </c>
      <c r="B442" s="147">
        <v>8.1600000000000006E-2</v>
      </c>
      <c r="C442" s="147">
        <v>5.3899999999999997E-2</v>
      </c>
      <c r="D442" s="147">
        <v>-8.3299999999999999E-2</v>
      </c>
      <c r="E442" s="147">
        <v>-7.5999999999999998E-2</v>
      </c>
      <c r="F442" s="147">
        <v>-5.6300000000000003E-2</v>
      </c>
    </row>
    <row r="443" spans="1:6">
      <c r="A443" s="230" t="s">
        <v>388</v>
      </c>
      <c r="B443" s="147">
        <v>-4.3300000000000005E-2</v>
      </c>
      <c r="C443" s="147">
        <v>4.4200000000000003E-2</v>
      </c>
      <c r="D443" s="147">
        <v>-1.8800000000000001E-2</v>
      </c>
      <c r="E443" s="147">
        <v>-6.2899999999999998E-2</v>
      </c>
      <c r="F443" s="147">
        <v>4.7199999999999999E-2</v>
      </c>
    </row>
    <row r="444" spans="1:6">
      <c r="A444" s="230" t="s">
        <v>1091</v>
      </c>
      <c r="B444" s="147">
        <v>2.8799999999999999E-2</v>
      </c>
      <c r="C444" s="147">
        <v>0.18280000000000002</v>
      </c>
      <c r="D444" s="147">
        <v>-9.5899999999999999E-2</v>
      </c>
      <c r="E444" s="147">
        <v>-0.1865</v>
      </c>
      <c r="F444" s="147">
        <v>-4.7999999999999996E-3</v>
      </c>
    </row>
    <row r="445" spans="1:6">
      <c r="A445" s="230" t="s">
        <v>1092</v>
      </c>
      <c r="B445" s="147">
        <v>5.6700000000000007E-2</v>
      </c>
      <c r="C445" s="147">
        <v>-0.1532</v>
      </c>
      <c r="D445" s="147">
        <v>8.1300000000000011E-2</v>
      </c>
      <c r="E445" s="147">
        <v>0.11789999999999999</v>
      </c>
      <c r="F445" s="147">
        <v>-1.5900000000000001E-2</v>
      </c>
    </row>
    <row r="446" spans="1:6">
      <c r="A446" s="230" t="s">
        <v>1093</v>
      </c>
      <c r="B446" s="147">
        <v>-5.9400000000000001E-2</v>
      </c>
      <c r="C446" s="147">
        <v>-5.0099999999999999E-2</v>
      </c>
      <c r="D446" s="147">
        <v>7.2599999999999998E-2</v>
      </c>
      <c r="E446" s="147">
        <v>7.6600000000000001E-2</v>
      </c>
      <c r="F446" s="147">
        <v>5.6500000000000002E-2</v>
      </c>
    </row>
    <row r="447" spans="1:6">
      <c r="A447" s="230" t="s">
        <v>1094</v>
      </c>
      <c r="B447" s="147">
        <v>-3.9200000000000006E-2</v>
      </c>
      <c r="C447" s="147">
        <v>-3.8100000000000002E-2</v>
      </c>
      <c r="D447" s="147">
        <v>4.7500000000000001E-2</v>
      </c>
      <c r="E447" s="147">
        <v>4.1299999999999996E-2</v>
      </c>
      <c r="F447" s="147">
        <v>1.3700000000000002E-2</v>
      </c>
    </row>
    <row r="448" spans="1:6">
      <c r="A448" s="230" t="s">
        <v>1095</v>
      </c>
      <c r="B448" s="147">
        <v>5.04E-2</v>
      </c>
      <c r="C448" s="147">
        <v>9.9199999999999997E-2</v>
      </c>
      <c r="D448" s="147">
        <v>-8.4199999999999997E-2</v>
      </c>
      <c r="E448" s="147">
        <v>-8.3100000000000007E-2</v>
      </c>
      <c r="F448" s="147">
        <v>-2.9500000000000002E-2</v>
      </c>
    </row>
    <row r="449" spans="1:6">
      <c r="A449" s="230" t="s">
        <v>1096</v>
      </c>
      <c r="B449" s="147">
        <v>-2.0299999999999999E-2</v>
      </c>
      <c r="C449" s="147">
        <v>-1.03E-2</v>
      </c>
      <c r="D449" s="147">
        <v>8.3100000000000007E-2</v>
      </c>
      <c r="E449" s="147">
        <v>5.8300000000000005E-2</v>
      </c>
      <c r="F449" s="147">
        <v>2.9399999999999999E-2</v>
      </c>
    </row>
    <row r="450" spans="1:6">
      <c r="A450" s="230" t="s">
        <v>1097</v>
      </c>
      <c r="B450" s="147">
        <v>7.5300000000000006E-2</v>
      </c>
      <c r="C450" s="147">
        <v>-1.03E-2</v>
      </c>
      <c r="D450" s="147">
        <v>-1.3899999999999999E-2</v>
      </c>
      <c r="E450" s="147">
        <v>-3.2199999999999999E-2</v>
      </c>
      <c r="F450" s="147">
        <v>1.1000000000000001E-2</v>
      </c>
    </row>
    <row r="451" spans="1:6">
      <c r="A451" s="230" t="s">
        <v>1098</v>
      </c>
      <c r="B451" s="147">
        <v>-4.9399999999999999E-2</v>
      </c>
      <c r="C451" s="147">
        <v>1.9E-3</v>
      </c>
      <c r="D451" s="147">
        <v>7.17E-2</v>
      </c>
      <c r="E451" s="147">
        <v>2.5600000000000001E-2</v>
      </c>
      <c r="F451" s="147">
        <v>5.5300000000000002E-2</v>
      </c>
    </row>
    <row r="452" spans="1:6">
      <c r="A452" s="230" t="s">
        <v>1099</v>
      </c>
      <c r="B452" s="147">
        <v>-2.1999999999999999E-2</v>
      </c>
      <c r="C452" s="147">
        <v>-2.6499999999999999E-2</v>
      </c>
      <c r="D452" s="147">
        <v>5.7099999999999998E-2</v>
      </c>
      <c r="E452" s="147">
        <v>9.6099999999999991E-2</v>
      </c>
      <c r="F452" s="147">
        <v>3.7999999999999999E-2</v>
      </c>
    </row>
    <row r="453" spans="1:6">
      <c r="A453" s="230" t="s">
        <v>1100</v>
      </c>
      <c r="B453" s="147">
        <v>-0.1021</v>
      </c>
      <c r="C453" s="147">
        <v>-5.7999999999999996E-3</v>
      </c>
      <c r="D453" s="147">
        <v>0.12300000000000001</v>
      </c>
      <c r="E453" s="147">
        <v>0.13070000000000001</v>
      </c>
      <c r="F453" s="147">
        <v>8.43E-2</v>
      </c>
    </row>
    <row r="454" spans="1:6">
      <c r="A454" s="230" t="s">
        <v>1101</v>
      </c>
      <c r="B454" s="147">
        <v>1.6899999999999998E-2</v>
      </c>
      <c r="C454" s="147">
        <v>3.2599999999999997E-2</v>
      </c>
      <c r="D454" s="147">
        <v>7.6100000000000001E-2</v>
      </c>
      <c r="E454" s="147">
        <v>1.7100000000000001E-2</v>
      </c>
      <c r="F454" s="147">
        <v>4.7899999999999998E-2</v>
      </c>
    </row>
    <row r="455" spans="1:6">
      <c r="A455" s="230" t="s">
        <v>1102</v>
      </c>
      <c r="B455" s="147">
        <v>3.6700000000000003E-2</v>
      </c>
      <c r="C455" s="147">
        <v>5.4800000000000008E-2</v>
      </c>
      <c r="D455" s="147">
        <v>-5.0700000000000002E-2</v>
      </c>
      <c r="E455" s="147">
        <v>-4.6900000000000004E-2</v>
      </c>
      <c r="F455" s="147">
        <v>-5.0300000000000004E-2</v>
      </c>
    </row>
    <row r="456" spans="1:6">
      <c r="A456" s="230" t="s">
        <v>389</v>
      </c>
      <c r="B456" s="147">
        <v>-9.6700000000000008E-2</v>
      </c>
      <c r="C456" s="147">
        <v>2.8300000000000002E-2</v>
      </c>
      <c r="D456" s="147">
        <v>0.12470000000000001</v>
      </c>
      <c r="E456" s="147">
        <v>9.0999999999999998E-2</v>
      </c>
      <c r="F456" s="147">
        <v>9.0700000000000003E-2</v>
      </c>
    </row>
    <row r="457" spans="1:6">
      <c r="A457" s="230" t="s">
        <v>1103</v>
      </c>
      <c r="B457" s="147">
        <v>-6.8400000000000002E-2</v>
      </c>
      <c r="C457" s="147">
        <v>2.3300000000000001E-2</v>
      </c>
      <c r="D457" s="147">
        <v>6.4200000000000007E-2</v>
      </c>
      <c r="E457" s="147">
        <v>3.3500000000000002E-2</v>
      </c>
      <c r="F457" s="147">
        <v>3.9199999999999999E-2</v>
      </c>
    </row>
    <row r="458" spans="1:6">
      <c r="A458" s="230" t="s">
        <v>1104</v>
      </c>
      <c r="B458" s="147">
        <v>8.3300000000000013E-2</v>
      </c>
      <c r="C458" s="147">
        <v>-8.6E-3</v>
      </c>
      <c r="D458" s="147">
        <v>-4.6699999999999998E-2</v>
      </c>
      <c r="E458" s="147">
        <v>-3.0600000000000002E-2</v>
      </c>
      <c r="F458" s="147">
        <v>-3.2000000000000001E-2</v>
      </c>
    </row>
    <row r="459" spans="1:6">
      <c r="A459" s="230" t="s">
        <v>1105</v>
      </c>
      <c r="B459" s="147">
        <v>1.04E-2</v>
      </c>
      <c r="C459" s="147">
        <v>3.6000000000000004E-2</v>
      </c>
      <c r="D459" s="147">
        <v>3.3599999999999998E-2</v>
      </c>
      <c r="E459" s="147">
        <v>2.5000000000000001E-3</v>
      </c>
      <c r="F459" s="147">
        <v>1.9099999999999999E-2</v>
      </c>
    </row>
    <row r="460" spans="1:6">
      <c r="A460" s="230" t="s">
        <v>1106</v>
      </c>
      <c r="B460" s="147">
        <v>-1.66E-2</v>
      </c>
      <c r="C460" s="147">
        <v>6.5700000000000008E-2</v>
      </c>
      <c r="D460" s="147">
        <v>-1.1200000000000002E-2</v>
      </c>
      <c r="E460" s="147">
        <v>1.6E-2</v>
      </c>
      <c r="F460" s="147">
        <v>-1.5100000000000001E-2</v>
      </c>
    </row>
    <row r="461" spans="1:6">
      <c r="A461" s="230" t="s">
        <v>1107</v>
      </c>
      <c r="B461" s="147">
        <v>-1.83E-2</v>
      </c>
      <c r="C461" s="147">
        <v>-2.8199999999999999E-2</v>
      </c>
      <c r="D461" s="147">
        <v>5.21E-2</v>
      </c>
      <c r="E461" s="147">
        <v>7.4200000000000002E-2</v>
      </c>
      <c r="F461" s="147">
        <v>3.0600000000000002E-2</v>
      </c>
    </row>
    <row r="462" spans="1:6">
      <c r="A462" s="230" t="s">
        <v>1108</v>
      </c>
      <c r="B462" s="147">
        <v>-6.1500000000000006E-2</v>
      </c>
      <c r="C462" s="147">
        <v>2.7200000000000002E-2</v>
      </c>
      <c r="D462" s="147">
        <v>2.3100000000000002E-2</v>
      </c>
      <c r="E462" s="147">
        <v>4.0500000000000001E-2</v>
      </c>
      <c r="F462" s="147">
        <v>6.5599999999999992E-2</v>
      </c>
    </row>
    <row r="463" spans="1:6">
      <c r="A463" s="230" t="s">
        <v>1109</v>
      </c>
      <c r="B463" s="147">
        <v>-8.9700000000000002E-2</v>
      </c>
      <c r="C463" s="147">
        <v>-5.7300000000000004E-2</v>
      </c>
      <c r="D463" s="147">
        <v>1.4499999999999999E-2</v>
      </c>
      <c r="E463" s="147">
        <v>4.99E-2</v>
      </c>
      <c r="F463" s="147">
        <v>3.2199999999999999E-2</v>
      </c>
    </row>
    <row r="464" spans="1:6">
      <c r="A464" s="230" t="s">
        <v>1110</v>
      </c>
      <c r="B464" s="147">
        <v>2.6800000000000001E-2</v>
      </c>
      <c r="C464" s="147">
        <v>5.2699999999999997E-2</v>
      </c>
      <c r="D464" s="147">
        <v>-7.6499999999999999E-2</v>
      </c>
      <c r="E464" s="147">
        <v>-2.98E-2</v>
      </c>
      <c r="F464" s="147">
        <v>-4.5599999999999995E-2</v>
      </c>
    </row>
    <row r="465" spans="1:6">
      <c r="A465" s="230" t="s">
        <v>1111</v>
      </c>
      <c r="B465" s="147">
        <v>7.7100000000000002E-2</v>
      </c>
      <c r="C465" s="147">
        <v>-3.0000000000000001E-3</v>
      </c>
      <c r="D465" s="147">
        <v>2.2100000000000002E-2</v>
      </c>
      <c r="E465" s="147">
        <v>-3.73E-2</v>
      </c>
      <c r="F465" s="147">
        <v>-1.6399999999999998E-2</v>
      </c>
    </row>
    <row r="466" spans="1:6">
      <c r="A466" s="230" t="s">
        <v>1112</v>
      </c>
      <c r="B466" s="147">
        <v>1.7500000000000002E-2</v>
      </c>
      <c r="C466" s="147">
        <v>5.16E-2</v>
      </c>
      <c r="D466" s="147">
        <v>8.3999999999999995E-3</v>
      </c>
      <c r="E466" s="147">
        <v>3.4000000000000002E-3</v>
      </c>
      <c r="F466" s="147">
        <v>-2.6000000000000003E-3</v>
      </c>
    </row>
    <row r="467" spans="1:6">
      <c r="A467" s="230" t="s">
        <v>1113</v>
      </c>
      <c r="B467" s="147">
        <v>-1.2999999999999999E-2</v>
      </c>
      <c r="C467" s="147">
        <v>1.26E-2</v>
      </c>
      <c r="D467" s="147">
        <v>3.44E-2</v>
      </c>
      <c r="E467" s="147">
        <v>4.6900000000000004E-2</v>
      </c>
      <c r="F467" s="147">
        <v>2.86E-2</v>
      </c>
    </row>
    <row r="468" spans="1:6">
      <c r="A468" s="230" t="s">
        <v>1114</v>
      </c>
      <c r="B468" s="147">
        <v>-2.1600000000000001E-2</v>
      </c>
      <c r="C468" s="147">
        <v>-3.5999999999999999E-3</v>
      </c>
      <c r="D468" s="147">
        <v>2.1600000000000001E-2</v>
      </c>
      <c r="E468" s="147">
        <v>8.0700000000000008E-2</v>
      </c>
      <c r="F468" s="147">
        <v>5.1100000000000007E-2</v>
      </c>
    </row>
    <row r="469" spans="1:6">
      <c r="A469" s="230" t="s">
        <v>390</v>
      </c>
      <c r="B469" s="147">
        <v>4.3700000000000003E-2</v>
      </c>
      <c r="C469" s="147">
        <v>4.2500000000000003E-2</v>
      </c>
      <c r="D469" s="147">
        <v>1.06E-2</v>
      </c>
      <c r="E469" s="147">
        <v>-1.78E-2</v>
      </c>
      <c r="F469" s="147">
        <v>5.8999999999999999E-3</v>
      </c>
    </row>
    <row r="470" spans="1:6">
      <c r="A470" s="230" t="s">
        <v>1115</v>
      </c>
      <c r="B470" s="147">
        <v>-5.0500000000000003E-2</v>
      </c>
      <c r="C470" s="147">
        <v>6.7199999999999996E-2</v>
      </c>
      <c r="D470" s="147">
        <v>3.8800000000000001E-2</v>
      </c>
      <c r="E470" s="147">
        <v>4.5599999999999995E-2</v>
      </c>
      <c r="F470" s="147">
        <v>5.3700000000000005E-2</v>
      </c>
    </row>
    <row r="471" spans="1:6">
      <c r="A471" s="230" t="s">
        <v>1116</v>
      </c>
      <c r="B471" s="147">
        <v>-1.24E-2</v>
      </c>
      <c r="C471" s="147">
        <v>-3.0099999999999998E-2</v>
      </c>
      <c r="D471" s="147">
        <v>1.5300000000000001E-2</v>
      </c>
      <c r="E471" s="147">
        <v>2.3599999999999999E-2</v>
      </c>
      <c r="F471" s="147">
        <v>2.4400000000000002E-2</v>
      </c>
    </row>
    <row r="472" spans="1:6">
      <c r="A472" s="230" t="s">
        <v>1117</v>
      </c>
      <c r="B472" s="147">
        <v>-7.0800000000000002E-2</v>
      </c>
      <c r="C472" s="147">
        <v>3.8900000000000004E-2</v>
      </c>
      <c r="D472" s="147">
        <v>-5.0000000000000001E-4</v>
      </c>
      <c r="E472" s="147">
        <v>3.9300000000000002E-2</v>
      </c>
      <c r="F472" s="147">
        <v>2.52E-2</v>
      </c>
    </row>
    <row r="473" spans="1:6">
      <c r="A473" s="230" t="s">
        <v>1118</v>
      </c>
      <c r="B473" s="147">
        <v>-8.0299999999999996E-2</v>
      </c>
      <c r="C473" s="147">
        <v>-6.4299999999999996E-2</v>
      </c>
      <c r="D473" s="147">
        <v>-3.85E-2</v>
      </c>
      <c r="E473" s="147">
        <v>3.7900000000000003E-2</v>
      </c>
      <c r="F473" s="147">
        <v>-9.9000000000000008E-3</v>
      </c>
    </row>
    <row r="474" spans="1:6">
      <c r="A474" s="230" t="s">
        <v>1119</v>
      </c>
      <c r="B474" s="147">
        <v>6.4000000000000003E-3</v>
      </c>
      <c r="C474" s="147">
        <v>-1.3100000000000001E-2</v>
      </c>
      <c r="D474" s="147">
        <v>3.2799999999999996E-2</v>
      </c>
      <c r="E474" s="147">
        <v>1.3600000000000001E-2</v>
      </c>
      <c r="F474" s="147">
        <v>-1.46E-2</v>
      </c>
    </row>
    <row r="475" spans="1:6">
      <c r="A475" s="230" t="s">
        <v>1120</v>
      </c>
      <c r="B475" s="147">
        <v>-0.1021</v>
      </c>
      <c r="C475" s="147">
        <v>3.0800000000000001E-2</v>
      </c>
      <c r="D475" s="147">
        <v>1.4499999999999999E-2</v>
      </c>
      <c r="E475" s="147">
        <v>3.2799999999999996E-2</v>
      </c>
      <c r="F475" s="147">
        <v>-2.2000000000000002E-2</v>
      </c>
    </row>
    <row r="476" spans="1:6">
      <c r="A476" s="230" t="s">
        <v>1121</v>
      </c>
      <c r="B476" s="147">
        <v>7.9799999999999996E-2</v>
      </c>
      <c r="C476" s="147">
        <v>-4.3099999999999999E-2</v>
      </c>
      <c r="D476" s="147">
        <v>-3.9399999999999998E-2</v>
      </c>
      <c r="E476" s="147">
        <v>-3.39E-2</v>
      </c>
      <c r="F476" s="147">
        <v>7.7000000000000002E-3</v>
      </c>
    </row>
    <row r="477" spans="1:6">
      <c r="A477" s="230" t="s">
        <v>1122</v>
      </c>
      <c r="B477" s="147">
        <v>6.08E-2</v>
      </c>
      <c r="C477" s="147">
        <v>2.9300000000000003E-2</v>
      </c>
      <c r="D477" s="147">
        <v>-1.26E-2</v>
      </c>
      <c r="E477" s="147">
        <v>-9.2200000000000004E-2</v>
      </c>
      <c r="F477" s="147">
        <v>5.1200000000000002E-2</v>
      </c>
    </row>
    <row r="478" spans="1:6">
      <c r="A478" s="230" t="s">
        <v>1123</v>
      </c>
      <c r="B478" s="147">
        <v>-5.6500000000000002E-2</v>
      </c>
      <c r="C478" s="147">
        <v>6.1000000000000004E-3</v>
      </c>
      <c r="D478" s="147">
        <v>2.1400000000000002E-2</v>
      </c>
      <c r="E478" s="147">
        <v>6.3E-2</v>
      </c>
      <c r="F478" s="147">
        <v>-1.6799999999999999E-2</v>
      </c>
    </row>
    <row r="479" spans="1:6">
      <c r="A479" s="230" t="s">
        <v>1124</v>
      </c>
      <c r="B479" s="147">
        <v>-2.47E-2</v>
      </c>
      <c r="C479" s="147">
        <v>6.8999999999999999E-3</v>
      </c>
      <c r="D479" s="147">
        <v>-8.1000000000000013E-3</v>
      </c>
      <c r="E479" s="147">
        <v>-9.7000000000000003E-3</v>
      </c>
      <c r="F479" s="147">
        <v>6.9999999999999993E-3</v>
      </c>
    </row>
    <row r="480" spans="1:6">
      <c r="A480" s="230" t="s">
        <v>1125</v>
      </c>
      <c r="B480" s="147">
        <v>-1.7899999999999999E-2</v>
      </c>
      <c r="C480" s="147">
        <v>-9.4000000000000004E-3</v>
      </c>
      <c r="D480" s="147">
        <v>-1.3700000000000002E-2</v>
      </c>
      <c r="E480" s="147">
        <v>8.3999999999999995E-3</v>
      </c>
      <c r="F480" s="147">
        <v>-6.1000000000000004E-3</v>
      </c>
    </row>
    <row r="481" spans="1:6">
      <c r="A481" s="230" t="s">
        <v>1126</v>
      </c>
      <c r="B481" s="147">
        <v>1.1900000000000001E-2</v>
      </c>
      <c r="C481" s="147">
        <v>6.6000000000000008E-3</v>
      </c>
      <c r="D481" s="147">
        <v>-1.9400000000000001E-2</v>
      </c>
      <c r="E481" s="147">
        <v>1.8600000000000002E-2</v>
      </c>
      <c r="F481" s="147">
        <v>-7.8000000000000005E-3</v>
      </c>
    </row>
    <row r="482" spans="1:6">
      <c r="A482" s="230" t="s">
        <v>391</v>
      </c>
      <c r="B482" s="147">
        <v>8.320000000000001E-2</v>
      </c>
      <c r="C482" s="147">
        <v>1.01E-2</v>
      </c>
      <c r="D482" s="147">
        <v>1.15E-2</v>
      </c>
      <c r="E482" s="147">
        <v>-4.6699999999999998E-2</v>
      </c>
      <c r="F482" s="147">
        <v>1.0700000000000001E-2</v>
      </c>
    </row>
    <row r="483" spans="1:6">
      <c r="A483" s="230" t="s">
        <v>1127</v>
      </c>
      <c r="B483" s="147">
        <v>6.1399999999999996E-2</v>
      </c>
      <c r="C483" s="147">
        <v>4.8200000000000007E-2</v>
      </c>
      <c r="D483" s="147">
        <v>3.9000000000000003E-3</v>
      </c>
      <c r="E483" s="147">
        <v>-7.0099999999999996E-2</v>
      </c>
      <c r="F483" s="147">
        <v>2.8999999999999998E-2</v>
      </c>
    </row>
    <row r="484" spans="1:6">
      <c r="A484" s="230" t="s">
        <v>1128</v>
      </c>
      <c r="B484" s="147">
        <v>1.5199999999999998E-2</v>
      </c>
      <c r="C484" s="147">
        <v>1.66E-2</v>
      </c>
      <c r="D484" s="147">
        <v>1.1000000000000001E-3</v>
      </c>
      <c r="E484" s="147">
        <v>5.0000000000000001E-3</v>
      </c>
      <c r="F484" s="147">
        <v>-3.9000000000000003E-3</v>
      </c>
    </row>
    <row r="485" spans="1:6">
      <c r="A485" s="230" t="s">
        <v>1129</v>
      </c>
      <c r="B485" s="147">
        <v>2.4199999999999999E-2</v>
      </c>
      <c r="C485" s="147">
        <v>4.5400000000000003E-2</v>
      </c>
      <c r="D485" s="147">
        <v>-1.24E-2</v>
      </c>
      <c r="E485" s="147">
        <v>-4.1399999999999999E-2</v>
      </c>
      <c r="F485" s="147">
        <v>1.78E-2</v>
      </c>
    </row>
    <row r="486" spans="1:6">
      <c r="A486" s="230" t="s">
        <v>1130</v>
      </c>
      <c r="B486" s="147">
        <v>2.41E-2</v>
      </c>
      <c r="C486" s="147">
        <v>2.4799999999999999E-2</v>
      </c>
      <c r="D486" s="147">
        <v>1.5300000000000001E-2</v>
      </c>
      <c r="E486" s="147">
        <v>-2.2499999999999999E-2</v>
      </c>
      <c r="F486" s="147">
        <v>2.1400000000000002E-2</v>
      </c>
    </row>
    <row r="487" spans="1:6">
      <c r="A487" s="230" t="s">
        <v>1131</v>
      </c>
      <c r="B487" s="147">
        <v>-1.1599999999999999E-2</v>
      </c>
      <c r="C487" s="147">
        <v>5.4000000000000003E-3</v>
      </c>
      <c r="D487" s="147">
        <v>1.7000000000000001E-3</v>
      </c>
      <c r="E487" s="147">
        <v>1.01E-2</v>
      </c>
      <c r="F487" s="147">
        <v>3.4999999999999996E-3</v>
      </c>
    </row>
    <row r="488" spans="1:6">
      <c r="A488" s="230" t="s">
        <v>1132</v>
      </c>
      <c r="B488" s="147">
        <v>6.1499999999999999E-2</v>
      </c>
      <c r="C488" s="147">
        <v>2.7099999999999999E-2</v>
      </c>
      <c r="D488" s="147">
        <v>1.9699999999999999E-2</v>
      </c>
      <c r="E488" s="147">
        <v>-1.3500000000000002E-2</v>
      </c>
      <c r="F488" s="147">
        <v>1.5500000000000002E-2</v>
      </c>
    </row>
    <row r="489" spans="1:6">
      <c r="A489" s="230" t="s">
        <v>1133</v>
      </c>
      <c r="B489" s="147">
        <v>1.4200000000000001E-2</v>
      </c>
      <c r="C489" s="147">
        <v>2.3300000000000001E-2</v>
      </c>
      <c r="D489" s="147">
        <v>1.78E-2</v>
      </c>
      <c r="E489" s="147">
        <v>1.9E-3</v>
      </c>
      <c r="F489" s="147">
        <v>1.8100000000000002E-2</v>
      </c>
    </row>
    <row r="490" spans="1:6">
      <c r="A490" s="230" t="s">
        <v>1134</v>
      </c>
      <c r="B490" s="147">
        <v>4.3700000000000003E-2</v>
      </c>
      <c r="C490" s="147">
        <v>-2.4900000000000002E-2</v>
      </c>
      <c r="D490" s="147">
        <v>1.6E-2</v>
      </c>
      <c r="E490" s="147">
        <v>5.6000000000000008E-3</v>
      </c>
      <c r="F490" s="147">
        <v>9.4000000000000004E-3</v>
      </c>
    </row>
    <row r="491" spans="1:6">
      <c r="A491" s="230" t="s">
        <v>1135</v>
      </c>
      <c r="B491" s="147">
        <v>2.2199999999999998E-2</v>
      </c>
      <c r="C491" s="147">
        <v>2.4500000000000001E-2</v>
      </c>
      <c r="D491" s="147">
        <v>2.4900000000000002E-2</v>
      </c>
      <c r="E491" s="147">
        <v>-3.6600000000000001E-2</v>
      </c>
      <c r="F491" s="147">
        <v>3.3799999999999997E-2</v>
      </c>
    </row>
    <row r="492" spans="1:6">
      <c r="A492" s="230" t="s">
        <v>1136</v>
      </c>
      <c r="B492" s="147">
        <v>1.4599999999999998E-2</v>
      </c>
      <c r="C492" s="147">
        <v>-9.1999999999999998E-3</v>
      </c>
      <c r="D492" s="147">
        <v>8.8000000000000005E-3</v>
      </c>
      <c r="E492" s="147">
        <v>2.1600000000000001E-2</v>
      </c>
      <c r="F492" s="147">
        <v>-1.23E-2</v>
      </c>
    </row>
    <row r="493" spans="1:6">
      <c r="A493" s="230" t="s">
        <v>1137</v>
      </c>
      <c r="B493" s="147">
        <v>-1.2300000000000002E-2</v>
      </c>
      <c r="C493" s="147">
        <v>2.1000000000000001E-2</v>
      </c>
      <c r="D493" s="147">
        <v>2.7000000000000001E-3</v>
      </c>
      <c r="E493" s="147">
        <v>1.5600000000000001E-2</v>
      </c>
      <c r="F493" s="147">
        <v>-9.7999999999999997E-3</v>
      </c>
    </row>
    <row r="494" spans="1:6">
      <c r="A494" s="230" t="s">
        <v>1138</v>
      </c>
      <c r="B494" s="147">
        <v>-1.7500000000000002E-2</v>
      </c>
      <c r="C494" s="147">
        <v>-2.0199999999999999E-2</v>
      </c>
      <c r="D494" s="147">
        <v>-3.0699999999999998E-2</v>
      </c>
      <c r="E494" s="147">
        <v>3.4700000000000002E-2</v>
      </c>
      <c r="F494" s="147">
        <v>-2.81E-2</v>
      </c>
    </row>
    <row r="495" spans="1:6">
      <c r="A495" s="230" t="s">
        <v>392</v>
      </c>
      <c r="B495" s="147">
        <v>1.23E-2</v>
      </c>
      <c r="C495" s="147">
        <v>-3.8E-3</v>
      </c>
      <c r="D495" s="147">
        <v>-2.5000000000000001E-3</v>
      </c>
      <c r="E495" s="147">
        <v>-1.18E-2</v>
      </c>
      <c r="F495" s="147">
        <v>2.9999999999999997E-4</v>
      </c>
    </row>
    <row r="496" spans="1:6">
      <c r="A496" s="230" t="s">
        <v>1139</v>
      </c>
      <c r="B496" s="147">
        <v>1.9400000000000001E-2</v>
      </c>
      <c r="C496" s="147">
        <v>2.5600000000000001E-2</v>
      </c>
      <c r="D496" s="147">
        <v>1.18E-2</v>
      </c>
      <c r="E496" s="147">
        <v>1.2E-2</v>
      </c>
      <c r="F496" s="147">
        <v>-3.9000000000000003E-3</v>
      </c>
    </row>
    <row r="497" spans="1:6">
      <c r="A497" s="230" t="s">
        <v>1140</v>
      </c>
      <c r="B497" s="147">
        <v>-3.9599999999999996E-2</v>
      </c>
      <c r="C497" s="147">
        <v>-2.9600000000000001E-2</v>
      </c>
      <c r="D497" s="147">
        <v>3.2400000000000005E-2</v>
      </c>
      <c r="E497" s="147">
        <v>5.3200000000000004E-2</v>
      </c>
      <c r="F497" s="147">
        <v>-1.66E-2</v>
      </c>
    </row>
    <row r="498" spans="1:6">
      <c r="A498" s="230" t="s">
        <v>1141</v>
      </c>
      <c r="B498" s="147">
        <v>1.9000000000000002E-3</v>
      </c>
      <c r="C498" s="147">
        <v>-1.1399999999999999E-2</v>
      </c>
      <c r="D498" s="147">
        <v>9.7000000000000003E-3</v>
      </c>
      <c r="E498" s="147">
        <v>1.23E-2</v>
      </c>
      <c r="F498" s="147">
        <v>-1.47E-2</v>
      </c>
    </row>
    <row r="499" spans="1:6">
      <c r="A499" s="230" t="s">
        <v>1142</v>
      </c>
      <c r="B499" s="147">
        <v>1.7100000000000001E-2</v>
      </c>
      <c r="C499" s="147">
        <v>3.27E-2</v>
      </c>
      <c r="D499" s="147">
        <v>0</v>
      </c>
      <c r="E499" s="147">
        <v>-1.49E-2</v>
      </c>
      <c r="F499" s="147">
        <v>-1.8800000000000001E-2</v>
      </c>
    </row>
    <row r="500" spans="1:6">
      <c r="A500" s="230" t="s">
        <v>1143</v>
      </c>
      <c r="B500" s="147">
        <v>1.54E-2</v>
      </c>
      <c r="C500" s="147">
        <v>1.9E-3</v>
      </c>
      <c r="D500" s="147">
        <v>-2.2000000000000001E-3</v>
      </c>
      <c r="E500" s="147">
        <v>-5.2000000000000006E-3</v>
      </c>
      <c r="F500" s="147">
        <v>4.8999999999999998E-3</v>
      </c>
    </row>
    <row r="501" spans="1:6">
      <c r="A501" s="230" t="s">
        <v>1144</v>
      </c>
      <c r="B501" s="147">
        <v>4.6900000000000004E-2</v>
      </c>
      <c r="C501" s="147">
        <v>4.1100000000000005E-2</v>
      </c>
      <c r="D501" s="147">
        <v>1.41E-2</v>
      </c>
      <c r="E501" s="147">
        <v>-5.7999999999999996E-3</v>
      </c>
      <c r="F501" s="147">
        <v>-2.2000000000000001E-3</v>
      </c>
    </row>
    <row r="502" spans="1:6">
      <c r="A502" s="230" t="s">
        <v>1145</v>
      </c>
      <c r="B502" s="147">
        <v>3.5900000000000001E-2</v>
      </c>
      <c r="C502" s="147">
        <v>-5.0000000000000001E-4</v>
      </c>
      <c r="D502" s="147">
        <v>-2.2000000000000001E-3</v>
      </c>
      <c r="E502" s="147">
        <v>-1.1599999999999999E-2</v>
      </c>
      <c r="F502" s="147">
        <v>4.5999999999999999E-3</v>
      </c>
    </row>
    <row r="503" spans="1:6">
      <c r="A503" s="230" t="s">
        <v>1146</v>
      </c>
      <c r="B503" s="147">
        <v>-2.5999999999999999E-2</v>
      </c>
      <c r="C503" s="147">
        <v>-1.17E-2</v>
      </c>
      <c r="D503" s="147">
        <v>2.06E-2</v>
      </c>
      <c r="E503" s="147">
        <v>2.7400000000000004E-2</v>
      </c>
      <c r="F503" s="147">
        <v>-1.46E-2</v>
      </c>
    </row>
    <row r="504" spans="1:6">
      <c r="A504" s="230" t="s">
        <v>1147</v>
      </c>
      <c r="B504" s="147">
        <v>2.0500000000000001E-2</v>
      </c>
      <c r="C504" s="147">
        <v>-3.0999999999999999E-3</v>
      </c>
      <c r="D504" s="147">
        <v>1.54E-2</v>
      </c>
      <c r="E504" s="147">
        <v>1.43E-2</v>
      </c>
      <c r="F504" s="147">
        <v>-5.0000000000000001E-4</v>
      </c>
    </row>
    <row r="505" spans="1:6">
      <c r="A505" s="230" t="s">
        <v>1148</v>
      </c>
      <c r="B505" s="147">
        <v>-1.7599999999999998E-2</v>
      </c>
      <c r="C505" s="147">
        <v>-1.4199999999999999E-2</v>
      </c>
      <c r="D505" s="147">
        <v>2.0400000000000001E-2</v>
      </c>
      <c r="E505" s="147">
        <v>4.5999999999999999E-3</v>
      </c>
      <c r="F505" s="147">
        <v>1.29E-2</v>
      </c>
    </row>
    <row r="506" spans="1:6">
      <c r="A506" s="230" t="s">
        <v>1149</v>
      </c>
      <c r="B506" s="147">
        <v>-2.3999999999999997E-2</v>
      </c>
      <c r="C506" s="147">
        <v>-3.9800000000000002E-2</v>
      </c>
      <c r="D506" s="147">
        <v>7.000000000000001E-4</v>
      </c>
      <c r="E506" s="147">
        <v>9.7000000000000003E-3</v>
      </c>
      <c r="F506" s="147">
        <v>-9.4000000000000004E-3</v>
      </c>
    </row>
    <row r="507" spans="1:6">
      <c r="A507" s="230" t="s">
        <v>1150</v>
      </c>
      <c r="B507" s="147">
        <v>3.8899999999999997E-2</v>
      </c>
      <c r="C507" s="147">
        <v>2.7799999999999998E-2</v>
      </c>
      <c r="D507" s="147">
        <v>-6.4000000000000003E-3</v>
      </c>
      <c r="E507" s="147">
        <v>-0.01</v>
      </c>
      <c r="F507" s="147">
        <v>3.0000000000000001E-3</v>
      </c>
    </row>
    <row r="508" spans="1:6">
      <c r="A508" s="230" t="s">
        <v>393</v>
      </c>
      <c r="B508" s="147">
        <v>8.0000000000000002E-3</v>
      </c>
      <c r="C508" s="147">
        <v>3.2799999999999996E-2</v>
      </c>
      <c r="D508" s="147">
        <v>2.8300000000000002E-2</v>
      </c>
      <c r="E508" s="147">
        <v>9.5999999999999992E-3</v>
      </c>
      <c r="F508" s="147">
        <v>-5.1000000000000004E-3</v>
      </c>
    </row>
    <row r="509" spans="1:6">
      <c r="A509" s="230" t="s">
        <v>1151</v>
      </c>
      <c r="B509" s="147">
        <v>4.1599999999999998E-2</v>
      </c>
      <c r="C509" s="147">
        <v>2.81E-2</v>
      </c>
      <c r="D509" s="147">
        <v>-7.9000000000000008E-3</v>
      </c>
      <c r="E509" s="147">
        <v>-1.18E-2</v>
      </c>
      <c r="F509" s="147">
        <v>-8.199999999999999E-3</v>
      </c>
    </row>
    <row r="510" spans="1:6">
      <c r="A510" s="230" t="s">
        <v>1152</v>
      </c>
      <c r="B510" s="147">
        <v>-9.1999999999999998E-3</v>
      </c>
      <c r="C510" s="147">
        <v>-8.8999999999999999E-3</v>
      </c>
      <c r="D510" s="147">
        <v>1.3200000000000002E-2</v>
      </c>
      <c r="E510" s="147">
        <v>-2.0499999999999997E-2</v>
      </c>
      <c r="F510" s="147">
        <v>3.7000000000000002E-3</v>
      </c>
    </row>
    <row r="511" spans="1:6">
      <c r="A511" s="230" t="s">
        <v>1153</v>
      </c>
      <c r="B511" s="147">
        <v>7.7999999999999996E-3</v>
      </c>
      <c r="C511" s="147">
        <v>-3.4000000000000002E-3</v>
      </c>
      <c r="D511" s="147">
        <v>7.0999999999999995E-3</v>
      </c>
      <c r="E511" s="147">
        <v>2.7000000000000001E-3</v>
      </c>
      <c r="F511" s="147">
        <v>-6.0000000000000001E-3</v>
      </c>
    </row>
    <row r="512" spans="1:6">
      <c r="A512" s="230" t="s">
        <v>1154</v>
      </c>
      <c r="B512" s="147">
        <v>-1.7499999999999998E-2</v>
      </c>
      <c r="C512" s="147">
        <v>-1.4499999999999999E-2</v>
      </c>
      <c r="D512" s="147">
        <v>4.1999999999999997E-3</v>
      </c>
      <c r="E512" s="147">
        <v>-9.300000000000001E-3</v>
      </c>
      <c r="F512" s="147">
        <v>-1.29E-2</v>
      </c>
    </row>
    <row r="513" spans="1:6">
      <c r="A513" s="230" t="s">
        <v>1155</v>
      </c>
      <c r="B513" s="147">
        <v>3.9199999999999999E-2</v>
      </c>
      <c r="C513" s="147">
        <v>8.3999999999999995E-3</v>
      </c>
      <c r="D513" s="147">
        <v>-1.1599999999999999E-2</v>
      </c>
      <c r="E513" s="147">
        <v>-7.6E-3</v>
      </c>
      <c r="F513" s="147">
        <v>-1.1299999999999999E-2</v>
      </c>
    </row>
    <row r="514" spans="1:6">
      <c r="A514" s="230" t="s">
        <v>1156</v>
      </c>
      <c r="B514" s="147">
        <v>7.000000000000001E-4</v>
      </c>
      <c r="C514" s="147">
        <v>-2E-3</v>
      </c>
      <c r="D514" s="147">
        <v>2E-3</v>
      </c>
      <c r="E514" s="147">
        <v>2.2000000000000001E-3</v>
      </c>
      <c r="F514" s="147">
        <v>2.3E-3</v>
      </c>
    </row>
    <row r="515" spans="1:6">
      <c r="A515" s="230" t="s">
        <v>1157</v>
      </c>
      <c r="B515" s="147">
        <v>3.39E-2</v>
      </c>
      <c r="C515" s="147">
        <v>5.7500000000000002E-2</v>
      </c>
      <c r="D515" s="147">
        <v>1.0800000000000001E-2</v>
      </c>
      <c r="E515" s="147">
        <v>-6.5000000000000006E-3</v>
      </c>
      <c r="F515" s="147">
        <v>-4.5000000000000005E-3</v>
      </c>
    </row>
    <row r="516" spans="1:6">
      <c r="A516" s="230" t="s">
        <v>1158</v>
      </c>
      <c r="B516" s="147">
        <v>4.0000000000000018E-4</v>
      </c>
      <c r="C516" s="147">
        <v>-4.1999999999999997E-3</v>
      </c>
      <c r="D516" s="147">
        <v>-3.4000000000000002E-3</v>
      </c>
      <c r="E516" s="147">
        <v>-5.1000000000000004E-3</v>
      </c>
      <c r="F516" s="147">
        <v>1.9099999999999999E-2</v>
      </c>
    </row>
    <row r="517" spans="1:6">
      <c r="A517" s="230" t="s">
        <v>1159</v>
      </c>
      <c r="B517" s="147">
        <v>1.83E-2</v>
      </c>
      <c r="C517" s="147">
        <v>3.39E-2</v>
      </c>
      <c r="D517" s="147">
        <v>6.0000000000000001E-3</v>
      </c>
      <c r="E517" s="147">
        <v>5.9999999999999995E-4</v>
      </c>
      <c r="F517" s="147">
        <v>-4.0000000000000001E-3</v>
      </c>
    </row>
    <row r="518" spans="1:6">
      <c r="A518" s="230" t="s">
        <v>1160</v>
      </c>
      <c r="B518" s="147">
        <v>1.09E-2</v>
      </c>
      <c r="C518" s="147">
        <v>-8.3999999999999995E-3</v>
      </c>
      <c r="D518" s="147">
        <v>2.3400000000000001E-2</v>
      </c>
      <c r="E518" s="147">
        <v>1.8000000000000002E-2</v>
      </c>
      <c r="F518" s="147">
        <v>1E-4</v>
      </c>
    </row>
    <row r="519" spans="1:6">
      <c r="A519" s="230" t="s">
        <v>1161</v>
      </c>
      <c r="B519" s="147">
        <v>-3.1400000000000004E-2</v>
      </c>
      <c r="C519" s="147">
        <v>-2.8500000000000001E-2</v>
      </c>
      <c r="D519" s="147">
        <v>2.4100000000000003E-2</v>
      </c>
      <c r="E519" s="147">
        <v>1.15E-2</v>
      </c>
      <c r="F519" s="147">
        <v>1.46E-2</v>
      </c>
    </row>
    <row r="520" spans="1:6">
      <c r="A520" s="230" t="s">
        <v>1162</v>
      </c>
      <c r="B520" s="147">
        <v>5.0000000000000044E-4</v>
      </c>
      <c r="C520" s="147">
        <v>-2.3999999999999998E-3</v>
      </c>
      <c r="D520" s="147">
        <v>8.5000000000000006E-3</v>
      </c>
      <c r="E520" s="147">
        <v>1.3200000000000002E-2</v>
      </c>
      <c r="F520" s="147">
        <v>-7.000000000000001E-4</v>
      </c>
    </row>
    <row r="521" spans="1:6">
      <c r="A521" s="230" t="s">
        <v>394</v>
      </c>
      <c r="B521" s="147">
        <v>-3.8000000000000004E-3</v>
      </c>
      <c r="C521" s="147">
        <v>-3.6299999999999999E-2</v>
      </c>
      <c r="D521" s="147">
        <v>2.6000000000000002E-2</v>
      </c>
      <c r="E521" s="147">
        <v>1.6299999999999999E-2</v>
      </c>
      <c r="F521" s="147">
        <v>9.0000000000000011E-3</v>
      </c>
    </row>
    <row r="522" spans="1:6">
      <c r="A522" s="230" t="s">
        <v>1163</v>
      </c>
      <c r="B522" s="147">
        <v>2.4499999999999997E-2</v>
      </c>
      <c r="C522" s="147">
        <v>4.4000000000000003E-3</v>
      </c>
      <c r="D522" s="147">
        <v>-2.06E-2</v>
      </c>
      <c r="E522" s="147">
        <v>-1.8600000000000002E-2</v>
      </c>
      <c r="F522" s="147">
        <v>2.0899999999999998E-2</v>
      </c>
    </row>
    <row r="523" spans="1:6">
      <c r="A523" s="230" t="s">
        <v>1164</v>
      </c>
      <c r="B523" s="147">
        <v>2.2499999999999999E-2</v>
      </c>
      <c r="C523" s="147">
        <v>-1.46E-2</v>
      </c>
      <c r="D523" s="147">
        <v>8.0000000000000004E-4</v>
      </c>
      <c r="E523" s="147">
        <v>8.199999999999999E-3</v>
      </c>
      <c r="F523" s="147">
        <v>6.0000000000000001E-3</v>
      </c>
    </row>
    <row r="524" spans="1:6">
      <c r="A524" s="230" t="s">
        <v>1165</v>
      </c>
      <c r="B524" s="147">
        <v>3.6400000000000002E-2</v>
      </c>
      <c r="C524" s="147">
        <v>1.9800000000000002E-2</v>
      </c>
      <c r="D524" s="147">
        <v>-3.0999999999999999E-3</v>
      </c>
      <c r="E524" s="147">
        <v>-1.1999999999999999E-3</v>
      </c>
      <c r="F524" s="147">
        <v>2.8000000000000004E-3</v>
      </c>
    </row>
    <row r="525" spans="1:6">
      <c r="A525" s="230" t="s">
        <v>1166</v>
      </c>
      <c r="B525" s="147">
        <v>2.1299999999999999E-2</v>
      </c>
      <c r="C525" s="147">
        <v>7.0999999999999995E-3</v>
      </c>
      <c r="D525" s="147">
        <v>1.4000000000000002E-3</v>
      </c>
      <c r="E525" s="147">
        <v>1.5E-3</v>
      </c>
      <c r="F525" s="147">
        <v>-8.0000000000000002E-3</v>
      </c>
    </row>
    <row r="526" spans="1:6">
      <c r="A526" s="230" t="s">
        <v>1167</v>
      </c>
      <c r="B526" s="147">
        <v>1.2699999999999999E-2</v>
      </c>
      <c r="C526" s="147">
        <v>-8.199999999999999E-3</v>
      </c>
      <c r="D526" s="147">
        <v>2.7300000000000001E-2</v>
      </c>
      <c r="E526" s="147">
        <v>-7.1999999999999998E-3</v>
      </c>
      <c r="F526" s="147">
        <v>2.06E-2</v>
      </c>
    </row>
    <row r="527" spans="1:6">
      <c r="A527" s="230" t="s">
        <v>1168</v>
      </c>
      <c r="B527" s="147">
        <v>1.84E-2</v>
      </c>
      <c r="C527" s="147">
        <v>7.000000000000001E-4</v>
      </c>
      <c r="D527" s="147">
        <v>-6.8000000000000005E-3</v>
      </c>
      <c r="E527" s="147">
        <v>2.6000000000000003E-3</v>
      </c>
      <c r="F527" s="147">
        <v>3.8E-3</v>
      </c>
    </row>
    <row r="528" spans="1:6">
      <c r="A528" s="230" t="s">
        <v>1169</v>
      </c>
      <c r="B528" s="147">
        <v>-1.5799999999999998E-2</v>
      </c>
      <c r="C528" s="147">
        <v>1.29E-2</v>
      </c>
      <c r="D528" s="147">
        <v>-1.4000000000000002E-3</v>
      </c>
      <c r="E528" s="147">
        <v>-5.1000000000000004E-3</v>
      </c>
      <c r="F528" s="147">
        <v>-7.0999999999999995E-3</v>
      </c>
    </row>
    <row r="529" spans="1:6">
      <c r="A529" s="230" t="s">
        <v>1170</v>
      </c>
      <c r="B529" s="147">
        <v>1.11E-2</v>
      </c>
      <c r="C529" s="147">
        <v>2E-3</v>
      </c>
      <c r="D529" s="147">
        <v>-9.7000000000000003E-3</v>
      </c>
      <c r="E529" s="147">
        <v>6.4000000000000003E-3</v>
      </c>
      <c r="F529" s="147">
        <v>-6.5000000000000006E-3</v>
      </c>
    </row>
    <row r="530" spans="1:6">
      <c r="A530" s="230" t="s">
        <v>1171</v>
      </c>
      <c r="B530" s="147">
        <v>3.9300000000000002E-2</v>
      </c>
      <c r="C530" s="147">
        <v>-2.0400000000000001E-2</v>
      </c>
      <c r="D530" s="147">
        <v>-1.4499999999999999E-2</v>
      </c>
      <c r="E530" s="147">
        <v>1.15E-2</v>
      </c>
      <c r="F530" s="147">
        <v>1.03E-2</v>
      </c>
    </row>
    <row r="531" spans="1:6">
      <c r="A531" s="230" t="s">
        <v>1172</v>
      </c>
      <c r="B531" s="147">
        <v>3.6500000000000005E-2</v>
      </c>
      <c r="C531" s="147">
        <v>4.0000000000000001E-3</v>
      </c>
      <c r="D531" s="147">
        <v>-6.5000000000000006E-3</v>
      </c>
      <c r="E531" s="147">
        <v>1.5800000000000002E-2</v>
      </c>
      <c r="F531" s="147">
        <v>-1.3700000000000002E-2</v>
      </c>
    </row>
    <row r="532" spans="1:6">
      <c r="A532" s="230" t="s">
        <v>1173</v>
      </c>
      <c r="B532" s="147">
        <v>-1.5599999999999999E-2</v>
      </c>
      <c r="C532" s="147">
        <v>7.4000000000000003E-3</v>
      </c>
      <c r="D532" s="147">
        <v>-1.0500000000000001E-2</v>
      </c>
      <c r="E532" s="147">
        <v>5.3E-3</v>
      </c>
      <c r="F532" s="147">
        <v>8.0000000000000004E-4</v>
      </c>
    </row>
    <row r="533" spans="1:6">
      <c r="A533" s="230" t="s">
        <v>1174</v>
      </c>
      <c r="B533" s="147">
        <v>-3.3299999999999996E-2</v>
      </c>
      <c r="C533" s="147">
        <v>-2.9900000000000003E-2</v>
      </c>
      <c r="D533" s="147">
        <v>-3.7100000000000001E-2</v>
      </c>
      <c r="E533" s="147">
        <v>2E-3</v>
      </c>
      <c r="F533" s="147">
        <v>-1.1299999999999999E-2</v>
      </c>
    </row>
    <row r="534" spans="1:6">
      <c r="A534" s="230" t="s">
        <v>395</v>
      </c>
      <c r="B534" s="147">
        <v>1.3399999999999999E-2</v>
      </c>
      <c r="C534" s="147">
        <v>-3.8E-3</v>
      </c>
      <c r="D534" s="147">
        <v>-1.8600000000000002E-2</v>
      </c>
      <c r="E534" s="147">
        <v>-1.21E-2</v>
      </c>
      <c r="F534" s="147">
        <v>-5.4000000000000003E-3</v>
      </c>
    </row>
    <row r="535" spans="1:6">
      <c r="A535" s="230" t="s">
        <v>1175</v>
      </c>
      <c r="B535" s="147">
        <v>3.5400000000000001E-2</v>
      </c>
      <c r="C535" s="147">
        <v>-2.4400000000000002E-2</v>
      </c>
      <c r="D535" s="147">
        <v>-2.2100000000000002E-2</v>
      </c>
      <c r="E535" s="147">
        <v>-5.2000000000000006E-3</v>
      </c>
      <c r="F535" s="147">
        <v>-3.0200000000000001E-2</v>
      </c>
    </row>
    <row r="536" spans="1:6">
      <c r="A536" s="230" t="s">
        <v>1176</v>
      </c>
      <c r="B536" s="147">
        <v>2.1200000000000004E-2</v>
      </c>
      <c r="C536" s="147">
        <v>-8.0000000000000004E-4</v>
      </c>
      <c r="D536" s="147">
        <v>-2.98E-2</v>
      </c>
      <c r="E536" s="147">
        <v>-2.8999999999999998E-3</v>
      </c>
      <c r="F536" s="147">
        <v>-8.9999999999999998E-4</v>
      </c>
    </row>
    <row r="537" spans="1:6">
      <c r="A537" s="230" t="s">
        <v>1177</v>
      </c>
      <c r="B537" s="147">
        <v>-4.4900000000000002E-2</v>
      </c>
      <c r="C537" s="147">
        <v>-3.0200000000000001E-2</v>
      </c>
      <c r="D537" s="147">
        <v>-9.4000000000000004E-3</v>
      </c>
      <c r="E537" s="147">
        <v>1.89E-2</v>
      </c>
      <c r="F537" s="147">
        <v>-2.8999999999999998E-3</v>
      </c>
    </row>
    <row r="538" spans="1:6">
      <c r="A538" s="230" t="s">
        <v>1178</v>
      </c>
      <c r="B538" s="147">
        <v>-5.9999999999999993E-3</v>
      </c>
      <c r="C538" s="147">
        <v>1.5E-3</v>
      </c>
      <c r="D538" s="147">
        <v>-5.5000000000000005E-3</v>
      </c>
      <c r="E538" s="147">
        <v>8.6999999999999994E-3</v>
      </c>
      <c r="F538" s="147">
        <v>-1.0500000000000001E-2</v>
      </c>
    </row>
    <row r="539" spans="1:6">
      <c r="A539" s="230" t="s">
        <v>1179</v>
      </c>
      <c r="B539" s="147">
        <v>-6.1500000000000006E-2</v>
      </c>
      <c r="C539" s="147">
        <v>-6.5000000000000006E-3</v>
      </c>
      <c r="D539" s="147">
        <v>3.9700000000000006E-2</v>
      </c>
      <c r="E539" s="147">
        <v>2.1499999999999998E-2</v>
      </c>
      <c r="F539" s="147">
        <v>2.1400000000000002E-2</v>
      </c>
    </row>
    <row r="540" spans="1:6">
      <c r="A540" s="230" t="s">
        <v>1180</v>
      </c>
      <c r="B540" s="147">
        <v>-2.9600000000000001E-2</v>
      </c>
      <c r="C540" s="147">
        <v>-6.6000000000000008E-3</v>
      </c>
      <c r="D540" s="147">
        <v>-8.3999999999999995E-3</v>
      </c>
      <c r="E540" s="147">
        <v>8.6999999999999994E-3</v>
      </c>
      <c r="F540" s="147">
        <v>-9.1999999999999998E-3</v>
      </c>
    </row>
    <row r="541" spans="1:6">
      <c r="A541" s="230" t="s">
        <v>1181</v>
      </c>
      <c r="B541" s="147">
        <v>-7.6000000000000009E-3</v>
      </c>
      <c r="C541" s="147">
        <v>5.6000000000000008E-3</v>
      </c>
      <c r="D541" s="147">
        <v>3.0000000000000001E-3</v>
      </c>
      <c r="E541" s="147">
        <v>7.9000000000000008E-3</v>
      </c>
      <c r="F541" s="147">
        <v>5.0000000000000001E-3</v>
      </c>
    </row>
    <row r="542" spans="1:6">
      <c r="A542" s="230" t="s">
        <v>1182</v>
      </c>
      <c r="B542" s="147">
        <v>4.7800000000000002E-2</v>
      </c>
      <c r="C542" s="147">
        <v>-1.2E-2</v>
      </c>
      <c r="D542" s="147">
        <v>-9.4000000000000004E-3</v>
      </c>
      <c r="E542" s="147">
        <v>1.6299999999999999E-2</v>
      </c>
      <c r="F542" s="147">
        <v>-2.4700000000000003E-2</v>
      </c>
    </row>
    <row r="543" spans="1:6">
      <c r="A543" s="230" t="s">
        <v>1183</v>
      </c>
      <c r="B543" s="147">
        <v>2.0400000000000001E-2</v>
      </c>
      <c r="C543" s="147">
        <v>3.0200000000000001E-2</v>
      </c>
      <c r="D543" s="147">
        <v>-1.43E-2</v>
      </c>
      <c r="E543" s="147">
        <v>9.300000000000001E-3</v>
      </c>
      <c r="F543" s="147">
        <v>-5.9999999999999995E-4</v>
      </c>
    </row>
    <row r="544" spans="1:6">
      <c r="A544" s="230" t="s">
        <v>1184</v>
      </c>
      <c r="B544" s="147">
        <v>-8.2699999999999996E-2</v>
      </c>
      <c r="C544" s="147">
        <v>1.18E-2</v>
      </c>
      <c r="D544" s="147">
        <v>-2.7099999999999999E-2</v>
      </c>
      <c r="E544" s="147">
        <v>4.9599999999999998E-2</v>
      </c>
      <c r="F544" s="147">
        <v>-5.5000000000000005E-3</v>
      </c>
    </row>
    <row r="545" spans="1:6">
      <c r="A545" s="230" t="s">
        <v>1185</v>
      </c>
      <c r="B545" s="147">
        <v>-6.2000000000000006E-3</v>
      </c>
      <c r="C545" s="147">
        <v>3.7200000000000004E-2</v>
      </c>
      <c r="D545" s="147">
        <v>5.4199999999999998E-2</v>
      </c>
      <c r="E545" s="147">
        <v>-1.3600000000000001E-2</v>
      </c>
      <c r="F545" s="147">
        <v>1.06E-2</v>
      </c>
    </row>
    <row r="546" spans="1:6">
      <c r="A546" s="230" t="s">
        <v>1186</v>
      </c>
      <c r="B546" s="147">
        <v>1.66E-2</v>
      </c>
      <c r="C546" s="147">
        <v>3.4599999999999999E-2</v>
      </c>
      <c r="D546" s="147">
        <v>1.5900000000000001E-2</v>
      </c>
      <c r="E546" s="147">
        <v>1.8600000000000002E-2</v>
      </c>
      <c r="F546" s="147">
        <v>8.3999999999999995E-3</v>
      </c>
    </row>
    <row r="547" spans="1:6">
      <c r="A547" s="230" t="s">
        <v>396</v>
      </c>
      <c r="B547" s="147">
        <v>-9.0900000000000009E-2</v>
      </c>
      <c r="C547" s="147">
        <v>2.5000000000000001E-3</v>
      </c>
      <c r="D547" s="147">
        <v>5.91E-2</v>
      </c>
      <c r="E547" s="147">
        <v>2.4199999999999999E-2</v>
      </c>
      <c r="F547" s="147">
        <v>1.78E-2</v>
      </c>
    </row>
    <row r="548" spans="1:6">
      <c r="A548" s="230" t="s">
        <v>1187</v>
      </c>
      <c r="B548" s="147">
        <v>-0.17150000000000001</v>
      </c>
      <c r="C548" s="147">
        <v>-3.3399999999999999E-2</v>
      </c>
      <c r="D548" s="147">
        <v>-2.3E-2</v>
      </c>
      <c r="E548" s="147">
        <v>3.04E-2</v>
      </c>
      <c r="F548" s="147">
        <v>2.0499999999999997E-2</v>
      </c>
    </row>
    <row r="549" spans="1:6">
      <c r="A549" s="230" t="s">
        <v>1188</v>
      </c>
      <c r="B549" s="147">
        <v>-7.8300000000000008E-2</v>
      </c>
      <c r="C549" s="147">
        <v>-3.9E-2</v>
      </c>
      <c r="D549" s="147">
        <v>-6.3100000000000003E-2</v>
      </c>
      <c r="E549" s="147">
        <v>4.53E-2</v>
      </c>
      <c r="F549" s="147">
        <v>2.75E-2</v>
      </c>
    </row>
    <row r="550" spans="1:6">
      <c r="A550" s="230" t="s">
        <v>1189</v>
      </c>
      <c r="B550" s="147">
        <v>1.7399999999999999E-2</v>
      </c>
      <c r="C550" s="147">
        <v>3.2899999999999999E-2</v>
      </c>
      <c r="D550" s="147">
        <v>1.4000000000000002E-3</v>
      </c>
      <c r="E550" s="147">
        <v>7.000000000000001E-4</v>
      </c>
      <c r="F550" s="147">
        <v>-1.4999999999999999E-2</v>
      </c>
    </row>
    <row r="551" spans="1:6">
      <c r="A551" s="230" t="s">
        <v>1190</v>
      </c>
      <c r="B551" s="147">
        <v>-8.1199999999999994E-2</v>
      </c>
      <c r="C551" s="147">
        <v>-2.1400000000000002E-2</v>
      </c>
      <c r="D551" s="147">
        <v>-0.1129</v>
      </c>
      <c r="E551" s="147">
        <v>1.8E-3</v>
      </c>
      <c r="F551" s="147">
        <v>-1.1599999999999999E-2</v>
      </c>
    </row>
    <row r="552" spans="1:6">
      <c r="A552" s="230" t="s">
        <v>1191</v>
      </c>
      <c r="B552" s="147">
        <v>-0.10089999999999999</v>
      </c>
      <c r="C552" s="147">
        <v>-1.3300000000000001E-2</v>
      </c>
      <c r="D552" s="147">
        <v>-6.9500000000000006E-2</v>
      </c>
      <c r="E552" s="147">
        <v>1.2E-2</v>
      </c>
      <c r="F552" s="147">
        <v>-1.0200000000000001E-2</v>
      </c>
    </row>
    <row r="553" spans="1:6">
      <c r="A553" s="230" t="s">
        <v>1192</v>
      </c>
      <c r="B553" s="147">
        <v>8.9700000000000002E-2</v>
      </c>
      <c r="C553" s="147">
        <v>6.7000000000000002E-3</v>
      </c>
      <c r="D553" s="147">
        <v>3.4700000000000002E-2</v>
      </c>
      <c r="E553" s="147">
        <v>-2.52E-2</v>
      </c>
      <c r="F553" s="147">
        <v>-2.2499999999999999E-2</v>
      </c>
    </row>
    <row r="554" spans="1:6">
      <c r="A554" s="230" t="s">
        <v>1193</v>
      </c>
      <c r="B554" s="147">
        <v>0.1019</v>
      </c>
      <c r="C554" s="147">
        <v>7.1300000000000002E-2</v>
      </c>
      <c r="D554" s="147">
        <v>5.3600000000000002E-2</v>
      </c>
      <c r="E554" s="147">
        <v>1.3100000000000001E-2</v>
      </c>
      <c r="F554" s="147">
        <v>1.1999999999999999E-3</v>
      </c>
    </row>
    <row r="555" spans="1:6">
      <c r="A555" s="230" t="s">
        <v>1194</v>
      </c>
      <c r="B555" s="147">
        <v>5.21E-2</v>
      </c>
      <c r="C555" s="147">
        <v>-2.3199999999999998E-2</v>
      </c>
      <c r="D555" s="147">
        <v>2.8000000000000004E-3</v>
      </c>
      <c r="E555" s="147">
        <v>-7.8000000000000005E-3</v>
      </c>
      <c r="F555" s="147">
        <v>-2.1600000000000001E-2</v>
      </c>
    </row>
    <row r="556" spans="1:6">
      <c r="A556" s="230" t="s">
        <v>1195</v>
      </c>
      <c r="B556" s="147">
        <v>4.4000000000000003E-3</v>
      </c>
      <c r="C556" s="147">
        <v>2.29E-2</v>
      </c>
      <c r="D556" s="147">
        <v>-2.7300000000000001E-2</v>
      </c>
      <c r="E556" s="147">
        <v>-1.41E-2</v>
      </c>
      <c r="F556" s="147">
        <v>-3.3000000000000004E-3</v>
      </c>
    </row>
    <row r="557" spans="1:6">
      <c r="A557" s="230" t="s">
        <v>1196</v>
      </c>
      <c r="B557" s="147">
        <v>7.7300000000000008E-2</v>
      </c>
      <c r="C557" s="147">
        <v>2.3900000000000001E-2</v>
      </c>
      <c r="D557" s="147">
        <v>4.8300000000000003E-2</v>
      </c>
      <c r="E557" s="147">
        <v>-4.5999999999999999E-3</v>
      </c>
      <c r="F557" s="147">
        <v>3.1300000000000001E-2</v>
      </c>
    </row>
    <row r="558" spans="1:6">
      <c r="A558" s="230" t="s">
        <v>1197</v>
      </c>
      <c r="B558" s="147">
        <v>3.3400000000000006E-2</v>
      </c>
      <c r="C558" s="147">
        <v>-8.9999999999999998E-4</v>
      </c>
      <c r="D558" s="147">
        <v>7.6300000000000007E-2</v>
      </c>
      <c r="E558" s="147">
        <v>-3.0299999999999997E-2</v>
      </c>
      <c r="F558" s="147">
        <v>3.3399999999999999E-2</v>
      </c>
    </row>
    <row r="559" spans="1:6">
      <c r="A559" s="230" t="s">
        <v>1198</v>
      </c>
      <c r="B559" s="147">
        <v>4.0900000000000006E-2</v>
      </c>
      <c r="C559" s="147">
        <v>2.7300000000000001E-2</v>
      </c>
      <c r="D559" s="147">
        <v>1.0400000000000001E-2</v>
      </c>
      <c r="E559" s="147">
        <v>1.3100000000000001E-2</v>
      </c>
      <c r="F559" s="147">
        <v>3.5999999999999999E-3</v>
      </c>
    </row>
    <row r="560" spans="1:6">
      <c r="A560" s="230" t="s">
        <v>397</v>
      </c>
      <c r="B560" s="147">
        <v>-2.5899999999999999E-2</v>
      </c>
      <c r="C560" s="147">
        <v>-4.9400000000000006E-2</v>
      </c>
      <c r="D560" s="147">
        <v>-4.2099999999999999E-2</v>
      </c>
      <c r="E560" s="147">
        <v>4.1700000000000001E-2</v>
      </c>
      <c r="F560" s="147">
        <v>-1.4999999999999999E-2</v>
      </c>
    </row>
    <row r="561" spans="1:6">
      <c r="A561" s="230" t="s">
        <v>1199</v>
      </c>
      <c r="B561" s="147">
        <v>5.5599999999999997E-2</v>
      </c>
      <c r="C561" s="147">
        <v>-2.6800000000000001E-2</v>
      </c>
      <c r="D561" s="147">
        <v>-3.4000000000000002E-3</v>
      </c>
      <c r="E561" s="147">
        <v>0.01</v>
      </c>
      <c r="F561" s="147">
        <v>1.3000000000000002E-3</v>
      </c>
    </row>
    <row r="562" spans="1:6">
      <c r="A562" s="230" t="s">
        <v>1200</v>
      </c>
      <c r="B562" s="147">
        <v>2.76E-2</v>
      </c>
      <c r="C562" s="147">
        <v>6.2400000000000004E-2</v>
      </c>
      <c r="D562" s="147">
        <v>-1.6000000000000001E-3</v>
      </c>
      <c r="E562" s="147">
        <v>1.0200000000000001E-2</v>
      </c>
      <c r="F562" s="147">
        <v>-8.9999999999999998E-4</v>
      </c>
    </row>
    <row r="563" spans="1:6">
      <c r="A563" s="230" t="s">
        <v>1201</v>
      </c>
      <c r="B563" s="147">
        <v>-3.3599999999999998E-2</v>
      </c>
      <c r="C563" s="147">
        <v>3.4000000000000002E-3</v>
      </c>
      <c r="D563" s="147">
        <v>4.3E-3</v>
      </c>
      <c r="E563" s="147">
        <v>-1.2700000000000001E-2</v>
      </c>
      <c r="F563" s="147">
        <v>4.5999999999999999E-3</v>
      </c>
    </row>
    <row r="564" spans="1:6">
      <c r="A564" s="230" t="s">
        <v>1202</v>
      </c>
      <c r="B564" s="147">
        <v>3.4000000000000002E-2</v>
      </c>
      <c r="C564" s="147">
        <v>1.5100000000000001E-2</v>
      </c>
      <c r="D564" s="147">
        <v>3.2199999999999999E-2</v>
      </c>
      <c r="E564" s="147">
        <v>-2.7000000000000001E-3</v>
      </c>
      <c r="F564" s="147">
        <v>1.4199999999999999E-2</v>
      </c>
    </row>
    <row r="565" spans="1:6">
      <c r="A565" s="230" t="s">
        <v>1203</v>
      </c>
      <c r="B565" s="147">
        <v>6.3200000000000006E-2</v>
      </c>
      <c r="C565" s="147">
        <v>1.8500000000000003E-2</v>
      </c>
      <c r="D565" s="147">
        <v>2.2100000000000002E-2</v>
      </c>
      <c r="E565" s="147">
        <v>-6.5000000000000006E-3</v>
      </c>
      <c r="F565" s="147">
        <v>1.6899999999999998E-2</v>
      </c>
    </row>
    <row r="566" spans="1:6">
      <c r="A566" s="230" t="s">
        <v>1204</v>
      </c>
      <c r="B566" s="147">
        <v>2.01E-2</v>
      </c>
      <c r="C566" s="147">
        <v>4.9800000000000004E-2</v>
      </c>
      <c r="D566" s="147">
        <v>2.8900000000000002E-2</v>
      </c>
      <c r="E566" s="147">
        <v>6.8999999999999999E-3</v>
      </c>
      <c r="F566" s="147">
        <v>1.72E-2</v>
      </c>
    </row>
    <row r="567" spans="1:6">
      <c r="A567" s="230" t="s">
        <v>1205</v>
      </c>
      <c r="B567" s="147">
        <v>-7.8799999999999995E-2</v>
      </c>
      <c r="C567" s="147">
        <v>5.0000000000000001E-4</v>
      </c>
      <c r="D567" s="147">
        <v>-2.4400000000000002E-2</v>
      </c>
      <c r="E567" s="147">
        <v>1.3000000000000001E-2</v>
      </c>
      <c r="F567" s="147">
        <v>-2.2000000000000001E-3</v>
      </c>
    </row>
    <row r="568" spans="1:6">
      <c r="A568" s="230" t="s">
        <v>1206</v>
      </c>
      <c r="B568" s="147">
        <v>-5.5600000000000004E-2</v>
      </c>
      <c r="C568" s="147">
        <v>-2.4700000000000003E-2</v>
      </c>
      <c r="D568" s="147">
        <v>-4.7E-2</v>
      </c>
      <c r="E568" s="147">
        <v>-1.6000000000000001E-3</v>
      </c>
      <c r="F568" s="147">
        <v>-1.5500000000000002E-2</v>
      </c>
    </row>
    <row r="569" spans="1:6">
      <c r="A569" s="230" t="s">
        <v>1207</v>
      </c>
      <c r="B569" s="147">
        <v>6.9400000000000003E-2</v>
      </c>
      <c r="C569" s="147">
        <v>1.1999999999999999E-3</v>
      </c>
      <c r="D569" s="147">
        <v>-3.0999999999999999E-3</v>
      </c>
      <c r="E569" s="147">
        <v>2.3999999999999998E-3</v>
      </c>
      <c r="F569" s="147">
        <v>0.02</v>
      </c>
    </row>
    <row r="570" spans="1:6">
      <c r="A570" s="230" t="s">
        <v>1208</v>
      </c>
      <c r="B570" s="147">
        <v>-4.7599999999999996E-2</v>
      </c>
      <c r="C570" s="147">
        <v>-3.15E-2</v>
      </c>
      <c r="D570" s="147">
        <v>-1.9E-2</v>
      </c>
      <c r="E570" s="147">
        <v>5.3E-3</v>
      </c>
      <c r="F570" s="147">
        <v>-1.5900000000000001E-2</v>
      </c>
    </row>
    <row r="571" spans="1:6">
      <c r="A571" s="230" t="s">
        <v>1209</v>
      </c>
      <c r="B571" s="147">
        <v>9.5500000000000002E-2</v>
      </c>
      <c r="C571" s="147">
        <v>3.7499999999999999E-2</v>
      </c>
      <c r="D571" s="147">
        <v>-3.1600000000000003E-2</v>
      </c>
      <c r="E571" s="147">
        <v>-2.0999999999999999E-3</v>
      </c>
      <c r="F571" s="147">
        <v>3.8E-3</v>
      </c>
    </row>
    <row r="572" spans="1:6">
      <c r="A572" s="230" t="s">
        <v>1210</v>
      </c>
      <c r="B572" s="147">
        <v>3.8900000000000004E-2</v>
      </c>
      <c r="C572" s="147">
        <v>8.0000000000000002E-3</v>
      </c>
      <c r="D572" s="147">
        <v>-2.4199999999999999E-2</v>
      </c>
      <c r="E572" s="147">
        <v>1.1899999999999999E-2</v>
      </c>
      <c r="F572" s="147">
        <v>-2.7000000000000001E-3</v>
      </c>
    </row>
    <row r="573" spans="1:6">
      <c r="A573" s="230" t="s">
        <v>398</v>
      </c>
      <c r="B573" s="147">
        <v>6.1000000000000004E-3</v>
      </c>
      <c r="C573" s="147">
        <v>3.6700000000000003E-2</v>
      </c>
      <c r="D573" s="147">
        <v>-9.5999999999999992E-3</v>
      </c>
      <c r="E573" s="147">
        <v>4.5999999999999999E-3</v>
      </c>
      <c r="F573" s="147">
        <v>1.5900000000000001E-2</v>
      </c>
    </row>
    <row r="574" spans="1:6">
      <c r="A574" s="230" t="s">
        <v>1211</v>
      </c>
      <c r="B574" s="147">
        <v>6.8300000000000013E-2</v>
      </c>
      <c r="C574" s="147">
        <v>1.0400000000000001E-2</v>
      </c>
      <c r="D574" s="147">
        <v>3.6900000000000002E-2</v>
      </c>
      <c r="E574" s="147">
        <v>-3.44E-2</v>
      </c>
      <c r="F574" s="147">
        <v>3.1699999999999999E-2</v>
      </c>
    </row>
    <row r="575" spans="1:6">
      <c r="A575" s="230" t="s">
        <v>1212</v>
      </c>
      <c r="B575" s="147">
        <v>0.02</v>
      </c>
      <c r="C575" s="147">
        <v>-2.4300000000000002E-2</v>
      </c>
      <c r="D575" s="147">
        <v>8.199999999999999E-3</v>
      </c>
      <c r="E575" s="147">
        <v>-7.6E-3</v>
      </c>
      <c r="F575" s="147">
        <v>8.3000000000000001E-3</v>
      </c>
    </row>
    <row r="576" spans="1:6">
      <c r="A576" s="230" t="s">
        <v>1213</v>
      </c>
      <c r="B576" s="147">
        <v>3.5000000000000003E-2</v>
      </c>
      <c r="C576" s="147">
        <v>1.6500000000000001E-2</v>
      </c>
      <c r="D576" s="147">
        <v>1.2700000000000001E-2</v>
      </c>
      <c r="E576" s="147">
        <v>-1.9400000000000001E-2</v>
      </c>
      <c r="F576" s="147">
        <v>8.8000000000000005E-3</v>
      </c>
    </row>
    <row r="577" spans="1:6">
      <c r="A577" s="230" t="s">
        <v>1214</v>
      </c>
      <c r="B577" s="147">
        <v>4.7000000000000002E-3</v>
      </c>
      <c r="C577" s="147">
        <v>2.6200000000000001E-2</v>
      </c>
      <c r="D577" s="147">
        <v>-1.83E-2</v>
      </c>
      <c r="E577" s="147">
        <v>1.7600000000000001E-2</v>
      </c>
      <c r="F577" s="147">
        <v>-2.9999999999999997E-4</v>
      </c>
    </row>
    <row r="578" spans="1:6">
      <c r="A578" s="230" t="s">
        <v>1215</v>
      </c>
      <c r="B578" s="147">
        <v>2.8999999999999998E-2</v>
      </c>
      <c r="C578" s="147">
        <v>-5.5000000000000005E-3</v>
      </c>
      <c r="D578" s="147">
        <v>-2.4300000000000002E-2</v>
      </c>
      <c r="E578" s="147">
        <v>1.01E-2</v>
      </c>
      <c r="F578" s="147">
        <v>-8.0000000000000002E-3</v>
      </c>
    </row>
    <row r="579" spans="1:6">
      <c r="A579" s="230" t="s">
        <v>1216</v>
      </c>
      <c r="B579" s="147">
        <v>-1.2700000000000001E-2</v>
      </c>
      <c r="C579" s="147">
        <v>-6.1999999999999998E-3</v>
      </c>
      <c r="D579" s="147">
        <v>-2.12E-2</v>
      </c>
      <c r="E579" s="147">
        <v>2.0800000000000003E-2</v>
      </c>
      <c r="F579" s="147">
        <v>-1.5800000000000002E-2</v>
      </c>
    </row>
    <row r="580" spans="1:6">
      <c r="A580" s="230" t="s">
        <v>1217</v>
      </c>
      <c r="B580" s="147">
        <v>-1.7500000000000002E-2</v>
      </c>
      <c r="C580" s="147">
        <v>1.6000000000000001E-3</v>
      </c>
      <c r="D580" s="147">
        <v>-4.1999999999999997E-3</v>
      </c>
      <c r="E580" s="147">
        <v>2.4900000000000002E-2</v>
      </c>
      <c r="F580" s="147">
        <v>-1.5300000000000001E-2</v>
      </c>
    </row>
    <row r="581" spans="1:6">
      <c r="A581" s="230" t="s">
        <v>1218</v>
      </c>
      <c r="B581" s="147">
        <v>-2.35E-2</v>
      </c>
      <c r="C581" s="147">
        <v>-1.2E-2</v>
      </c>
      <c r="D581" s="147">
        <v>-8.8999999999999999E-3</v>
      </c>
      <c r="E581" s="147">
        <v>2.6800000000000001E-2</v>
      </c>
      <c r="F581" s="147">
        <v>-1.8100000000000002E-2</v>
      </c>
    </row>
    <row r="582" spans="1:6">
      <c r="A582" s="230" t="s">
        <v>1219</v>
      </c>
      <c r="B582" s="147">
        <v>-5.9799999999999999E-2</v>
      </c>
      <c r="C582" s="147">
        <v>-3.2000000000000001E-2</v>
      </c>
      <c r="D582" s="147">
        <v>-2.3599999999999999E-2</v>
      </c>
      <c r="E582" s="147">
        <v>3.3000000000000002E-2</v>
      </c>
      <c r="F582" s="147">
        <v>-3.8E-3</v>
      </c>
    </row>
    <row r="583" spans="1:6">
      <c r="A583" s="230" t="s">
        <v>1220</v>
      </c>
      <c r="B583" s="147">
        <v>-7.5899999999999995E-2</v>
      </c>
      <c r="C583" s="147">
        <v>-3.6600000000000001E-2</v>
      </c>
      <c r="D583" s="147">
        <v>-1.7299999999999999E-2</v>
      </c>
      <c r="E583" s="147">
        <v>2.0400000000000001E-2</v>
      </c>
      <c r="F583" s="147">
        <v>2.5000000000000001E-3</v>
      </c>
    </row>
    <row r="584" spans="1:6">
      <c r="A584" s="230" t="s">
        <v>1221</v>
      </c>
      <c r="B584" s="147">
        <v>0.1135</v>
      </c>
      <c r="C584" s="147">
        <v>3.4599999999999999E-2</v>
      </c>
      <c r="D584" s="147">
        <v>1.1000000000000001E-3</v>
      </c>
      <c r="E584" s="147">
        <v>-2.1600000000000001E-2</v>
      </c>
      <c r="F584" s="147">
        <v>-8.6E-3</v>
      </c>
    </row>
    <row r="585" spans="1:6">
      <c r="A585" s="230" t="s">
        <v>1222</v>
      </c>
      <c r="B585" s="147">
        <v>-2.8000000000000004E-3</v>
      </c>
      <c r="C585" s="147">
        <v>-2.8000000000000004E-3</v>
      </c>
      <c r="D585" s="147">
        <v>-4.5000000000000005E-3</v>
      </c>
      <c r="E585" s="147">
        <v>1.8600000000000002E-2</v>
      </c>
      <c r="F585" s="147">
        <v>1.49E-2</v>
      </c>
    </row>
    <row r="586" spans="1:6">
      <c r="A586" s="230" t="s">
        <v>399</v>
      </c>
      <c r="B586" s="147">
        <v>7.4000000000000003E-3</v>
      </c>
      <c r="C586" s="147">
        <v>-3.3000000000000004E-3</v>
      </c>
      <c r="D586" s="147">
        <v>1.6299999999999999E-2</v>
      </c>
      <c r="E586" s="147">
        <v>9.7999999999999997E-3</v>
      </c>
      <c r="F586" s="147">
        <v>2.52E-2</v>
      </c>
    </row>
    <row r="587" spans="1:6">
      <c r="A587" s="230" t="s">
        <v>1223</v>
      </c>
      <c r="B587" s="147">
        <v>5.0499999999999996E-2</v>
      </c>
      <c r="C587" s="147">
        <v>2.06E-2</v>
      </c>
      <c r="D587" s="147">
        <v>-9.7000000000000003E-3</v>
      </c>
      <c r="E587" s="147">
        <v>-2.01E-2</v>
      </c>
      <c r="F587" s="147">
        <v>-1.44E-2</v>
      </c>
    </row>
    <row r="588" spans="1:6">
      <c r="A588" s="230" t="s">
        <v>1224</v>
      </c>
      <c r="B588" s="147">
        <v>4.4200000000000003E-2</v>
      </c>
      <c r="C588" s="147">
        <v>-1.7100000000000001E-2</v>
      </c>
      <c r="D588" s="147">
        <v>4.3E-3</v>
      </c>
      <c r="E588" s="147">
        <v>-4.7999999999999996E-3</v>
      </c>
      <c r="F588" s="147">
        <v>-1E-4</v>
      </c>
    </row>
    <row r="589" spans="1:6">
      <c r="A589" s="230" t="s">
        <v>1225</v>
      </c>
      <c r="B589" s="147">
        <v>3.1099999999999999E-2</v>
      </c>
      <c r="C589" s="147">
        <v>-4.7000000000000002E-3</v>
      </c>
      <c r="D589" s="147">
        <v>1.1399999999999999E-2</v>
      </c>
      <c r="E589" s="147">
        <v>-5.4000000000000003E-3</v>
      </c>
      <c r="F589" s="147">
        <v>7.4000000000000003E-3</v>
      </c>
    </row>
    <row r="590" spans="1:6">
      <c r="A590" s="230" t="s">
        <v>1226</v>
      </c>
      <c r="B590" s="147">
        <v>-8.5000000000000006E-3</v>
      </c>
      <c r="C590" s="147">
        <v>-5.5000000000000005E-3</v>
      </c>
      <c r="D590" s="147">
        <v>-7.8000000000000005E-3</v>
      </c>
      <c r="E590" s="147">
        <v>1.3000000000000001E-2</v>
      </c>
      <c r="F590" s="147">
        <v>6.5000000000000006E-3</v>
      </c>
    </row>
    <row r="591" spans="1:6">
      <c r="A591" s="230" t="s">
        <v>1227</v>
      </c>
      <c r="B591" s="147">
        <v>-6.1800000000000001E-2</v>
      </c>
      <c r="C591" s="147">
        <v>-1.1999999999999999E-3</v>
      </c>
      <c r="D591" s="147">
        <v>-1.0700000000000001E-2</v>
      </c>
      <c r="E591" s="147">
        <v>2.0800000000000003E-2</v>
      </c>
      <c r="F591" s="147">
        <v>2.3100000000000002E-2</v>
      </c>
    </row>
    <row r="592" spans="1:6">
      <c r="A592" s="230" t="s">
        <v>1228</v>
      </c>
      <c r="B592" s="147">
        <v>3.8900000000000004E-2</v>
      </c>
      <c r="C592" s="147">
        <v>8.3999999999999995E-3</v>
      </c>
      <c r="D592" s="147">
        <v>6.1999999999999998E-3</v>
      </c>
      <c r="E592" s="147">
        <v>-1.1000000000000001E-2</v>
      </c>
      <c r="F592" s="147">
        <v>4.5999999999999999E-3</v>
      </c>
    </row>
    <row r="593" spans="1:6">
      <c r="A593" s="230" t="s">
        <v>1229</v>
      </c>
      <c r="B593" s="147">
        <v>7.9000000000000008E-3</v>
      </c>
      <c r="C593" s="147">
        <v>-2.7799999999999998E-2</v>
      </c>
      <c r="D593" s="147">
        <v>-2.0000000000000001E-4</v>
      </c>
      <c r="E593" s="147">
        <v>1.1000000000000001E-2</v>
      </c>
      <c r="F593" s="147">
        <v>5.0000000000000001E-4</v>
      </c>
    </row>
    <row r="594" spans="1:6">
      <c r="A594" s="230" t="s">
        <v>1230</v>
      </c>
      <c r="B594" s="147">
        <v>2.5599999999999998E-2</v>
      </c>
      <c r="C594" s="147">
        <v>4.4000000000000003E-3</v>
      </c>
      <c r="D594" s="147">
        <v>1.3000000000000001E-2</v>
      </c>
      <c r="E594" s="147">
        <v>-1.3300000000000001E-2</v>
      </c>
      <c r="F594" s="147">
        <v>-8.3999999999999995E-3</v>
      </c>
    </row>
    <row r="595" spans="1:6">
      <c r="A595" s="230" t="s">
        <v>1231</v>
      </c>
      <c r="B595" s="147">
        <v>2.7400000000000001E-2</v>
      </c>
      <c r="C595" s="147">
        <v>6.1000000000000004E-3</v>
      </c>
      <c r="D595" s="147">
        <v>1.6E-2</v>
      </c>
      <c r="E595" s="147">
        <v>-1.49E-2</v>
      </c>
      <c r="F595" s="147">
        <v>1.54E-2</v>
      </c>
    </row>
    <row r="596" spans="1:6">
      <c r="A596" s="230" t="s">
        <v>1232</v>
      </c>
      <c r="B596" s="147">
        <v>-1.7500000000000002E-2</v>
      </c>
      <c r="C596" s="147">
        <v>-8.8999999999999999E-3</v>
      </c>
      <c r="D596" s="147">
        <v>3.5900000000000001E-2</v>
      </c>
      <c r="E596" s="147">
        <v>-1.34E-2</v>
      </c>
      <c r="F596" s="147">
        <v>2.5000000000000001E-2</v>
      </c>
    </row>
    <row r="597" spans="1:6">
      <c r="A597" s="230" t="s">
        <v>1233</v>
      </c>
      <c r="B597" s="147">
        <v>7.9000000000000008E-3</v>
      </c>
      <c r="C597" s="147">
        <v>4.5999999999999999E-3</v>
      </c>
      <c r="D597" s="147">
        <v>-8.3999999999999995E-3</v>
      </c>
      <c r="E597" s="147">
        <v>6.1000000000000004E-3</v>
      </c>
      <c r="F597" s="147">
        <v>8.5000000000000006E-3</v>
      </c>
    </row>
    <row r="598" spans="1:6">
      <c r="A598" s="230" t="s">
        <v>1234</v>
      </c>
      <c r="B598" s="147">
        <v>1.1899999999999999E-2</v>
      </c>
      <c r="C598" s="147">
        <v>1.89E-2</v>
      </c>
      <c r="D598" s="147">
        <v>3.5099999999999999E-2</v>
      </c>
      <c r="E598" s="147">
        <v>-1.8500000000000003E-2</v>
      </c>
      <c r="F598" s="147">
        <v>9.1000000000000004E-3</v>
      </c>
    </row>
    <row r="599" spans="1:6">
      <c r="A599" s="230" t="s">
        <v>1235</v>
      </c>
      <c r="B599" s="147">
        <v>5.5700000000000006E-2</v>
      </c>
      <c r="C599" s="147">
        <v>4.7999999999999996E-3</v>
      </c>
      <c r="D599" s="147">
        <v>9.5999999999999992E-3</v>
      </c>
      <c r="E599" s="147">
        <v>-1.9300000000000001E-2</v>
      </c>
      <c r="F599" s="147">
        <v>1.41E-2</v>
      </c>
    </row>
    <row r="600" spans="1:6">
      <c r="A600" s="230" t="s">
        <v>1236</v>
      </c>
      <c r="B600" s="147">
        <v>1.29E-2</v>
      </c>
      <c r="C600" s="147">
        <v>-2.5000000000000001E-3</v>
      </c>
      <c r="D600" s="147">
        <v>1.1000000000000001E-3</v>
      </c>
      <c r="E600" s="147">
        <v>-6.7000000000000002E-3</v>
      </c>
      <c r="F600" s="147">
        <v>5.2000000000000006E-3</v>
      </c>
    </row>
    <row r="601" spans="1:6">
      <c r="A601" s="230" t="s">
        <v>1237</v>
      </c>
      <c r="B601" s="147">
        <v>4.0300000000000002E-2</v>
      </c>
      <c r="C601" s="147">
        <v>8.5000000000000006E-3</v>
      </c>
      <c r="D601" s="147">
        <v>-1.9E-3</v>
      </c>
      <c r="E601" s="147">
        <v>1.3000000000000002E-3</v>
      </c>
      <c r="F601" s="147">
        <v>1.38E-2</v>
      </c>
    </row>
    <row r="602" spans="1:6">
      <c r="A602" s="230" t="s">
        <v>1238</v>
      </c>
      <c r="B602" s="147">
        <v>1.5500000000000002E-2</v>
      </c>
      <c r="C602" s="147">
        <v>-2.2499999999999999E-2</v>
      </c>
      <c r="D602" s="147">
        <v>4.5000000000000005E-3</v>
      </c>
      <c r="E602" s="147">
        <v>2.7000000000000001E-3</v>
      </c>
      <c r="F602" s="147">
        <v>3.8E-3</v>
      </c>
    </row>
    <row r="603" spans="1:6">
      <c r="A603" s="230" t="s">
        <v>1239</v>
      </c>
      <c r="B603" s="147">
        <v>2.7999999999999997E-2</v>
      </c>
      <c r="C603" s="147">
        <v>2.06E-2</v>
      </c>
      <c r="D603" s="147">
        <v>2.63E-2</v>
      </c>
      <c r="E603" s="147">
        <v>-1.9699999999999999E-2</v>
      </c>
      <c r="F603" s="147">
        <v>-8.6999999999999994E-3</v>
      </c>
    </row>
    <row r="604" spans="1:6">
      <c r="A604" s="230" t="s">
        <v>1240</v>
      </c>
      <c r="B604" s="147">
        <v>-1.2E-2</v>
      </c>
      <c r="C604" s="147">
        <v>1.5600000000000001E-2</v>
      </c>
      <c r="D604" s="147">
        <v>2.9999999999999997E-4</v>
      </c>
      <c r="E604" s="147">
        <v>-3.7000000000000002E-3</v>
      </c>
      <c r="F604" s="147">
        <v>0</v>
      </c>
    </row>
    <row r="605" spans="1:6">
      <c r="A605" s="230" t="s">
        <v>1241</v>
      </c>
      <c r="B605" s="147">
        <v>5.6500000000000002E-2</v>
      </c>
      <c r="C605" s="147">
        <v>1.8100000000000002E-2</v>
      </c>
      <c r="D605" s="147">
        <v>5.6999999999999993E-3</v>
      </c>
      <c r="E605" s="147">
        <v>-1.3500000000000002E-2</v>
      </c>
      <c r="F605" s="147">
        <v>5.0000000000000001E-3</v>
      </c>
    </row>
    <row r="606" spans="1:6">
      <c r="A606" s="230" t="s">
        <v>1242</v>
      </c>
      <c r="B606" s="147">
        <v>-2.7099999999999999E-2</v>
      </c>
      <c r="C606" s="147">
        <v>-5.9999999999999995E-4</v>
      </c>
      <c r="D606" s="147">
        <v>-2.69E-2</v>
      </c>
      <c r="E606" s="147">
        <v>6.6000000000000008E-3</v>
      </c>
      <c r="F606" s="147">
        <v>-2.1600000000000001E-2</v>
      </c>
    </row>
    <row r="607" spans="1:6">
      <c r="A607" s="230" t="s">
        <v>1243</v>
      </c>
      <c r="B607" s="147">
        <v>3.7700000000000004E-2</v>
      </c>
      <c r="C607" s="147">
        <v>2.63E-2</v>
      </c>
      <c r="D607" s="147">
        <v>-1.2200000000000001E-2</v>
      </c>
      <c r="E607" s="147">
        <v>-5.6999999999999993E-3</v>
      </c>
      <c r="F607" s="147">
        <v>-1.3500000000000002E-2</v>
      </c>
    </row>
    <row r="608" spans="1:6">
      <c r="A608" s="230" t="s">
        <v>1244</v>
      </c>
      <c r="B608" s="147">
        <v>4.1799999999999997E-2</v>
      </c>
      <c r="C608" s="147">
        <v>-1.4800000000000001E-2</v>
      </c>
      <c r="D608" s="147">
        <v>1.2500000000000001E-2</v>
      </c>
      <c r="E608" s="147">
        <v>2.7700000000000002E-2</v>
      </c>
      <c r="F608" s="147">
        <v>8.6999999999999994E-3</v>
      </c>
    </row>
    <row r="609" spans="1:6">
      <c r="A609" s="230" t="s">
        <v>1245</v>
      </c>
      <c r="B609" s="147">
        <v>3.1300000000000001E-2</v>
      </c>
      <c r="C609" s="147">
        <v>1.41E-2</v>
      </c>
      <c r="D609" s="147">
        <v>3.2000000000000002E-3</v>
      </c>
      <c r="E609" s="147">
        <v>1.4000000000000002E-3</v>
      </c>
      <c r="F609" s="147">
        <v>4.0000000000000002E-4</v>
      </c>
    </row>
    <row r="610" spans="1:6">
      <c r="A610" s="230" t="s">
        <v>1246</v>
      </c>
      <c r="B610" s="147">
        <v>2.81E-2</v>
      </c>
      <c r="C610" s="147">
        <v>-4.5000000000000005E-3</v>
      </c>
      <c r="D610" s="147">
        <v>-2.0000000000000001E-4</v>
      </c>
      <c r="E610" s="147">
        <v>-4.5000000000000005E-3</v>
      </c>
      <c r="F610" s="147">
        <v>1E-3</v>
      </c>
    </row>
    <row r="611" spans="1:6">
      <c r="A611" s="230" t="s">
        <v>1247</v>
      </c>
      <c r="B611" s="147">
        <v>-3.32E-2</v>
      </c>
      <c r="C611" s="147">
        <v>5.7999999999999996E-3</v>
      </c>
      <c r="D611" s="147">
        <v>-2.07E-2</v>
      </c>
      <c r="E611" s="147">
        <v>-3.8700000000000005E-2</v>
      </c>
      <c r="F611" s="147">
        <v>-1.43E-2</v>
      </c>
    </row>
    <row r="612" spans="1:6">
      <c r="A612" s="230" t="s">
        <v>1248</v>
      </c>
      <c r="B612" s="147">
        <v>4.6500000000000007E-2</v>
      </c>
      <c r="C612" s="147">
        <v>1.3000000000000002E-3</v>
      </c>
      <c r="D612" s="147">
        <v>-3.0999999999999999E-3</v>
      </c>
      <c r="E612" s="147">
        <v>-2.0999999999999999E-3</v>
      </c>
      <c r="F612" s="147">
        <v>-4.4000000000000003E-3</v>
      </c>
    </row>
    <row r="613" spans="1:6">
      <c r="A613" s="230" t="s">
        <v>1249</v>
      </c>
      <c r="B613" s="147">
        <v>4.3E-3</v>
      </c>
      <c r="C613" s="147">
        <v>-1.0800000000000001E-2</v>
      </c>
      <c r="D613" s="147">
        <v>4.9299999999999997E-2</v>
      </c>
      <c r="E613" s="147">
        <v>2.1299999999999999E-2</v>
      </c>
      <c r="F613" s="147">
        <v>1.9199999999999998E-2</v>
      </c>
    </row>
    <row r="614" spans="1:6">
      <c r="A614" s="230" t="s">
        <v>1250</v>
      </c>
      <c r="B614" s="147">
        <v>-1.9E-3</v>
      </c>
      <c r="C614" s="147">
        <v>-4.1100000000000005E-2</v>
      </c>
      <c r="D614" s="147">
        <v>1.17E-2</v>
      </c>
      <c r="E614" s="147">
        <v>3.4700000000000002E-2</v>
      </c>
      <c r="F614" s="147">
        <v>0.01</v>
      </c>
    </row>
    <row r="615" spans="1:6">
      <c r="A615" s="230" t="s">
        <v>1251</v>
      </c>
      <c r="B615" s="147">
        <v>2.06E-2</v>
      </c>
      <c r="C615" s="147">
        <v>-1.89E-2</v>
      </c>
      <c r="D615" s="147">
        <v>-1.3000000000000002E-3</v>
      </c>
      <c r="E615" s="147">
        <v>5.9999999999999995E-4</v>
      </c>
      <c r="F615" s="147">
        <v>-0.01</v>
      </c>
    </row>
    <row r="616" spans="1:6">
      <c r="A616" s="230" t="s">
        <v>1252</v>
      </c>
      <c r="B616" s="147">
        <v>2.6099999999999998E-2</v>
      </c>
      <c r="C616" s="147">
        <v>3.1000000000000003E-2</v>
      </c>
      <c r="D616" s="147">
        <v>-6.9999999999999993E-3</v>
      </c>
      <c r="E616" s="147">
        <v>-1.8800000000000001E-2</v>
      </c>
      <c r="F616" s="147">
        <v>-0.02</v>
      </c>
    </row>
    <row r="617" spans="1:6">
      <c r="A617" s="230" t="s">
        <v>1253</v>
      </c>
      <c r="B617" s="147">
        <v>-2.0400000000000001E-2</v>
      </c>
      <c r="C617" s="147">
        <v>-4.2999999999999997E-2</v>
      </c>
      <c r="D617" s="147">
        <v>4.0000000000000002E-4</v>
      </c>
      <c r="E617" s="147">
        <v>9.0000000000000011E-3</v>
      </c>
      <c r="F617" s="147">
        <v>5.3E-3</v>
      </c>
    </row>
    <row r="618" spans="1:6">
      <c r="A618" s="230" t="s">
        <v>1254</v>
      </c>
      <c r="B618" s="147">
        <v>4.24E-2</v>
      </c>
      <c r="C618" s="147">
        <v>3.0999999999999999E-3</v>
      </c>
      <c r="D618" s="147">
        <v>-4.5000000000000005E-3</v>
      </c>
      <c r="E618" s="147">
        <v>-6.4000000000000003E-3</v>
      </c>
      <c r="F618" s="147">
        <v>-6.8999999999999999E-3</v>
      </c>
    </row>
    <row r="619" spans="1:6">
      <c r="A619" s="230" t="s">
        <v>1255</v>
      </c>
      <c r="B619" s="147">
        <v>-1.9699999999999999E-2</v>
      </c>
      <c r="C619" s="147">
        <v>-3.7100000000000001E-2</v>
      </c>
      <c r="D619" s="147">
        <v>-1.3500000000000002E-2</v>
      </c>
      <c r="E619" s="147">
        <v>1.29E-2</v>
      </c>
      <c r="F619" s="147">
        <v>-5.2000000000000006E-3</v>
      </c>
    </row>
    <row r="620" spans="1:6">
      <c r="A620" s="230" t="s">
        <v>1256</v>
      </c>
      <c r="B620" s="147">
        <v>2.52E-2</v>
      </c>
      <c r="C620" s="147">
        <v>3.73E-2</v>
      </c>
      <c r="D620" s="147">
        <v>-1.8000000000000002E-2</v>
      </c>
      <c r="E620" s="147">
        <v>-5.6000000000000008E-3</v>
      </c>
      <c r="F620" s="147">
        <v>-1E-3</v>
      </c>
    </row>
    <row r="621" spans="1:6">
      <c r="A621" s="230" t="s">
        <v>1257</v>
      </c>
      <c r="B621" s="147">
        <v>2.5499999999999998E-2</v>
      </c>
      <c r="C621" s="147">
        <v>-2.2799999999999997E-2</v>
      </c>
      <c r="D621" s="147">
        <v>-3.1000000000000003E-2</v>
      </c>
      <c r="E621" s="147">
        <v>1.4999999999999999E-2</v>
      </c>
      <c r="F621" s="147">
        <v>2.6000000000000003E-3</v>
      </c>
    </row>
    <row r="622" spans="1:6">
      <c r="A622" s="230" t="s">
        <v>1258</v>
      </c>
      <c r="B622" s="147">
        <v>-5.9999999999999995E-4</v>
      </c>
      <c r="C622" s="147">
        <v>2.86E-2</v>
      </c>
      <c r="D622" s="147">
        <v>2.2700000000000001E-2</v>
      </c>
      <c r="E622" s="147">
        <v>-1.2200000000000001E-2</v>
      </c>
      <c r="F622" s="147">
        <v>9.5999999999999992E-3</v>
      </c>
    </row>
    <row r="623" spans="1:6">
      <c r="A623" s="230" t="s">
        <v>498</v>
      </c>
      <c r="B623" s="147">
        <v>-3.1099999999999999E-2</v>
      </c>
      <c r="C623" s="147">
        <v>-9.1999999999999998E-3</v>
      </c>
      <c r="D623" s="147">
        <v>-3.5900000000000001E-2</v>
      </c>
      <c r="E623" s="147">
        <v>1.61E-2</v>
      </c>
      <c r="F623" s="147">
        <v>-1.6500000000000001E-2</v>
      </c>
    </row>
    <row r="624" spans="1:6">
      <c r="A624" s="230" t="s">
        <v>499</v>
      </c>
      <c r="B624" s="147">
        <v>6.13E-2</v>
      </c>
      <c r="C624" s="147">
        <v>3.2000000000000002E-3</v>
      </c>
      <c r="D624" s="147">
        <v>-1.8600000000000002E-2</v>
      </c>
      <c r="E624" s="147">
        <v>-1.1200000000000002E-2</v>
      </c>
      <c r="F624" s="147">
        <v>-1.8200000000000001E-2</v>
      </c>
    </row>
    <row r="625" spans="1:6">
      <c r="A625" s="230" t="s">
        <v>500</v>
      </c>
      <c r="B625" s="147">
        <v>-1.1200000000000002E-2</v>
      </c>
      <c r="C625" s="147">
        <v>3.0699999999999998E-2</v>
      </c>
      <c r="D625" s="147">
        <v>-3.8E-3</v>
      </c>
      <c r="E625" s="147">
        <v>8.9999999999999998E-4</v>
      </c>
      <c r="F625" s="147">
        <v>-5.2000000000000006E-3</v>
      </c>
    </row>
    <row r="626" spans="1:6">
      <c r="A626" s="230" t="s">
        <v>501</v>
      </c>
      <c r="B626" s="147">
        <v>5.8999999999999999E-3</v>
      </c>
      <c r="C626" s="147">
        <v>-3.09E-2</v>
      </c>
      <c r="D626" s="147">
        <v>1.8200000000000001E-2</v>
      </c>
      <c r="E626" s="147">
        <v>5.9999999999999995E-4</v>
      </c>
      <c r="F626" s="147">
        <v>-6.1000000000000004E-3</v>
      </c>
    </row>
    <row r="627" spans="1:6">
      <c r="A627" s="230" t="s">
        <v>502</v>
      </c>
      <c r="B627" s="147">
        <v>1.3600000000000001E-2</v>
      </c>
      <c r="C627" s="147">
        <v>8.3999999999999995E-3</v>
      </c>
      <c r="D627" s="147">
        <v>-1.15E-2</v>
      </c>
      <c r="E627" s="147">
        <v>-1.8000000000000002E-2</v>
      </c>
      <c r="F627" s="147">
        <v>-7.4999999999999997E-3</v>
      </c>
    </row>
    <row r="628" spans="1:6">
      <c r="A628" s="230" t="s">
        <v>503</v>
      </c>
      <c r="B628" s="147">
        <v>-1.5300000000000001E-2</v>
      </c>
      <c r="C628" s="147">
        <v>2.8999999999999998E-2</v>
      </c>
      <c r="D628" s="147">
        <v>-7.9000000000000008E-3</v>
      </c>
      <c r="E628" s="147">
        <v>4.4000000000000003E-3</v>
      </c>
      <c r="F628" s="147">
        <v>-1.5800000000000002E-2</v>
      </c>
    </row>
    <row r="629" spans="1:6">
      <c r="A629" s="230" t="s">
        <v>504</v>
      </c>
      <c r="B629" s="147">
        <v>1.54E-2</v>
      </c>
      <c r="C629" s="147">
        <v>-4.5499999999999999E-2</v>
      </c>
      <c r="D629" s="147">
        <v>-4.1299999999999996E-2</v>
      </c>
      <c r="E629" s="147">
        <v>3.0000000000000001E-3</v>
      </c>
      <c r="F629" s="147">
        <v>-2.4199999999999999E-2</v>
      </c>
    </row>
    <row r="630" spans="1:6">
      <c r="A630" s="230" t="s">
        <v>505</v>
      </c>
      <c r="B630" s="147">
        <v>-6.0400000000000002E-2</v>
      </c>
      <c r="C630" s="147">
        <v>2.5000000000000001E-3</v>
      </c>
      <c r="D630" s="147">
        <v>2.7700000000000002E-2</v>
      </c>
      <c r="E630" s="147">
        <v>6.8000000000000005E-3</v>
      </c>
      <c r="F630" s="147">
        <v>1.1899999999999999E-2</v>
      </c>
    </row>
    <row r="631" spans="1:6">
      <c r="A631" s="230" t="s">
        <v>506</v>
      </c>
      <c r="B631" s="147">
        <v>-3.0699999999999998E-2</v>
      </c>
      <c r="C631" s="147">
        <v>-2.7900000000000001E-2</v>
      </c>
      <c r="D631" s="147">
        <v>5.6000000000000008E-3</v>
      </c>
      <c r="E631" s="147">
        <v>1.77E-2</v>
      </c>
      <c r="F631" s="147">
        <v>-5.7999999999999996E-3</v>
      </c>
    </row>
    <row r="632" spans="1:6">
      <c r="A632" s="230" t="s">
        <v>507</v>
      </c>
      <c r="B632" s="147">
        <v>7.7499999999999999E-2</v>
      </c>
      <c r="C632" s="147">
        <v>-2.0800000000000003E-2</v>
      </c>
      <c r="D632" s="147">
        <v>-4.5999999999999999E-3</v>
      </c>
      <c r="E632" s="147">
        <v>9.0000000000000011E-3</v>
      </c>
      <c r="F632" s="147">
        <v>5.3E-3</v>
      </c>
    </row>
    <row r="633" spans="1:6">
      <c r="A633" s="230" t="s">
        <v>508</v>
      </c>
      <c r="B633" s="147">
        <v>5.6999999999999993E-3</v>
      </c>
      <c r="C633" s="147">
        <v>3.3000000000000002E-2</v>
      </c>
      <c r="D633" s="147">
        <v>-4.1999999999999997E-3</v>
      </c>
      <c r="E633" s="147">
        <v>-2.7400000000000004E-2</v>
      </c>
      <c r="F633" s="147">
        <v>-0.01</v>
      </c>
    </row>
    <row r="634" spans="1:6">
      <c r="A634" s="230" t="s">
        <v>509</v>
      </c>
      <c r="B634" s="147">
        <v>-2.1600000000000001E-2</v>
      </c>
      <c r="C634" s="147">
        <v>-0.03</v>
      </c>
      <c r="D634" s="147">
        <v>-2.6099999999999998E-2</v>
      </c>
      <c r="E634" s="147">
        <v>5.0000000000000001E-3</v>
      </c>
      <c r="F634" s="147">
        <v>-1E-4</v>
      </c>
    </row>
    <row r="635" spans="1:6">
      <c r="A635" s="230" t="s">
        <v>510</v>
      </c>
      <c r="B635" s="147">
        <v>-5.7599999999999991E-2</v>
      </c>
      <c r="C635" s="147">
        <v>-3.4700000000000002E-2</v>
      </c>
      <c r="D635" s="147">
        <v>2.0899999999999998E-2</v>
      </c>
      <c r="E635" s="147">
        <v>2.81E-2</v>
      </c>
      <c r="F635" s="147">
        <v>3.0699999999999998E-2</v>
      </c>
    </row>
    <row r="636" spans="1:6">
      <c r="A636" s="230" t="s">
        <v>511</v>
      </c>
      <c r="B636" s="147">
        <v>-5.0000000000000012E-4</v>
      </c>
      <c r="C636" s="147">
        <v>8.8000000000000005E-3</v>
      </c>
      <c r="D636" s="147">
        <v>-5.6999999999999993E-3</v>
      </c>
      <c r="E636" s="147">
        <v>3.2500000000000001E-2</v>
      </c>
      <c r="F636" s="147">
        <v>2.0199999999999999E-2</v>
      </c>
    </row>
    <row r="637" spans="1:6">
      <c r="A637" s="230" t="s">
        <v>512</v>
      </c>
      <c r="B637" s="147">
        <v>6.9800000000000001E-2</v>
      </c>
      <c r="C637" s="147">
        <v>1.0700000000000001E-2</v>
      </c>
      <c r="D637" s="147">
        <v>1.1899999999999999E-2</v>
      </c>
      <c r="E637" s="147">
        <v>7.7000000000000002E-3</v>
      </c>
      <c r="F637" s="147">
        <v>-8.0000000000000004E-4</v>
      </c>
    </row>
    <row r="638" spans="1:6">
      <c r="A638" s="230" t="s">
        <v>513</v>
      </c>
      <c r="B638" s="147">
        <v>9.1999999999999998E-3</v>
      </c>
      <c r="C638" s="147">
        <v>1.23E-2</v>
      </c>
      <c r="D638" s="147">
        <v>3.2799999999999996E-2</v>
      </c>
      <c r="E638" s="147">
        <v>-2.9700000000000004E-2</v>
      </c>
      <c r="F638" s="147">
        <v>1.9E-2</v>
      </c>
    </row>
    <row r="639" spans="1:6">
      <c r="A639" s="230" t="s">
        <v>514</v>
      </c>
      <c r="B639" s="147">
        <v>1.7899999999999999E-2</v>
      </c>
      <c r="C639" s="147">
        <v>-6.1000000000000004E-3</v>
      </c>
      <c r="D639" s="147">
        <v>-1.66E-2</v>
      </c>
      <c r="E639" s="147">
        <v>-1.0900000000000002E-2</v>
      </c>
      <c r="F639" s="147">
        <v>-2.4900000000000002E-2</v>
      </c>
    </row>
    <row r="640" spans="1:6">
      <c r="A640" s="230" t="s">
        <v>515</v>
      </c>
      <c r="B640" s="147">
        <v>-3.0000000000000003E-4</v>
      </c>
      <c r="C640" s="147">
        <v>4.5000000000000005E-3</v>
      </c>
      <c r="D640" s="147">
        <v>-1.4800000000000001E-2</v>
      </c>
      <c r="E640" s="147">
        <v>1.41E-2</v>
      </c>
      <c r="F640" s="147">
        <v>1.9400000000000001E-2</v>
      </c>
    </row>
    <row r="641" spans="1:6">
      <c r="A641" s="230" t="s">
        <v>516</v>
      </c>
      <c r="B641" s="147">
        <v>3.9699999999999999E-2</v>
      </c>
      <c r="C641" s="147">
        <v>2.4799999999999999E-2</v>
      </c>
      <c r="D641" s="147">
        <v>-1.3200000000000002E-2</v>
      </c>
      <c r="E641" s="147">
        <v>1.2500000000000001E-2</v>
      </c>
      <c r="F641" s="147">
        <v>-1.18E-2</v>
      </c>
    </row>
    <row r="642" spans="1:6">
      <c r="A642" s="230" t="s">
        <v>517</v>
      </c>
      <c r="B642" s="147">
        <v>5.0999999999999995E-3</v>
      </c>
      <c r="C642" s="147">
        <v>1.6899999999999998E-2</v>
      </c>
      <c r="D642" s="147">
        <v>3.1800000000000002E-2</v>
      </c>
      <c r="E642" s="147">
        <v>-1.8500000000000003E-2</v>
      </c>
      <c r="F642" s="147">
        <v>-3.4000000000000002E-3</v>
      </c>
    </row>
    <row r="643" spans="1:6">
      <c r="A643" s="230" t="s">
        <v>518</v>
      </c>
      <c r="B643" s="147">
        <v>2.7000000000000001E-3</v>
      </c>
      <c r="C643" s="147">
        <v>1.8600000000000002E-2</v>
      </c>
      <c r="D643" s="147">
        <v>-1.24E-2</v>
      </c>
      <c r="E643" s="147">
        <v>-2.2100000000000002E-2</v>
      </c>
      <c r="F643" s="147">
        <v>2.0000000000000001E-4</v>
      </c>
    </row>
    <row r="644" spans="1:6">
      <c r="A644" s="230" t="s">
        <v>519</v>
      </c>
      <c r="B644" s="147">
        <v>-0.02</v>
      </c>
      <c r="C644" s="147">
        <v>-4.0300000000000002E-2</v>
      </c>
      <c r="D644" s="147">
        <v>4.0899999999999999E-2</v>
      </c>
      <c r="E644" s="147">
        <v>9.300000000000001E-3</v>
      </c>
      <c r="F644" s="147">
        <v>2.7000000000000001E-3</v>
      </c>
    </row>
    <row r="645" spans="1:6">
      <c r="A645" s="230" t="s">
        <v>520</v>
      </c>
      <c r="B645" s="147">
        <v>4.8700000000000007E-2</v>
      </c>
      <c r="C645" s="147">
        <v>7.0699999999999999E-2</v>
      </c>
      <c r="D645" s="147">
        <v>8.2100000000000006E-2</v>
      </c>
      <c r="E645" s="147">
        <v>-1.8E-3</v>
      </c>
      <c r="F645" s="147">
        <v>3.6900000000000002E-2</v>
      </c>
    </row>
    <row r="646" spans="1:6">
      <c r="A646" s="230" t="s">
        <v>521</v>
      </c>
      <c r="B646" s="147">
        <v>1.8500000000000003E-2</v>
      </c>
      <c r="C646" s="147">
        <v>4.0999999999999995E-3</v>
      </c>
      <c r="D646" s="147">
        <v>3.5299999999999998E-2</v>
      </c>
      <c r="E646" s="147">
        <v>1.2200000000000001E-2</v>
      </c>
      <c r="F646" s="147">
        <v>-2.3999999999999998E-3</v>
      </c>
    </row>
    <row r="647" spans="1:6">
      <c r="A647" s="230" t="s">
        <v>50</v>
      </c>
      <c r="B647" s="147">
        <v>1.9800000000000002E-2</v>
      </c>
      <c r="C647" s="147">
        <v>-1.4499999999999999E-2</v>
      </c>
      <c r="D647" s="147">
        <v>-2.75E-2</v>
      </c>
      <c r="E647" s="147">
        <v>-5.0000000000000001E-3</v>
      </c>
      <c r="F647" s="147">
        <v>-9.9000000000000008E-3</v>
      </c>
    </row>
    <row r="648" spans="1:6">
      <c r="A648" s="230" t="s">
        <v>53</v>
      </c>
      <c r="B648" s="147">
        <v>3.61E-2</v>
      </c>
      <c r="C648" s="147">
        <v>-2.2200000000000001E-2</v>
      </c>
      <c r="D648" s="147">
        <v>-1.67E-2</v>
      </c>
      <c r="E648" s="147">
        <v>4.7000000000000002E-3</v>
      </c>
      <c r="F648" s="147">
        <v>-1.83E-2</v>
      </c>
    </row>
    <row r="649" spans="1:6">
      <c r="A649" s="230" t="s">
        <v>56</v>
      </c>
      <c r="B649" s="147">
        <v>2E-3</v>
      </c>
      <c r="C649" s="147">
        <v>7.4000000000000003E-3</v>
      </c>
      <c r="D649" s="147">
        <v>-3.3500000000000002E-2</v>
      </c>
      <c r="E649" s="147">
        <v>6.1000000000000004E-3</v>
      </c>
      <c r="F649" s="147">
        <v>-9.4999999999999998E-3</v>
      </c>
    </row>
    <row r="650" spans="1:6">
      <c r="A650" s="230" t="s">
        <v>57</v>
      </c>
      <c r="B650" s="147">
        <v>1.1400000000000002E-2</v>
      </c>
      <c r="C650" s="147">
        <v>4.7999999999999996E-3</v>
      </c>
      <c r="D650" s="147">
        <v>-2.1299999999999999E-2</v>
      </c>
      <c r="E650" s="147">
        <v>1.9E-2</v>
      </c>
      <c r="F650" s="147">
        <v>-1.6E-2</v>
      </c>
    </row>
    <row r="651" spans="1:6">
      <c r="A651" s="230" t="s">
        <v>58</v>
      </c>
      <c r="B651" s="147">
        <v>1.12E-2</v>
      </c>
      <c r="C651" s="147">
        <v>-3.0600000000000002E-2</v>
      </c>
      <c r="D651" s="147">
        <v>-3.78E-2</v>
      </c>
      <c r="E651" s="147">
        <v>9.4999999999999998E-3</v>
      </c>
      <c r="F651" s="147">
        <v>-1.7899999999999999E-2</v>
      </c>
    </row>
    <row r="652" spans="1:6">
      <c r="A652" s="230" t="s">
        <v>59</v>
      </c>
      <c r="B652" s="147">
        <v>8.4000000000000012E-3</v>
      </c>
      <c r="C652" s="147">
        <v>2.58E-2</v>
      </c>
      <c r="D652" s="147">
        <v>1.4800000000000001E-2</v>
      </c>
      <c r="E652" s="147">
        <v>-2.2200000000000001E-2</v>
      </c>
      <c r="F652" s="147">
        <v>0</v>
      </c>
    </row>
    <row r="653" spans="1:6">
      <c r="A653" s="230" t="s">
        <v>60</v>
      </c>
      <c r="B653" s="147">
        <v>1.9400000000000001E-2</v>
      </c>
      <c r="C653" s="147">
        <v>-1.6899999999999998E-2</v>
      </c>
      <c r="D653" s="147">
        <v>-3.0999999999999999E-3</v>
      </c>
      <c r="E653" s="147">
        <v>-6.7000000000000002E-3</v>
      </c>
      <c r="F653" s="147">
        <v>-2E-3</v>
      </c>
    </row>
    <row r="654" spans="1:6">
      <c r="A654" s="230" t="s">
        <v>61</v>
      </c>
      <c r="B654" s="147">
        <v>2.5000000000000001E-3</v>
      </c>
      <c r="C654" s="147">
        <v>-1.83E-2</v>
      </c>
      <c r="D654" s="147">
        <v>-2.1000000000000001E-2</v>
      </c>
      <c r="E654" s="147">
        <v>1.5E-3</v>
      </c>
      <c r="F654" s="147">
        <v>-2.3799999999999998E-2</v>
      </c>
    </row>
    <row r="655" spans="1:6">
      <c r="A655" s="230" t="s">
        <v>62</v>
      </c>
      <c r="B655" s="147">
        <v>2.5999999999999999E-2</v>
      </c>
      <c r="C655" s="147">
        <v>4.7699999999999999E-2</v>
      </c>
      <c r="D655" s="147">
        <v>3.1200000000000002E-2</v>
      </c>
      <c r="E655" s="147">
        <v>-1.4999999999999999E-2</v>
      </c>
      <c r="F655" s="147">
        <v>1.7100000000000001E-2</v>
      </c>
    </row>
    <row r="656" spans="1:6">
      <c r="A656" s="230" t="s">
        <v>63</v>
      </c>
      <c r="B656" s="147">
        <v>2.3400000000000001E-2</v>
      </c>
      <c r="C656" s="147">
        <v>-1.9400000000000001E-2</v>
      </c>
      <c r="D656" s="147">
        <v>1.9E-3</v>
      </c>
      <c r="E656" s="147">
        <v>9.1000000000000004E-3</v>
      </c>
      <c r="F656" s="147">
        <v>-3.2599999999999997E-2</v>
      </c>
    </row>
    <row r="657" spans="1:6">
      <c r="A657" s="230" t="s">
        <v>64</v>
      </c>
      <c r="B657" s="147">
        <v>3.2000000000000001E-2</v>
      </c>
      <c r="C657" s="147">
        <v>-3.2000000000000002E-3</v>
      </c>
      <c r="D657" s="147">
        <v>-2.9999999999999997E-4</v>
      </c>
      <c r="E657" s="147">
        <v>3.1899999999999998E-2</v>
      </c>
      <c r="F657" s="147">
        <v>-5.9999999999999995E-4</v>
      </c>
    </row>
    <row r="658" spans="1:6">
      <c r="A658" s="230" t="s">
        <v>65</v>
      </c>
      <c r="B658" s="147">
        <v>1.15E-2</v>
      </c>
      <c r="C658" s="147">
        <v>-1.06E-2</v>
      </c>
      <c r="D658" s="147">
        <v>5.9999999999999995E-4</v>
      </c>
      <c r="E658" s="147">
        <v>7.4999999999999997E-3</v>
      </c>
      <c r="F658" s="147">
        <v>1.7000000000000001E-2</v>
      </c>
    </row>
    <row r="659" spans="1:6">
      <c r="A659" s="230" t="s">
        <v>66</v>
      </c>
      <c r="B659" s="147">
        <v>5.6900000000000006E-2</v>
      </c>
      <c r="C659" s="147">
        <v>-3.1699999999999999E-2</v>
      </c>
      <c r="D659" s="147">
        <v>-1.2800000000000001E-2</v>
      </c>
      <c r="E659" s="147">
        <v>-7.4999999999999997E-3</v>
      </c>
      <c r="F659" s="147">
        <v>-9.1000000000000004E-3</v>
      </c>
    </row>
    <row r="660" spans="1:6">
      <c r="A660" s="230" t="s">
        <v>67</v>
      </c>
      <c r="B660" s="147">
        <v>-3.5400000000000001E-2</v>
      </c>
      <c r="C660" s="147">
        <v>3.2000000000000002E-3</v>
      </c>
      <c r="D660" s="147">
        <v>-1.0400000000000001E-2</v>
      </c>
      <c r="E660" s="147">
        <v>4.7999999999999996E-3</v>
      </c>
      <c r="F660" s="147">
        <v>-2.2799999999999997E-2</v>
      </c>
    </row>
    <row r="661" spans="1:6">
      <c r="A661" s="230" t="s">
        <v>68</v>
      </c>
      <c r="B661" s="147">
        <v>-2.24E-2</v>
      </c>
      <c r="C661" s="147">
        <v>3.6000000000000004E-2</v>
      </c>
      <c r="D661" s="147">
        <v>-2E-3</v>
      </c>
      <c r="E661" s="147">
        <v>-4.1999999999999997E-3</v>
      </c>
      <c r="F661" s="147">
        <v>-2.0000000000000001E-4</v>
      </c>
    </row>
    <row r="662" spans="1:6">
      <c r="A662" s="230" t="s">
        <v>69</v>
      </c>
      <c r="B662" s="147">
        <v>4.3E-3</v>
      </c>
      <c r="C662" s="147">
        <v>9.300000000000001E-3</v>
      </c>
      <c r="D662" s="147">
        <v>5.4000000000000003E-3</v>
      </c>
      <c r="E662" s="147">
        <v>-2.4400000000000002E-2</v>
      </c>
      <c r="F662" s="147">
        <v>1.2800000000000001E-2</v>
      </c>
    </row>
    <row r="663" spans="1:6">
      <c r="A663" s="230" t="s">
        <v>70</v>
      </c>
      <c r="B663" s="147">
        <v>2.7900000000000001E-2</v>
      </c>
      <c r="C663" s="147">
        <v>4.7500000000000001E-2</v>
      </c>
      <c r="D663" s="147">
        <v>-3.2199999999999999E-2</v>
      </c>
      <c r="E663" s="147">
        <v>-2.0499999999999997E-2</v>
      </c>
      <c r="F663" s="147">
        <v>-1.5300000000000001E-2</v>
      </c>
    </row>
    <row r="664" spans="1:6">
      <c r="A664" s="230" t="s">
        <v>71</v>
      </c>
      <c r="B664" s="147">
        <v>6.1999999999999998E-3</v>
      </c>
      <c r="C664" s="147">
        <v>8.0000000000000002E-3</v>
      </c>
      <c r="D664" s="147">
        <v>-2.3300000000000001E-2</v>
      </c>
      <c r="E664" s="147">
        <v>8.0000000000000002E-3</v>
      </c>
      <c r="F664" s="147">
        <v>2E-3</v>
      </c>
    </row>
    <row r="665" spans="1:6">
      <c r="A665" s="230" t="s">
        <v>72</v>
      </c>
      <c r="B665" s="147">
        <v>3.3499999999999995E-2</v>
      </c>
      <c r="C665" s="147">
        <v>-1.9300000000000001E-2</v>
      </c>
      <c r="D665" s="147">
        <v>4.5000000000000005E-3</v>
      </c>
      <c r="E665" s="147">
        <v>1.5500000000000002E-2</v>
      </c>
      <c r="F665" s="147">
        <v>3.4999999999999996E-3</v>
      </c>
    </row>
    <row r="666" spans="1:6">
      <c r="A666" s="230" t="s">
        <v>73</v>
      </c>
      <c r="B666" s="147">
        <v>3.5999999999999997E-2</v>
      </c>
      <c r="C666" s="147">
        <v>6.5000000000000006E-3</v>
      </c>
      <c r="D666" s="147">
        <v>-0.04</v>
      </c>
      <c r="E666" s="147">
        <v>-3.0999999999999999E-3</v>
      </c>
      <c r="F666" s="147">
        <v>-2.7000000000000003E-2</v>
      </c>
    </row>
    <row r="667" spans="1:6">
      <c r="A667" s="230" t="s">
        <v>74</v>
      </c>
      <c r="B667" s="147">
        <v>2.0999999999999999E-3</v>
      </c>
      <c r="C667" s="147">
        <v>-2.4900000000000002E-2</v>
      </c>
      <c r="D667" s="147">
        <v>-1.7100000000000001E-2</v>
      </c>
      <c r="E667" s="147">
        <v>6.3E-3</v>
      </c>
      <c r="F667" s="147">
        <v>1.29E-2</v>
      </c>
    </row>
    <row r="668" spans="1:6">
      <c r="A668" s="230" t="s">
        <v>75</v>
      </c>
      <c r="B668" s="147">
        <v>-7.4899999999999994E-2</v>
      </c>
      <c r="C668" s="147">
        <v>-4.4500000000000005E-2</v>
      </c>
      <c r="D668" s="147">
        <v>3.4000000000000002E-2</v>
      </c>
      <c r="E668" s="147">
        <v>9.4999999999999998E-3</v>
      </c>
      <c r="F668" s="147">
        <v>3.5799999999999998E-2</v>
      </c>
    </row>
    <row r="669" spans="1:6">
      <c r="A669" s="230" t="s">
        <v>76</v>
      </c>
      <c r="B669" s="147">
        <v>1.8699999999999998E-2</v>
      </c>
      <c r="C669" s="147">
        <v>-7.7000000000000002E-3</v>
      </c>
      <c r="D669" s="147">
        <v>2.8000000000000004E-3</v>
      </c>
      <c r="E669" s="147">
        <v>-5.5000000000000005E-3</v>
      </c>
      <c r="F669" s="147">
        <v>3.9000000000000003E-3</v>
      </c>
    </row>
    <row r="670" spans="1:6">
      <c r="A670" s="230" t="s">
        <v>77</v>
      </c>
      <c r="B670" s="147">
        <v>-9.3700000000000006E-2</v>
      </c>
      <c r="C670" s="147">
        <v>-2.8799999999999999E-2</v>
      </c>
      <c r="D670" s="147">
        <v>-1.8800000000000001E-2</v>
      </c>
      <c r="E670" s="147">
        <v>-2.9999999999999997E-4</v>
      </c>
      <c r="F670" s="147">
        <v>2.0999999999999999E-3</v>
      </c>
    </row>
    <row r="671" spans="1:6">
      <c r="A671" s="230" t="s">
        <v>78</v>
      </c>
      <c r="B671" s="147">
        <v>8.610000000000001E-2</v>
      </c>
      <c r="C671" s="147">
        <v>3.0099999999999998E-2</v>
      </c>
      <c r="D671" s="147">
        <v>-4.5000000000000005E-3</v>
      </c>
      <c r="E671" s="147">
        <v>-7.8000000000000005E-3</v>
      </c>
      <c r="F671" s="147">
        <v>-1.52E-2</v>
      </c>
    </row>
    <row r="672" spans="1:6">
      <c r="A672" s="230" t="s">
        <v>79</v>
      </c>
      <c r="B672" s="147">
        <v>3.5800000000000005E-2</v>
      </c>
      <c r="C672" s="147">
        <v>1.7500000000000002E-2</v>
      </c>
      <c r="D672" s="147">
        <v>-2.7099999999999999E-2</v>
      </c>
      <c r="E672" s="147">
        <v>1.1999999999999999E-3</v>
      </c>
      <c r="F672" s="147">
        <v>-1.6E-2</v>
      </c>
    </row>
    <row r="673" spans="1:6">
      <c r="A673" s="230" t="s">
        <v>80</v>
      </c>
      <c r="B673" s="147">
        <v>1.2900000000000002E-2</v>
      </c>
      <c r="C673" s="147">
        <v>-3.5099999999999999E-2</v>
      </c>
      <c r="D673" s="147">
        <v>-4.1200000000000001E-2</v>
      </c>
      <c r="E673" s="147">
        <v>9.1000000000000004E-3</v>
      </c>
      <c r="F673" s="147">
        <v>-9.4000000000000004E-3</v>
      </c>
    </row>
    <row r="674" spans="1:6">
      <c r="A674" s="230" t="s">
        <v>81</v>
      </c>
      <c r="B674" s="147">
        <v>4.1800000000000004E-2</v>
      </c>
      <c r="C674" s="147">
        <v>-1.15E-2</v>
      </c>
      <c r="D674" s="147">
        <v>2.1600000000000001E-2</v>
      </c>
      <c r="E674" s="147">
        <v>1.5900000000000001E-2</v>
      </c>
      <c r="F674" s="147">
        <v>-2.2200000000000001E-2</v>
      </c>
    </row>
    <row r="675" spans="1:6">
      <c r="A675" s="230" t="s">
        <v>82</v>
      </c>
      <c r="B675" s="147">
        <v>-6.7299999999999999E-2</v>
      </c>
      <c r="C675" s="147">
        <v>-1.5900000000000001E-2</v>
      </c>
      <c r="D675" s="147">
        <v>-2.3700000000000002E-2</v>
      </c>
      <c r="E675" s="147">
        <v>-4.5999999999999999E-3</v>
      </c>
      <c r="F675" s="147">
        <v>1.77E-2</v>
      </c>
    </row>
    <row r="676" spans="1:6">
      <c r="A676" s="230" t="s">
        <v>83</v>
      </c>
      <c r="B676" s="147">
        <v>7.1099999999999997E-2</v>
      </c>
      <c r="C676" s="147">
        <v>3.7000000000000002E-3</v>
      </c>
      <c r="D676" s="147">
        <v>-6.9999999999999993E-3</v>
      </c>
      <c r="E676" s="147">
        <v>9.0000000000000011E-3</v>
      </c>
      <c r="F676" s="147">
        <v>-4.4000000000000003E-3</v>
      </c>
    </row>
    <row r="677" spans="1:6">
      <c r="A677" s="230" t="s">
        <v>84</v>
      </c>
      <c r="B677" s="147">
        <v>1.38E-2</v>
      </c>
      <c r="C677" s="147">
        <v>-1.78E-2</v>
      </c>
      <c r="D677" s="147">
        <v>4.7000000000000002E-3</v>
      </c>
      <c r="E677" s="147">
        <v>-7.000000000000001E-4</v>
      </c>
      <c r="F677" s="147">
        <v>3.4000000000000002E-3</v>
      </c>
    </row>
    <row r="678" spans="1:6">
      <c r="A678" s="230" t="s">
        <v>85</v>
      </c>
      <c r="B678" s="147">
        <v>-2.4199999999999999E-2</v>
      </c>
      <c r="C678" s="147">
        <v>-3.2400000000000005E-2</v>
      </c>
      <c r="D678" s="147">
        <v>-4.7899999999999998E-2</v>
      </c>
      <c r="E678" s="147">
        <v>5.6000000000000008E-3</v>
      </c>
      <c r="F678" s="147">
        <v>-6.8000000000000005E-3</v>
      </c>
    </row>
    <row r="679" spans="1:6">
      <c r="A679" s="230" t="s">
        <v>86</v>
      </c>
      <c r="B679" s="147">
        <v>1.61E-2</v>
      </c>
      <c r="C679" s="147">
        <v>2.6000000000000003E-3</v>
      </c>
      <c r="D679" s="147">
        <v>6.7699999999999996E-2</v>
      </c>
      <c r="E679" s="147">
        <v>1.84E-2</v>
      </c>
      <c r="F679" s="147">
        <v>3.39E-2</v>
      </c>
    </row>
    <row r="680" spans="1:6">
      <c r="A680" s="230" t="s">
        <v>87</v>
      </c>
      <c r="B680" s="147">
        <v>2.2200000000000001E-2</v>
      </c>
      <c r="C680" s="147">
        <v>2.7000000000000001E-3</v>
      </c>
      <c r="D680" s="147">
        <v>-1.9E-2</v>
      </c>
      <c r="E680" s="147">
        <v>4.3E-3</v>
      </c>
      <c r="F680" s="147">
        <v>-9.4999999999999998E-3</v>
      </c>
    </row>
    <row r="681" spans="1:6">
      <c r="A681" s="230" t="s">
        <v>88</v>
      </c>
      <c r="B681" s="147">
        <v>0.04</v>
      </c>
      <c r="C681" s="147">
        <v>4.5000000000000005E-3</v>
      </c>
      <c r="D681" s="147">
        <v>-1.9900000000000001E-2</v>
      </c>
      <c r="E681" s="147">
        <v>-1.6299999999999999E-2</v>
      </c>
      <c r="F681" s="147">
        <v>-1.2500000000000001E-2</v>
      </c>
    </row>
    <row r="682" spans="1:6">
      <c r="A682" s="230" t="s">
        <v>89</v>
      </c>
      <c r="B682" s="147">
        <v>2.9100000000000001E-2</v>
      </c>
      <c r="C682" s="147">
        <v>9.7000000000000003E-3</v>
      </c>
      <c r="D682" s="147">
        <v>1.78E-2</v>
      </c>
      <c r="E682" s="147">
        <v>-2.0000000000000001E-4</v>
      </c>
      <c r="F682" s="147">
        <v>1.23E-2</v>
      </c>
    </row>
    <row r="683" spans="1:6">
      <c r="A683" s="230" t="s">
        <v>90</v>
      </c>
      <c r="B683" s="147">
        <v>4.0000000000000007E-4</v>
      </c>
      <c r="C683" s="147">
        <v>-4.3700000000000003E-2</v>
      </c>
      <c r="D683" s="147">
        <v>-6.2199999999999998E-2</v>
      </c>
      <c r="E683" s="147">
        <v>-1.1899999999999999E-2</v>
      </c>
      <c r="F683" s="147">
        <v>-2.1899999999999999E-2</v>
      </c>
    </row>
    <row r="684" spans="1:6">
      <c r="A684" s="230" t="s">
        <v>91</v>
      </c>
      <c r="B684" s="147">
        <v>-8.030000000000001E-2</v>
      </c>
      <c r="C684" s="147">
        <v>8.0000000000000004E-4</v>
      </c>
      <c r="D684" s="147">
        <v>-3.8199999999999998E-2</v>
      </c>
      <c r="E684" s="147">
        <v>-1.43E-2</v>
      </c>
      <c r="F684" s="147">
        <v>-2.53E-2</v>
      </c>
    </row>
    <row r="685" spans="1:6">
      <c r="A685" s="230" t="s">
        <v>92</v>
      </c>
      <c r="B685" s="147">
        <v>-0.1323</v>
      </c>
      <c r="C685" s="147">
        <v>-8.1799999999999998E-2</v>
      </c>
      <c r="D685" s="147">
        <v>-0.13830000000000001</v>
      </c>
      <c r="E685" s="147">
        <v>-1.61E-2</v>
      </c>
      <c r="F685" s="147">
        <v>1.1899999999999999E-2</v>
      </c>
    </row>
    <row r="686" spans="1:6">
      <c r="A686" s="230" t="s">
        <v>93</v>
      </c>
      <c r="B686" s="147">
        <v>0.1358</v>
      </c>
      <c r="C686" s="147">
        <v>2.5700000000000001E-2</v>
      </c>
      <c r="D686" s="147">
        <v>-1.34E-2</v>
      </c>
      <c r="E686" s="147">
        <v>2.76E-2</v>
      </c>
      <c r="F686" s="147">
        <v>-1.0200000000000001E-2</v>
      </c>
    </row>
    <row r="687" spans="1:6">
      <c r="A687" s="230" t="s">
        <v>94</v>
      </c>
      <c r="B687" s="147">
        <v>5.5999999999999994E-2</v>
      </c>
      <c r="C687" s="147">
        <v>1.9199999999999998E-2</v>
      </c>
      <c r="D687" s="147">
        <v>-0.05</v>
      </c>
      <c r="E687" s="147">
        <v>9.5999999999999992E-3</v>
      </c>
      <c r="F687" s="147">
        <v>-3.1600000000000003E-2</v>
      </c>
    </row>
    <row r="688" spans="1:6">
      <c r="A688" s="230" t="s">
        <v>95</v>
      </c>
      <c r="B688" s="147">
        <v>2.4499999999999997E-2</v>
      </c>
      <c r="C688" s="147">
        <v>1.95E-2</v>
      </c>
      <c r="D688" s="147">
        <v>-2.1700000000000001E-2</v>
      </c>
      <c r="E688" s="147">
        <v>1.4000000000000002E-3</v>
      </c>
      <c r="F688" s="147">
        <v>5.5000000000000005E-3</v>
      </c>
    </row>
    <row r="689" spans="1:6">
      <c r="A689" s="230" t="s">
        <v>96</v>
      </c>
      <c r="B689" s="147">
        <v>5.8400000000000001E-2</v>
      </c>
      <c r="C689" s="147">
        <v>-3.1899999999999998E-2</v>
      </c>
      <c r="D689" s="147">
        <v>-1.44E-2</v>
      </c>
      <c r="E689" s="147">
        <v>3.8E-3</v>
      </c>
      <c r="F689" s="147">
        <v>9.7000000000000003E-3</v>
      </c>
    </row>
    <row r="690" spans="1:6">
      <c r="A690" s="230" t="s">
        <v>97</v>
      </c>
      <c r="B690" s="147">
        <v>7.6300000000000007E-2</v>
      </c>
      <c r="C690" s="147">
        <v>-8.8999999999999999E-3</v>
      </c>
      <c r="D690" s="147">
        <v>-3.0200000000000001E-2</v>
      </c>
      <c r="E690" s="147">
        <v>4.2699999999999995E-2</v>
      </c>
      <c r="F690" s="147">
        <v>-1.5100000000000001E-2</v>
      </c>
    </row>
    <row r="691" spans="1:6">
      <c r="A691" s="230" t="s">
        <v>98</v>
      </c>
      <c r="B691" s="147">
        <v>-3.6300000000000006E-2</v>
      </c>
      <c r="C691" s="147">
        <v>-1E-4</v>
      </c>
      <c r="D691" s="147">
        <v>-2.7200000000000002E-2</v>
      </c>
      <c r="E691" s="147">
        <v>-1.38E-2</v>
      </c>
      <c r="F691" s="147">
        <v>-1.9300000000000001E-2</v>
      </c>
    </row>
    <row r="692" spans="1:6">
      <c r="A692" s="230" t="s">
        <v>99</v>
      </c>
      <c r="B692" s="147">
        <v>-2.0700000000000003E-2</v>
      </c>
      <c r="C692" s="147">
        <v>4.6699999999999998E-2</v>
      </c>
      <c r="D692" s="147">
        <v>4.2500000000000003E-2</v>
      </c>
      <c r="E692" s="147">
        <v>-7.7000000000000002E-3</v>
      </c>
      <c r="F692" s="147">
        <v>-5.6999999999999993E-3</v>
      </c>
    </row>
    <row r="693" spans="1:6">
      <c r="A693" s="230" t="s">
        <v>100</v>
      </c>
      <c r="B693" s="147">
        <v>0.1245</v>
      </c>
      <c r="C693" s="147">
        <v>7.1199999999999999E-2</v>
      </c>
      <c r="D693" s="147">
        <v>2.0899999999999998E-2</v>
      </c>
      <c r="E693" s="147">
        <v>-2.2499999999999999E-2</v>
      </c>
      <c r="F693" s="147">
        <v>1.2800000000000001E-2</v>
      </c>
    </row>
    <row r="694" spans="1:6">
      <c r="A694" s="230" t="s">
        <v>101</v>
      </c>
      <c r="B694" s="147">
        <v>4.6399999999999997E-2</v>
      </c>
      <c r="C694" s="147">
        <v>4.9299999999999997E-2</v>
      </c>
      <c r="D694" s="147">
        <v>-1.6799999999999999E-2</v>
      </c>
      <c r="E694" s="147">
        <v>-1.9699999999999999E-2</v>
      </c>
      <c r="F694" s="147">
        <v>-5.9999999999999995E-4</v>
      </c>
    </row>
    <row r="695" spans="1:6">
      <c r="A695" s="230" t="s">
        <v>102</v>
      </c>
      <c r="B695" s="147">
        <v>-7.000000000000001E-4</v>
      </c>
      <c r="C695" s="147">
        <v>6.8099999999999994E-2</v>
      </c>
      <c r="D695" s="147">
        <v>3.2199999999999999E-2</v>
      </c>
      <c r="E695" s="147">
        <v>-3.6499999999999998E-2</v>
      </c>
      <c r="F695" s="147">
        <v>4.9700000000000001E-2</v>
      </c>
    </row>
    <row r="696" spans="1:6">
      <c r="A696" s="230" t="s">
        <v>103</v>
      </c>
      <c r="B696" s="147">
        <v>2.81E-2</v>
      </c>
      <c r="C696" s="147">
        <v>4.4999999999999998E-2</v>
      </c>
      <c r="D696" s="147">
        <v>7.2000000000000008E-2</v>
      </c>
      <c r="E696" s="147">
        <v>3.3000000000000004E-3</v>
      </c>
      <c r="F696" s="147">
        <v>-1.9900000000000001E-2</v>
      </c>
    </row>
    <row r="697" spans="1:6">
      <c r="A697" s="230" t="s">
        <v>104</v>
      </c>
      <c r="B697" s="147">
        <v>3.1600000000000003E-2</v>
      </c>
      <c r="C697" s="147">
        <v>-8.3999999999999995E-3</v>
      </c>
      <c r="D697" s="147">
        <v>7.3499999999999996E-2</v>
      </c>
      <c r="E697" s="147">
        <v>6.3500000000000001E-2</v>
      </c>
      <c r="F697" s="147">
        <v>3.5200000000000002E-2</v>
      </c>
    </row>
    <row r="698" spans="1:6">
      <c r="A698" s="230" t="s">
        <v>105</v>
      </c>
      <c r="B698" s="147">
        <v>4.9700000000000001E-2</v>
      </c>
      <c r="C698" s="147">
        <v>-3.1600000000000003E-2</v>
      </c>
      <c r="D698" s="147">
        <v>-1.0200000000000001E-2</v>
      </c>
      <c r="E698" s="147">
        <v>2.4300000000000002E-2</v>
      </c>
      <c r="F698" s="147">
        <v>-2.7200000000000002E-2</v>
      </c>
    </row>
    <row r="699" spans="1:6">
      <c r="A699" s="230" t="s">
        <v>106</v>
      </c>
      <c r="B699" s="147">
        <v>2.8999999999999998E-3</v>
      </c>
      <c r="C699" s="147">
        <v>1.2700000000000001E-2</v>
      </c>
      <c r="D699" s="147">
        <v>7.0400000000000004E-2</v>
      </c>
      <c r="E699" s="147">
        <v>2.3400000000000001E-2</v>
      </c>
      <c r="F699" s="147">
        <v>3.0099999999999998E-2</v>
      </c>
    </row>
    <row r="700" spans="1:6">
      <c r="A700" s="230" t="s">
        <v>107</v>
      </c>
      <c r="B700" s="147">
        <v>2.7300000000000001E-2</v>
      </c>
      <c r="C700" s="147">
        <v>-3.0000000000000001E-3</v>
      </c>
      <c r="D700" s="147">
        <v>-7.8600000000000003E-2</v>
      </c>
      <c r="E700" s="147">
        <v>-2.1400000000000002E-2</v>
      </c>
      <c r="F700" s="147">
        <v>-9.300000000000001E-3</v>
      </c>
    </row>
    <row r="701" spans="1:6">
      <c r="A701" s="230" t="s">
        <v>108</v>
      </c>
      <c r="B701" s="147">
        <v>1.34E-2</v>
      </c>
      <c r="C701" s="147">
        <v>-4.5499999999999999E-2</v>
      </c>
      <c r="D701" s="147">
        <v>-1.7899999999999999E-2</v>
      </c>
      <c r="E701" s="147">
        <v>5.5E-2</v>
      </c>
      <c r="F701" s="147">
        <v>-5.8999999999999999E-3</v>
      </c>
    </row>
    <row r="702" spans="1:6">
      <c r="A702" s="230" t="s">
        <v>109</v>
      </c>
      <c r="B702" s="147">
        <v>2.9500000000000002E-2</v>
      </c>
      <c r="C702" s="147">
        <v>-6.6000000000000008E-3</v>
      </c>
      <c r="D702" s="147">
        <v>-2.3E-3</v>
      </c>
      <c r="E702" s="147">
        <v>-2.6000000000000003E-3</v>
      </c>
      <c r="F702" s="147">
        <v>-1.72E-2</v>
      </c>
    </row>
    <row r="703" spans="1:6">
      <c r="A703" s="230" t="s">
        <v>110</v>
      </c>
      <c r="B703" s="147">
        <v>-4.4000000000000004E-2</v>
      </c>
      <c r="C703" s="147">
        <v>1.1200000000000002E-2</v>
      </c>
      <c r="D703" s="147">
        <v>5.1200000000000002E-2</v>
      </c>
      <c r="E703" s="147">
        <v>-1.9199999999999998E-2</v>
      </c>
      <c r="F703" s="147">
        <v>0.02</v>
      </c>
    </row>
    <row r="704" spans="1:6">
      <c r="A704" s="230" t="s">
        <v>111</v>
      </c>
      <c r="B704" s="147">
        <v>6.6299999999999998E-2</v>
      </c>
      <c r="C704" s="147">
        <v>-2.7000000000000003E-2</v>
      </c>
      <c r="D704" s="147">
        <v>-5.3E-3</v>
      </c>
      <c r="E704" s="147">
        <v>1.7100000000000001E-2</v>
      </c>
      <c r="F704" s="147">
        <v>-1.54E-2</v>
      </c>
    </row>
    <row r="705" spans="1:6">
      <c r="A705" s="230" t="s">
        <v>112</v>
      </c>
      <c r="B705" s="147">
        <v>-1.5800000000000002E-2</v>
      </c>
      <c r="C705" s="147">
        <v>-1.7000000000000001E-2</v>
      </c>
      <c r="D705" s="147">
        <v>-3.7000000000000002E-3</v>
      </c>
      <c r="E705" s="147">
        <v>7.1900000000000006E-2</v>
      </c>
      <c r="F705" s="147">
        <v>1.7000000000000001E-2</v>
      </c>
    </row>
    <row r="706" spans="1:6">
      <c r="A706" s="230" t="s">
        <v>522</v>
      </c>
      <c r="B706" s="147">
        <v>3.2500000000000001E-2</v>
      </c>
      <c r="C706" s="147">
        <v>-7.8000000000000005E-3</v>
      </c>
      <c r="D706" s="147">
        <v>3.2599999999999997E-2</v>
      </c>
      <c r="E706" s="147">
        <v>4.8800000000000003E-2</v>
      </c>
      <c r="F706" s="147">
        <v>4.2900000000000001E-2</v>
      </c>
    </row>
    <row r="707" spans="1:6">
      <c r="A707" s="230" t="s">
        <v>523</v>
      </c>
      <c r="B707" s="147">
        <v>-6.1500000000000006E-2</v>
      </c>
      <c r="C707" s="147">
        <v>-4.0099999999999997E-2</v>
      </c>
      <c r="D707" s="147">
        <v>0.12859999999999999</v>
      </c>
      <c r="E707" s="147">
        <v>7.7000000000000002E-3</v>
      </c>
      <c r="F707" s="147">
        <v>7.7300000000000008E-2</v>
      </c>
    </row>
    <row r="708" spans="1:6">
      <c r="A708" s="230" t="s">
        <v>524</v>
      </c>
      <c r="B708" s="147">
        <v>-2.2799999999999997E-2</v>
      </c>
      <c r="C708" s="147">
        <v>2.86E-2</v>
      </c>
      <c r="D708" s="147">
        <v>3.0600000000000002E-2</v>
      </c>
      <c r="E708" s="147">
        <v>-2.0299999999999999E-2</v>
      </c>
      <c r="F708" s="147">
        <v>3.0299999999999997E-2</v>
      </c>
    </row>
    <row r="709" spans="1:6">
      <c r="A709" s="230" t="s">
        <v>525</v>
      </c>
      <c r="B709" s="147">
        <v>3.0800000000000001E-2</v>
      </c>
      <c r="C709" s="147">
        <v>-2.1100000000000001E-2</v>
      </c>
      <c r="D709" s="147">
        <v>-1.9E-2</v>
      </c>
      <c r="E709" s="147">
        <v>-1.4999999999999999E-2</v>
      </c>
      <c r="F709" s="147">
        <v>3.2100000000000004E-2</v>
      </c>
    </row>
    <row r="710" spans="1:6">
      <c r="A710" s="230" t="s">
        <v>526</v>
      </c>
      <c r="B710" s="147">
        <v>-9.4100000000000003E-2</v>
      </c>
      <c r="C710" s="147">
        <v>-3.4999999999999996E-3</v>
      </c>
      <c r="D710" s="147">
        <v>6.1800000000000001E-2</v>
      </c>
      <c r="E710" s="147">
        <v>3.4100000000000005E-2</v>
      </c>
      <c r="F710" s="147">
        <v>5.9200000000000003E-2</v>
      </c>
    </row>
    <row r="711" spans="1:6">
      <c r="A711" s="230" t="s">
        <v>527</v>
      </c>
      <c r="B711" s="147">
        <v>-3.0000000000000005E-3</v>
      </c>
      <c r="C711" s="147">
        <v>-2.9999999999999997E-4</v>
      </c>
      <c r="D711" s="147">
        <v>8.4400000000000003E-2</v>
      </c>
      <c r="E711" s="147">
        <v>1.5500000000000002E-2</v>
      </c>
      <c r="F711" s="147">
        <v>3.95E-2</v>
      </c>
    </row>
    <row r="712" spans="1:6">
      <c r="A712" s="230" t="s">
        <v>528</v>
      </c>
      <c r="B712" s="147">
        <v>-8.3400000000000002E-2</v>
      </c>
      <c r="C712" s="147">
        <v>1.3300000000000001E-2</v>
      </c>
      <c r="D712" s="147">
        <v>-0.06</v>
      </c>
      <c r="E712" s="147">
        <v>1.7600000000000001E-2</v>
      </c>
      <c r="F712" s="147">
        <v>-4.58E-2</v>
      </c>
    </row>
    <row r="713" spans="1:6">
      <c r="A713" s="230" t="s">
        <v>529</v>
      </c>
      <c r="B713" s="147">
        <v>9.6500000000000002E-2</v>
      </c>
      <c r="C713" s="147">
        <v>1.78E-2</v>
      </c>
      <c r="D713" s="147">
        <v>-4.1500000000000002E-2</v>
      </c>
      <c r="E713" s="147">
        <v>7.7000000000000002E-3</v>
      </c>
      <c r="F713" s="147">
        <v>-6.8499999999999991E-2</v>
      </c>
    </row>
    <row r="714" spans="1:6">
      <c r="A714" s="230" t="s">
        <v>530</v>
      </c>
      <c r="B714" s="147">
        <v>-3.5799999999999998E-2</v>
      </c>
      <c r="C714" s="147">
        <v>1.49E-2</v>
      </c>
      <c r="D714" s="147">
        <v>1.8E-3</v>
      </c>
      <c r="E714" s="147">
        <v>-4.7800000000000002E-2</v>
      </c>
      <c r="F714" s="147">
        <v>1.3200000000000002E-2</v>
      </c>
    </row>
    <row r="715" spans="1:6">
      <c r="A715" s="230" t="s">
        <v>531</v>
      </c>
      <c r="B715" s="147">
        <v>-9.1500000000000012E-2</v>
      </c>
      <c r="C715" s="147">
        <v>-9.7000000000000003E-3</v>
      </c>
      <c r="D715" s="147">
        <v>2.9999999999999997E-4</v>
      </c>
      <c r="E715" s="147">
        <v>-1.3700000000000002E-2</v>
      </c>
      <c r="F715" s="147">
        <v>-7.7000000000000002E-3</v>
      </c>
    </row>
    <row r="716" spans="1:6">
      <c r="A716" s="230" t="s">
        <v>275</v>
      </c>
      <c r="B716" s="147">
        <v>8.09E-2</v>
      </c>
      <c r="C716" s="147">
        <v>1.8100000000000002E-2</v>
      </c>
      <c r="D716" s="147">
        <v>7.9699999999999993E-2</v>
      </c>
      <c r="E716" s="147">
        <v>3.27E-2</v>
      </c>
      <c r="F716" s="147">
        <v>6.4299999999999996E-2</v>
      </c>
    </row>
    <row r="717" spans="1:6">
      <c r="A717" s="230" t="s">
        <v>276</v>
      </c>
      <c r="B717" s="147">
        <v>4.9800000000000004E-2</v>
      </c>
      <c r="C717" s="147">
        <v>-2.75E-2</v>
      </c>
      <c r="D717" s="147">
        <v>1.4800000000000001E-2</v>
      </c>
      <c r="E717" s="147">
        <v>6.3E-2</v>
      </c>
      <c r="F717" s="147">
        <v>3.15E-2</v>
      </c>
    </row>
    <row r="718" spans="1:6">
      <c r="A718" s="230" t="s">
        <v>277</v>
      </c>
      <c r="B718" s="147">
        <v>-6.0499999999999998E-2</v>
      </c>
      <c r="C718" s="147">
        <v>-1.9E-3</v>
      </c>
      <c r="D718" s="147">
        <v>1.34E-2</v>
      </c>
      <c r="E718" s="147">
        <v>3.2000000000000002E-3</v>
      </c>
      <c r="F718" s="147">
        <v>4.2800000000000005E-2</v>
      </c>
    </row>
    <row r="719" spans="1:6">
      <c r="A719" s="230" t="s">
        <v>532</v>
      </c>
      <c r="B719" s="147">
        <v>6.9400000000000003E-2</v>
      </c>
      <c r="C719" s="147">
        <v>4.3899999999999995E-2</v>
      </c>
      <c r="D719" s="147">
        <v>-3.9399999999999998E-2</v>
      </c>
      <c r="E719" s="147">
        <v>-2.4199999999999999E-2</v>
      </c>
      <c r="F719" s="147">
        <v>-4.4299999999999999E-2</v>
      </c>
    </row>
    <row r="720" spans="1:6">
      <c r="A720" s="230" t="s">
        <v>533</v>
      </c>
      <c r="B720" s="147">
        <v>-2.23E-2</v>
      </c>
      <c r="C720" s="147">
        <v>5.7999999999999996E-3</v>
      </c>
      <c r="D720" s="147">
        <v>-8.0000000000000002E-3</v>
      </c>
      <c r="E720" s="147">
        <v>9.7000000000000003E-3</v>
      </c>
      <c r="F720" s="147">
        <v>-1.5100000000000001E-2</v>
      </c>
    </row>
    <row r="721" spans="1:6">
      <c r="A721" s="230" t="s">
        <v>534</v>
      </c>
      <c r="B721" s="147">
        <v>2.8500000000000001E-2</v>
      </c>
      <c r="C721" s="147">
        <v>-6.8900000000000003E-2</v>
      </c>
      <c r="D721" s="147">
        <v>-9.0500000000000011E-2</v>
      </c>
      <c r="E721" s="147">
        <v>2.2700000000000001E-2</v>
      </c>
      <c r="F721" s="147">
        <v>-2.1000000000000001E-2</v>
      </c>
    </row>
    <row r="722" spans="1:6">
      <c r="A722" s="230" t="s">
        <v>535</v>
      </c>
      <c r="B722" s="147">
        <v>9.7999999999999997E-3</v>
      </c>
      <c r="C722" s="147">
        <v>-2.5700000000000001E-2</v>
      </c>
      <c r="D722" s="147">
        <v>-1.1999999999999999E-3</v>
      </c>
      <c r="E722" s="147">
        <v>2.4199999999999999E-2</v>
      </c>
      <c r="F722" s="147">
        <v>2.8500000000000001E-2</v>
      </c>
    </row>
    <row r="723" spans="1:6">
      <c r="A723" s="230" t="s">
        <v>536</v>
      </c>
      <c r="B723" s="147">
        <v>6.8999999999999999E-3</v>
      </c>
      <c r="C723" s="147">
        <v>-4.3E-3</v>
      </c>
      <c r="D723" s="147">
        <v>-7.7899999999999997E-2</v>
      </c>
      <c r="E723" s="147">
        <v>-1.78E-2</v>
      </c>
      <c r="F723" s="147">
        <v>-7.0800000000000002E-2</v>
      </c>
    </row>
    <row r="724" spans="1:6">
      <c r="A724" s="230" t="s">
        <v>537</v>
      </c>
      <c r="B724" s="147">
        <v>6.8600000000000008E-2</v>
      </c>
      <c r="C724" s="147">
        <v>1.2800000000000001E-2</v>
      </c>
      <c r="D724" s="147">
        <v>-1.3000000000000002E-3</v>
      </c>
      <c r="E724" s="147">
        <v>2.3199999999999998E-2</v>
      </c>
      <c r="F724" s="147">
        <v>-1.54E-2</v>
      </c>
    </row>
    <row r="725" spans="1:6">
      <c r="A725" s="230" t="s">
        <v>538</v>
      </c>
      <c r="B725" s="147">
        <v>3.6600000000000001E-2</v>
      </c>
      <c r="C725" s="147">
        <v>2.86E-2</v>
      </c>
      <c r="D725" s="147">
        <v>4.0599999999999997E-2</v>
      </c>
      <c r="E725" s="147">
        <v>-6.0000000000000001E-3</v>
      </c>
      <c r="F725" s="147">
        <v>6.6000000000000008E-3</v>
      </c>
    </row>
    <row r="726" spans="1:6">
      <c r="A726" s="230" t="s">
        <v>539</v>
      </c>
      <c r="B726" s="147">
        <v>-1.9099999999999999E-2</v>
      </c>
      <c r="C726" s="147">
        <v>-3.6499999999999998E-2</v>
      </c>
      <c r="D726" s="147">
        <v>-1.15E-2</v>
      </c>
      <c r="E726" s="147">
        <v>3.39E-2</v>
      </c>
      <c r="F726" s="147">
        <v>-2.4100000000000003E-2</v>
      </c>
    </row>
    <row r="727" spans="1:6">
      <c r="A727" s="230" t="s">
        <v>540</v>
      </c>
      <c r="B727" s="147">
        <v>-4.8000000000000008E-2</v>
      </c>
      <c r="C727" s="147">
        <v>-1.78E-2</v>
      </c>
      <c r="D727" s="147">
        <v>1.49E-2</v>
      </c>
      <c r="E727" s="147">
        <v>1.8800000000000001E-2</v>
      </c>
      <c r="F727" s="147">
        <v>-7.7000000000000002E-3</v>
      </c>
    </row>
    <row r="728" spans="1:6">
      <c r="A728" s="230" t="s">
        <v>278</v>
      </c>
      <c r="B728" s="147">
        <v>-2.6799999999999997E-2</v>
      </c>
      <c r="C728" s="147">
        <v>-4.0300000000000002E-2</v>
      </c>
      <c r="D728" s="147">
        <v>2E-3</v>
      </c>
      <c r="E728" s="147">
        <v>2.4300000000000002E-2</v>
      </c>
      <c r="F728" s="147">
        <v>-6.8999999999999999E-3</v>
      </c>
    </row>
    <row r="729" spans="1:6">
      <c r="A729" s="230" t="s">
        <v>279</v>
      </c>
      <c r="B729" s="147">
        <v>9.3200000000000005E-2</v>
      </c>
      <c r="C729" s="147">
        <v>-2.0999999999999999E-3</v>
      </c>
      <c r="D729" s="147">
        <v>1.67E-2</v>
      </c>
      <c r="E729" s="147">
        <v>-3.73E-2</v>
      </c>
      <c r="F729" s="147">
        <v>-1.0800000000000001E-2</v>
      </c>
    </row>
    <row r="730" spans="1:6">
      <c r="A730" s="230" t="s">
        <v>280</v>
      </c>
      <c r="B730" s="147">
        <v>5.2900000000000003E-2</v>
      </c>
      <c r="C730" s="147">
        <v>7.2599999999999998E-2</v>
      </c>
      <c r="D730" s="147">
        <v>4.8899999999999999E-2</v>
      </c>
      <c r="E730" s="147">
        <v>-0.03</v>
      </c>
      <c r="F730" s="147">
        <v>1.29E-2</v>
      </c>
    </row>
    <row r="731" spans="1:6">
      <c r="A731" s="230" t="s">
        <v>541</v>
      </c>
      <c r="B731" s="147">
        <v>1.2E-2</v>
      </c>
      <c r="C731" s="147">
        <v>-5.7099999999999998E-2</v>
      </c>
      <c r="D731" s="147">
        <v>-2.3799999999999998E-2</v>
      </c>
      <c r="E731" s="147">
        <v>7.0999999999999995E-3</v>
      </c>
      <c r="F731" s="147">
        <v>-9.7000000000000003E-3</v>
      </c>
    </row>
    <row r="732" spans="1:6">
      <c r="A732" s="230" t="s">
        <v>542</v>
      </c>
      <c r="B732" s="147">
        <v>5.4900000000000004E-2</v>
      </c>
      <c r="C732" s="147">
        <v>-8.0000000000000002E-3</v>
      </c>
      <c r="D732" s="147">
        <v>-3.4300000000000004E-2</v>
      </c>
      <c r="E732" s="147">
        <v>-1.89E-2</v>
      </c>
      <c r="F732" s="147">
        <v>-2.1700000000000001E-2</v>
      </c>
    </row>
    <row r="733" spans="1:6">
      <c r="A733" s="230" t="s">
        <v>543</v>
      </c>
      <c r="B733" s="147">
        <v>3.27E-2</v>
      </c>
      <c r="C733" s="147">
        <v>-1.1899999999999999E-2</v>
      </c>
      <c r="D733" s="147">
        <v>4.1600000000000005E-2</v>
      </c>
      <c r="E733" s="147">
        <v>1.47E-2</v>
      </c>
      <c r="F733" s="147">
        <v>1.1399999999999999E-2</v>
      </c>
    </row>
    <row r="734" spans="1:6">
      <c r="A734" s="230" t="s">
        <v>544</v>
      </c>
      <c r="B734" s="147">
        <v>-4.1800000000000004E-2</v>
      </c>
      <c r="C734" s="147">
        <v>-2.5400000000000002E-2</v>
      </c>
      <c r="D734" s="147">
        <v>-4.5000000000000005E-3</v>
      </c>
      <c r="E734" s="147">
        <v>1.4999999999999999E-2</v>
      </c>
      <c r="F734" s="147">
        <v>-3.0999999999999999E-3</v>
      </c>
    </row>
    <row r="735" spans="1:6">
      <c r="A735" s="230" t="s">
        <v>545</v>
      </c>
      <c r="B735" s="147">
        <v>4.760000000000001E-2</v>
      </c>
      <c r="C735" s="147">
        <v>6.0000000000000001E-3</v>
      </c>
      <c r="D735" s="147">
        <v>-1.3100000000000001E-2</v>
      </c>
      <c r="E735" s="147">
        <v>3.1699999999999999E-2</v>
      </c>
      <c r="F735" s="147">
        <v>-2.8500000000000001E-2</v>
      </c>
    </row>
    <row r="736" spans="1:6">
      <c r="A736" s="230" t="s">
        <v>546</v>
      </c>
      <c r="B736" s="147">
        <v>3.2100000000000004E-2</v>
      </c>
      <c r="C736" s="147">
        <v>-4.3299999999999998E-2</v>
      </c>
      <c r="D736" s="147">
        <v>-3.3599999999999998E-2</v>
      </c>
      <c r="E736" s="147">
        <v>4.7000000000000002E-3</v>
      </c>
      <c r="F736" s="147">
        <v>-1.8000000000000002E-2</v>
      </c>
    </row>
    <row r="737" spans="1:6">
      <c r="A737" s="230" t="s">
        <v>547</v>
      </c>
      <c r="B737" s="147">
        <v>1.67E-2</v>
      </c>
      <c r="C737" s="147">
        <v>8.3400000000000002E-2</v>
      </c>
      <c r="D737" s="147">
        <v>5.62E-2</v>
      </c>
      <c r="E737" s="147">
        <v>2.7000000000000001E-3</v>
      </c>
      <c r="F737" s="147">
        <v>2.8000000000000004E-3</v>
      </c>
    </row>
    <row r="738" spans="1:6">
      <c r="A738" s="230" t="s">
        <v>548</v>
      </c>
      <c r="B738" s="147">
        <v>2.0899999999999998E-2</v>
      </c>
      <c r="C738" s="147">
        <v>-3.5499999999999997E-2</v>
      </c>
      <c r="D738" s="147">
        <v>-1.1000000000000001E-2</v>
      </c>
      <c r="E738" s="147">
        <v>7.4999999999999997E-3</v>
      </c>
      <c r="F738" s="147">
        <v>8.199999999999999E-3</v>
      </c>
    </row>
    <row r="739" spans="1:6">
      <c r="A739" s="230" t="s">
        <v>549</v>
      </c>
      <c r="B739" s="147">
        <v>2.1299999999999999E-2</v>
      </c>
      <c r="C739" s="147">
        <v>-9.1999999999999998E-3</v>
      </c>
      <c r="D739" s="147">
        <v>-2.7700000000000002E-2</v>
      </c>
      <c r="E739" s="147">
        <v>1.8E-3</v>
      </c>
      <c r="F739" s="147">
        <v>-2.8999999999999998E-3</v>
      </c>
    </row>
    <row r="740" spans="1:6">
      <c r="A740" s="230" t="s">
        <v>281</v>
      </c>
      <c r="B740" s="147">
        <v>-6.1000000000000004E-3</v>
      </c>
      <c r="C740" s="147">
        <v>-8.8000000000000005E-3</v>
      </c>
      <c r="D740" s="147">
        <v>8.6E-3</v>
      </c>
      <c r="E740" s="147">
        <v>-1.4199999999999999E-2</v>
      </c>
      <c r="F740" s="147">
        <v>9.7999999999999997E-3</v>
      </c>
    </row>
    <row r="741" spans="1:6">
      <c r="A741" s="230" t="s">
        <v>282</v>
      </c>
      <c r="B741" s="147">
        <v>6.8900000000000003E-2</v>
      </c>
      <c r="C741" s="147">
        <v>4.5999999999999999E-2</v>
      </c>
      <c r="D741" s="147">
        <v>1.5E-3</v>
      </c>
      <c r="E741" s="147">
        <v>-2.3E-2</v>
      </c>
      <c r="F741" s="147">
        <v>-2.0499999999999997E-2</v>
      </c>
    </row>
    <row r="742" spans="1:6">
      <c r="A742" s="230" t="s">
        <v>283</v>
      </c>
      <c r="B742" s="147">
        <v>-2.7799999999999998E-2</v>
      </c>
      <c r="C742" s="147">
        <v>-3.8300000000000001E-2</v>
      </c>
      <c r="D742" s="147">
        <v>-0.03</v>
      </c>
      <c r="E742" s="147">
        <v>1.9E-2</v>
      </c>
      <c r="F742" s="147">
        <v>-1.21E-2</v>
      </c>
    </row>
    <row r="743" spans="1:6">
      <c r="A743" s="55"/>
    </row>
    <row r="744" spans="1:6">
      <c r="A744" s="55"/>
    </row>
    <row r="745" spans="1:6">
      <c r="A745" s="55"/>
    </row>
    <row r="746" spans="1:6">
      <c r="A746" s="55"/>
    </row>
    <row r="747" spans="1:6">
      <c r="A747" s="55"/>
    </row>
    <row r="748" spans="1:6">
      <c r="A748" s="55"/>
    </row>
    <row r="749" spans="1:6">
      <c r="A749" s="55"/>
    </row>
    <row r="750" spans="1:6">
      <c r="A750" s="55"/>
    </row>
  </sheetData>
  <mergeCells count="1">
    <mergeCell ref="A1:K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F8C4-4542-49A6-AE1B-EC2A912E800C}">
  <dimension ref="A1:AH753"/>
  <sheetViews>
    <sheetView workbookViewId="0">
      <selection activeCell="F25" sqref="F25"/>
    </sheetView>
  </sheetViews>
  <sheetFormatPr defaultRowHeight="15"/>
  <cols>
    <col min="2" max="2" width="10.85546875" bestFit="1" customWidth="1"/>
    <col min="7" max="7" width="10.140625" bestFit="1" customWidth="1"/>
    <col min="9" max="9" width="12.42578125" bestFit="1" customWidth="1"/>
    <col min="10" max="10" width="10" bestFit="1" customWidth="1"/>
    <col min="11" max="11" width="6.42578125" bestFit="1" customWidth="1"/>
    <col min="12" max="14" width="10" bestFit="1" customWidth="1"/>
    <col min="19" max="19" width="10.42578125" bestFit="1" customWidth="1"/>
    <col min="20" max="20" width="12.28515625" customWidth="1"/>
    <col min="21" max="21" width="11.140625" bestFit="1" customWidth="1"/>
    <col min="22" max="22" width="13.5703125" bestFit="1" customWidth="1"/>
    <col min="23" max="23" width="6.42578125" bestFit="1" customWidth="1"/>
  </cols>
  <sheetData>
    <row r="1" spans="1:28" ht="21">
      <c r="A1" s="307" t="s">
        <v>1267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</row>
    <row r="2" spans="1:28" ht="21">
      <c r="A2" s="228"/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</row>
    <row r="3" spans="1:28" ht="14.1" customHeight="1">
      <c r="B3" s="148" t="s">
        <v>319</v>
      </c>
      <c r="C3" s="150" t="s">
        <v>315</v>
      </c>
      <c r="D3" s="150" t="s">
        <v>316</v>
      </c>
      <c r="E3" s="150" t="s">
        <v>317</v>
      </c>
      <c r="F3" s="150" t="s">
        <v>318</v>
      </c>
      <c r="G3" s="228"/>
      <c r="H3" s="228"/>
    </row>
    <row r="4" spans="1:28" ht="14.1" customHeight="1">
      <c r="A4" s="150" t="s">
        <v>289</v>
      </c>
      <c r="B4" s="147">
        <v>1</v>
      </c>
      <c r="C4" s="181">
        <v>0.65658206575254285</v>
      </c>
      <c r="D4" s="181">
        <v>-0.20876202727709545</v>
      </c>
      <c r="E4" s="181">
        <v>1.8159647704524535</v>
      </c>
      <c r="F4" s="181">
        <v>2.4840785525851858</v>
      </c>
      <c r="G4" s="228"/>
      <c r="H4" s="228"/>
    </row>
    <row r="6" spans="1:28" ht="15.75" thickBot="1">
      <c r="I6" s="295" t="s">
        <v>47</v>
      </c>
      <c r="J6" s="295"/>
    </row>
    <row r="7" spans="1:28">
      <c r="A7" s="147"/>
      <c r="B7" s="148" t="s">
        <v>319</v>
      </c>
      <c r="C7" s="150" t="s">
        <v>315</v>
      </c>
      <c r="D7" s="150" t="s">
        <v>316</v>
      </c>
      <c r="E7" s="150" t="s">
        <v>317</v>
      </c>
      <c r="F7" s="150" t="s">
        <v>318</v>
      </c>
      <c r="G7" s="150" t="s">
        <v>1271</v>
      </c>
      <c r="H7" s="1"/>
      <c r="I7" s="1" t="s">
        <v>1268</v>
      </c>
      <c r="J7" s="1" t="s">
        <v>314</v>
      </c>
      <c r="L7" s="1" t="s">
        <v>1269</v>
      </c>
      <c r="M7" s="3" t="s">
        <v>315</v>
      </c>
      <c r="N7" s="3" t="s">
        <v>316</v>
      </c>
      <c r="O7" s="3" t="s">
        <v>317</v>
      </c>
      <c r="P7" s="3" t="s">
        <v>318</v>
      </c>
      <c r="R7" s="3" t="s">
        <v>51</v>
      </c>
      <c r="T7" s="21"/>
      <c r="U7" s="21" t="s">
        <v>128</v>
      </c>
      <c r="V7" s="21" t="s">
        <v>118</v>
      </c>
      <c r="W7" s="21" t="s">
        <v>129</v>
      </c>
      <c r="X7" s="21" t="s">
        <v>130</v>
      </c>
      <c r="Y7" s="21" t="s">
        <v>131</v>
      </c>
      <c r="Z7" s="21" t="s">
        <v>132</v>
      </c>
      <c r="AA7" s="23"/>
      <c r="AB7" s="23"/>
    </row>
    <row r="8" spans="1:28">
      <c r="A8" s="230" t="s">
        <v>653</v>
      </c>
      <c r="B8" s="147">
        <v>-1.2000000000000001E-3</v>
      </c>
      <c r="C8" s="147">
        <v>-4.0999999999999995E-3</v>
      </c>
      <c r="D8" s="147">
        <v>-9.7000000000000003E-3</v>
      </c>
      <c r="E8" s="147">
        <v>6.8000000000000005E-3</v>
      </c>
      <c r="F8" s="147">
        <v>-1.18E-2</v>
      </c>
      <c r="G8" s="147">
        <v>4.0999999999999995E-3</v>
      </c>
      <c r="I8" s="27">
        <f t="shared" ref="I8:I71" si="0">SUMPRODUCT(B8:F8,$B$4:$F$4)-0.0035</f>
        <v>-2.2330561286426107E-2</v>
      </c>
      <c r="J8">
        <f>G8-0.0035</f>
        <v>5.9999999999999941E-4</v>
      </c>
      <c r="L8">
        <f t="shared" ref="L8:L71" si="1">B8-0.0035</f>
        <v>-4.7000000000000002E-3</v>
      </c>
      <c r="M8">
        <f t="shared" ref="M8:M71" si="2">C8</f>
        <v>-4.0999999999999995E-3</v>
      </c>
      <c r="N8">
        <f t="shared" ref="N8:N71" si="3">D8</f>
        <v>-9.7000000000000003E-3</v>
      </c>
      <c r="O8">
        <f t="shared" ref="O8:O71" si="4">E8</f>
        <v>6.8000000000000005E-3</v>
      </c>
      <c r="P8">
        <f t="shared" ref="P8:P71" si="5">F8</f>
        <v>-1.18E-2</v>
      </c>
      <c r="R8" s="116">
        <f>INTERCEPT(J8:J685,I8:I685)</f>
        <v>5.8287091825870562E-3</v>
      </c>
      <c r="T8" t="s">
        <v>133</v>
      </c>
      <c r="U8" s="233">
        <v>5.8287147593599434E-3</v>
      </c>
      <c r="V8" s="5">
        <v>1.1546631683657263E-3</v>
      </c>
      <c r="W8" s="5">
        <v>5.0479784226682503</v>
      </c>
      <c r="X8" s="5">
        <v>5.7560306719500112E-7</v>
      </c>
      <c r="Y8" s="232">
        <v>3.5615331563517609E-3</v>
      </c>
      <c r="Z8" s="232">
        <v>8.0958963623681268E-3</v>
      </c>
      <c r="AA8" s="5"/>
      <c r="AB8" s="5"/>
    </row>
    <row r="9" spans="1:28">
      <c r="A9" s="230" t="s">
        <v>654</v>
      </c>
      <c r="B9" s="147">
        <v>5.3200000000000004E-2</v>
      </c>
      <c r="C9" s="147">
        <v>-8.0000000000000002E-3</v>
      </c>
      <c r="D9" s="147">
        <v>1.8000000000000002E-2</v>
      </c>
      <c r="E9" s="147">
        <v>3.5999999999999999E-3</v>
      </c>
      <c r="F9" s="147">
        <v>-3.4999999999999996E-3</v>
      </c>
      <c r="G9" s="147">
        <v>9.2200000000000004E-2</v>
      </c>
      <c r="I9" s="27">
        <f t="shared" si="0"/>
        <v>3.8532825222572634E-2</v>
      </c>
      <c r="J9">
        <f t="shared" ref="J9:J72" si="6">G9-0.0035</f>
        <v>8.8700000000000001E-2</v>
      </c>
      <c r="L9">
        <f t="shared" si="1"/>
        <v>4.9700000000000001E-2</v>
      </c>
      <c r="M9">
        <f t="shared" si="2"/>
        <v>-8.0000000000000002E-3</v>
      </c>
      <c r="N9">
        <f t="shared" si="3"/>
        <v>1.8000000000000002E-2</v>
      </c>
      <c r="O9">
        <f t="shared" si="4"/>
        <v>3.5999999999999999E-3</v>
      </c>
      <c r="P9">
        <f t="shared" si="5"/>
        <v>-3.4999999999999996E-3</v>
      </c>
      <c r="T9" t="s">
        <v>134</v>
      </c>
      <c r="U9" s="5">
        <v>1.0295387629787516</v>
      </c>
      <c r="V9" s="5">
        <v>2.8786590348753138E-2</v>
      </c>
      <c r="W9" s="5">
        <v>35.764526138933469</v>
      </c>
      <c r="X9" s="5">
        <v>1.1002667481564482E-157</v>
      </c>
      <c r="Y9" s="5">
        <v>0.97301628106361504</v>
      </c>
      <c r="Z9" s="5">
        <v>1.0860612448938882</v>
      </c>
      <c r="AA9" s="5"/>
      <c r="AB9" s="5"/>
    </row>
    <row r="10" spans="1:28">
      <c r="A10" s="230" t="s">
        <v>655</v>
      </c>
      <c r="B10" s="147">
        <v>-1.3000000000000001E-2</v>
      </c>
      <c r="C10" s="147">
        <v>-5.2000000000000006E-3</v>
      </c>
      <c r="D10" s="147">
        <v>1.3000000000000002E-3</v>
      </c>
      <c r="E10" s="147">
        <v>-7.0999999999999995E-3</v>
      </c>
      <c r="F10" s="147">
        <v>2.8999999999999998E-3</v>
      </c>
      <c r="G10" s="147">
        <v>-2.0800000000000003E-2</v>
      </c>
      <c r="I10" s="27">
        <f t="shared" si="0"/>
        <v>-2.5875139445088829E-2</v>
      </c>
      <c r="J10">
        <f t="shared" si="6"/>
        <v>-2.4300000000000002E-2</v>
      </c>
      <c r="L10">
        <f t="shared" si="1"/>
        <v>-1.6500000000000001E-2</v>
      </c>
      <c r="M10">
        <f t="shared" si="2"/>
        <v>-5.2000000000000006E-3</v>
      </c>
      <c r="N10">
        <f t="shared" si="3"/>
        <v>1.3000000000000002E-3</v>
      </c>
      <c r="O10">
        <f t="shared" si="4"/>
        <v>-7.0999999999999995E-3</v>
      </c>
      <c r="P10">
        <f t="shared" si="5"/>
        <v>2.8999999999999998E-3</v>
      </c>
      <c r="T10" t="s">
        <v>650</v>
      </c>
      <c r="U10" s="5">
        <v>0.38064929112541962</v>
      </c>
      <c r="V10" s="5">
        <v>4.0088645781753848E-2</v>
      </c>
      <c r="W10" s="5">
        <v>9.4951895655869301</v>
      </c>
      <c r="X10" s="5">
        <v>3.765023764503246E-20</v>
      </c>
      <c r="Y10" s="5">
        <v>0.30193521874832607</v>
      </c>
      <c r="Z10" s="5">
        <v>0.45936336350251317</v>
      </c>
      <c r="AA10" s="5"/>
      <c r="AB10" s="5"/>
    </row>
    <row r="11" spans="1:28">
      <c r="A11" s="230" t="s">
        <v>656</v>
      </c>
      <c r="B11" s="147">
        <v>2.8199999999999999E-2</v>
      </c>
      <c r="C11" s="147">
        <v>-1.3899999999999999E-2</v>
      </c>
      <c r="D11" s="147">
        <v>-1E-3</v>
      </c>
      <c r="E11" s="147">
        <v>2.7999999999999997E-2</v>
      </c>
      <c r="F11" s="147">
        <v>-2.01E-2</v>
      </c>
      <c r="G11" s="147">
        <v>5.4900000000000004E-2</v>
      </c>
      <c r="I11" s="27">
        <f t="shared" si="0"/>
        <v>1.6699305979023204E-2</v>
      </c>
      <c r="J11">
        <f t="shared" si="6"/>
        <v>5.1400000000000001E-2</v>
      </c>
      <c r="L11">
        <f t="shared" si="1"/>
        <v>2.47E-2</v>
      </c>
      <c r="M11">
        <f t="shared" si="2"/>
        <v>-1.3899999999999999E-2</v>
      </c>
      <c r="N11">
        <f t="shared" si="3"/>
        <v>-1E-3</v>
      </c>
      <c r="O11">
        <f t="shared" si="4"/>
        <v>2.7999999999999997E-2</v>
      </c>
      <c r="P11">
        <f t="shared" si="5"/>
        <v>-2.01E-2</v>
      </c>
      <c r="T11" t="s">
        <v>651</v>
      </c>
      <c r="U11" s="5">
        <v>-0.30519889111399162</v>
      </c>
      <c r="V11" s="5">
        <v>5.5084940584711452E-2</v>
      </c>
      <c r="W11" s="5">
        <v>-5.5405141200914363</v>
      </c>
      <c r="X11" s="5">
        <v>4.33258615079787E-8</v>
      </c>
      <c r="Y11" s="5">
        <v>-0.41335819446582411</v>
      </c>
      <c r="Z11" s="5">
        <v>-0.19703958776215913</v>
      </c>
      <c r="AA11" s="5"/>
      <c r="AB11" s="5"/>
    </row>
    <row r="12" spans="1:28">
      <c r="A12" s="230" t="s">
        <v>657</v>
      </c>
      <c r="B12" s="147">
        <v>-5.8000000000000005E-3</v>
      </c>
      <c r="C12" s="147">
        <v>-8.8000000000000005E-3</v>
      </c>
      <c r="D12" s="147">
        <v>1.7500000000000002E-2</v>
      </c>
      <c r="E12" s="147">
        <v>-5.1000000000000004E-3</v>
      </c>
      <c r="F12" s="147">
        <v>2.2400000000000003E-2</v>
      </c>
      <c r="G12" s="147">
        <v>-1.8E-3</v>
      </c>
      <c r="I12" s="27">
        <f t="shared" si="0"/>
        <v>2.7650681592629105E-2</v>
      </c>
      <c r="J12">
        <f t="shared" si="6"/>
        <v>-5.3E-3</v>
      </c>
      <c r="L12">
        <f t="shared" si="1"/>
        <v>-9.300000000000001E-3</v>
      </c>
      <c r="M12">
        <f t="shared" si="2"/>
        <v>-8.8000000000000005E-3</v>
      </c>
      <c r="N12">
        <f t="shared" si="3"/>
        <v>1.7500000000000002E-2</v>
      </c>
      <c r="O12">
        <f t="shared" si="4"/>
        <v>-5.1000000000000004E-3</v>
      </c>
      <c r="P12">
        <f t="shared" si="5"/>
        <v>2.2400000000000003E-2</v>
      </c>
      <c r="T12" t="s">
        <v>652</v>
      </c>
      <c r="U12" s="5">
        <v>-4.4828862094467098E-2</v>
      </c>
      <c r="V12" s="5">
        <v>5.5837464525909167E-2</v>
      </c>
      <c r="W12" s="5">
        <v>-0.80284558898024527</v>
      </c>
      <c r="X12" s="5">
        <v>0.42234784021826666</v>
      </c>
      <c r="Y12" s="5">
        <v>-0.15446574651240513</v>
      </c>
      <c r="Z12" s="5">
        <v>6.4808022323470951E-2</v>
      </c>
      <c r="AA12" s="5"/>
      <c r="AB12" s="5"/>
    </row>
    <row r="13" spans="1:28" ht="15.75" thickBot="1">
      <c r="A13" s="230" t="s">
        <v>658</v>
      </c>
      <c r="B13" s="147">
        <v>2.12E-2</v>
      </c>
      <c r="C13" s="147">
        <v>-2.1000000000000001E-2</v>
      </c>
      <c r="D13" s="147">
        <v>-2.0000000000000001E-4</v>
      </c>
      <c r="E13" s="147">
        <v>2.9999999999999997E-4</v>
      </c>
      <c r="F13" s="147">
        <v>-7.000000000000001E-4</v>
      </c>
      <c r="G13" s="147">
        <v>7.4999999999999997E-3</v>
      </c>
      <c r="I13" s="27">
        <f t="shared" si="0"/>
        <v>2.7594634689781235E-3</v>
      </c>
      <c r="J13">
        <f t="shared" si="6"/>
        <v>4.0000000000000001E-3</v>
      </c>
      <c r="L13">
        <f t="shared" si="1"/>
        <v>1.77E-2</v>
      </c>
      <c r="M13">
        <f t="shared" si="2"/>
        <v>-2.1000000000000001E-2</v>
      </c>
      <c r="N13">
        <f t="shared" si="3"/>
        <v>-2.0000000000000001E-4</v>
      </c>
      <c r="O13">
        <f t="shared" si="4"/>
        <v>2.9999999999999997E-4</v>
      </c>
      <c r="P13">
        <f t="shared" si="5"/>
        <v>-7.000000000000001E-4</v>
      </c>
      <c r="T13" s="20" t="s">
        <v>1270</v>
      </c>
      <c r="U13" s="231">
        <v>-7.7386550594146994E-2</v>
      </c>
      <c r="V13" s="231">
        <v>8.3098930197253951E-2</v>
      </c>
      <c r="W13" s="231">
        <v>-0.9312580849170099</v>
      </c>
      <c r="X13" s="231">
        <v>0.35205451080565364</v>
      </c>
      <c r="Y13" s="231">
        <v>-0.240551333999797</v>
      </c>
      <c r="Z13" s="231">
        <v>8.5778232811503E-2</v>
      </c>
      <c r="AA13" s="5"/>
      <c r="AB13" s="5"/>
    </row>
    <row r="14" spans="1:28">
      <c r="A14" s="230" t="s">
        <v>659</v>
      </c>
      <c r="B14" s="147">
        <v>2.5400000000000002E-2</v>
      </c>
      <c r="C14" s="147">
        <v>1.3000000000000002E-3</v>
      </c>
      <c r="D14" s="147">
        <v>1.4800000000000001E-2</v>
      </c>
      <c r="E14" s="147">
        <v>1.7000000000000001E-3</v>
      </c>
      <c r="F14" s="147">
        <v>1.47E-2</v>
      </c>
      <c r="G14" s="147">
        <v>1.9300000000000001E-2</v>
      </c>
      <c r="I14" s="27">
        <f t="shared" si="0"/>
        <v>5.9266973514548696E-2</v>
      </c>
      <c r="J14">
        <f t="shared" si="6"/>
        <v>1.5800000000000002E-2</v>
      </c>
      <c r="L14">
        <f t="shared" si="1"/>
        <v>2.1900000000000003E-2</v>
      </c>
      <c r="M14">
        <f t="shared" si="2"/>
        <v>1.3000000000000002E-3</v>
      </c>
      <c r="N14">
        <f t="shared" si="3"/>
        <v>1.4800000000000001E-2</v>
      </c>
      <c r="O14">
        <f t="shared" si="4"/>
        <v>1.7000000000000001E-3</v>
      </c>
      <c r="P14">
        <f t="shared" si="5"/>
        <v>1.47E-2</v>
      </c>
    </row>
    <row r="15" spans="1:28">
      <c r="A15" s="230" t="s">
        <v>660</v>
      </c>
      <c r="B15" s="147">
        <v>1.8000000000000002E-2</v>
      </c>
      <c r="C15" s="147">
        <v>2.8000000000000004E-3</v>
      </c>
      <c r="D15" s="147">
        <v>2.81E-2</v>
      </c>
      <c r="E15" s="147">
        <v>-5.0000000000000001E-4</v>
      </c>
      <c r="F15" s="147">
        <v>9.1000000000000004E-3</v>
      </c>
      <c r="G15" s="147">
        <v>3.5499999999999997E-2</v>
      </c>
      <c r="I15" s="27">
        <f t="shared" si="0"/>
        <v>3.2169349260919702E-2</v>
      </c>
      <c r="J15">
        <f t="shared" si="6"/>
        <v>3.1999999999999994E-2</v>
      </c>
      <c r="L15">
        <f t="shared" si="1"/>
        <v>1.4500000000000002E-2</v>
      </c>
      <c r="M15">
        <f t="shared" si="2"/>
        <v>2.8000000000000004E-3</v>
      </c>
      <c r="N15">
        <f t="shared" si="3"/>
        <v>2.81E-2</v>
      </c>
      <c r="O15">
        <f t="shared" si="4"/>
        <v>-5.0000000000000001E-4</v>
      </c>
      <c r="P15">
        <f t="shared" si="5"/>
        <v>9.1000000000000004E-3</v>
      </c>
    </row>
    <row r="16" spans="1:28">
      <c r="A16" s="230" t="s">
        <v>661</v>
      </c>
      <c r="B16" s="147">
        <v>1.72E-2</v>
      </c>
      <c r="C16" s="147">
        <v>1.23E-2</v>
      </c>
      <c r="D16" s="147">
        <v>3.4000000000000002E-2</v>
      </c>
      <c r="E16" s="147">
        <v>-2.2100000000000002E-2</v>
      </c>
      <c r="F16" s="147">
        <v>3.2199999999999999E-2</v>
      </c>
      <c r="G16" s="147">
        <v>3.5799999999999998E-2</v>
      </c>
      <c r="I16" s="27">
        <f t="shared" si="0"/>
        <v>5.4532558447578781E-2</v>
      </c>
      <c r="J16">
        <f t="shared" si="6"/>
        <v>3.2299999999999995E-2</v>
      </c>
      <c r="L16">
        <f t="shared" si="1"/>
        <v>1.37E-2</v>
      </c>
      <c r="M16">
        <f t="shared" si="2"/>
        <v>1.23E-2</v>
      </c>
      <c r="N16">
        <f t="shared" si="3"/>
        <v>3.4000000000000002E-2</v>
      </c>
      <c r="O16">
        <f t="shared" si="4"/>
        <v>-2.2100000000000002E-2</v>
      </c>
      <c r="P16">
        <f t="shared" si="5"/>
        <v>3.2199999999999999E-2</v>
      </c>
    </row>
    <row r="17" spans="1:34">
      <c r="A17" s="230" t="s">
        <v>662</v>
      </c>
      <c r="B17" s="147">
        <v>3.8999999999999998E-3</v>
      </c>
      <c r="C17" s="147">
        <v>-1.52E-2</v>
      </c>
      <c r="D17" s="147">
        <v>-6.7000000000000002E-3</v>
      </c>
      <c r="E17" s="147">
        <v>-1.2700000000000001E-2</v>
      </c>
      <c r="F17" s="147">
        <v>-1.0800000000000001E-2</v>
      </c>
      <c r="G17" s="147">
        <v>-5.1000000000000004E-3</v>
      </c>
      <c r="I17" s="27">
        <f t="shared" si="0"/>
        <v>-5.8072142769348287E-2</v>
      </c>
      <c r="J17">
        <f t="shared" si="6"/>
        <v>-8.6E-3</v>
      </c>
      <c r="L17">
        <f t="shared" si="1"/>
        <v>3.9999999999999975E-4</v>
      </c>
      <c r="M17">
        <f t="shared" si="2"/>
        <v>-1.52E-2</v>
      </c>
      <c r="N17">
        <f t="shared" si="3"/>
        <v>-6.7000000000000002E-3</v>
      </c>
      <c r="O17">
        <f t="shared" si="4"/>
        <v>-1.2700000000000001E-2</v>
      </c>
      <c r="P17">
        <f t="shared" si="5"/>
        <v>-1.0800000000000001E-2</v>
      </c>
      <c r="T17" s="23"/>
      <c r="U17" s="23"/>
      <c r="V17" s="23"/>
      <c r="W17" s="23"/>
      <c r="X17" s="23"/>
      <c r="Y17" s="23"/>
    </row>
    <row r="18" spans="1:34">
      <c r="A18" s="230" t="s">
        <v>663</v>
      </c>
      <c r="B18" s="147">
        <v>1.6799999999999999E-2</v>
      </c>
      <c r="C18" s="147">
        <v>-6.3E-3</v>
      </c>
      <c r="D18" s="147">
        <v>1.8600000000000002E-2</v>
      </c>
      <c r="E18" s="147">
        <v>-1.6000000000000001E-3</v>
      </c>
      <c r="F18" s="147">
        <v>1.7000000000000001E-3</v>
      </c>
      <c r="G18" s="147">
        <v>3.95E-2</v>
      </c>
      <c r="I18" s="27">
        <f t="shared" si="0"/>
        <v>6.5979491850758944E-3</v>
      </c>
      <c r="J18">
        <f t="shared" si="6"/>
        <v>3.5999999999999997E-2</v>
      </c>
      <c r="L18">
        <f t="shared" si="1"/>
        <v>1.3299999999999999E-2</v>
      </c>
      <c r="M18">
        <f t="shared" si="2"/>
        <v>-6.3E-3</v>
      </c>
      <c r="N18">
        <f t="shared" si="3"/>
        <v>1.8600000000000002E-2</v>
      </c>
      <c r="O18">
        <f t="shared" si="4"/>
        <v>-1.6000000000000001E-3</v>
      </c>
      <c r="P18">
        <f t="shared" si="5"/>
        <v>1.7000000000000001E-3</v>
      </c>
      <c r="AC18" s="23"/>
      <c r="AD18" s="23"/>
      <c r="AE18" s="23"/>
    </row>
    <row r="19" spans="1:34">
      <c r="A19" s="230" t="s">
        <v>664</v>
      </c>
      <c r="B19" s="147">
        <v>1.5700000000000002E-2</v>
      </c>
      <c r="C19" s="147">
        <v>2.8999999999999998E-3</v>
      </c>
      <c r="D19" s="147">
        <v>6.1999999999999998E-3</v>
      </c>
      <c r="E19" s="147">
        <v>-2.8000000000000004E-3</v>
      </c>
      <c r="F19" s="147">
        <v>-1.7000000000000001E-3</v>
      </c>
      <c r="G19" s="147">
        <v>8.8999999999999999E-3</v>
      </c>
      <c r="I19" s="27">
        <f t="shared" si="0"/>
        <v>3.5021285249027E-3</v>
      </c>
      <c r="J19">
        <f t="shared" si="6"/>
        <v>5.4000000000000003E-3</v>
      </c>
      <c r="L19">
        <f t="shared" si="1"/>
        <v>1.2200000000000003E-2</v>
      </c>
      <c r="M19">
        <f t="shared" si="2"/>
        <v>2.8999999999999998E-3</v>
      </c>
      <c r="N19">
        <f t="shared" si="3"/>
        <v>6.1999999999999998E-3</v>
      </c>
      <c r="O19">
        <f t="shared" si="4"/>
        <v>-2.8000000000000004E-3</v>
      </c>
      <c r="P19">
        <f t="shared" si="5"/>
        <v>-1.7000000000000001E-3</v>
      </c>
    </row>
    <row r="20" spans="1:34">
      <c r="A20" s="230" t="s">
        <v>665</v>
      </c>
      <c r="B20" s="147">
        <v>2.0399999999999998E-2</v>
      </c>
      <c r="C20" s="147">
        <v>5.0000000000000001E-3</v>
      </c>
      <c r="D20" s="147">
        <v>7.4999999999999997E-3</v>
      </c>
      <c r="E20" s="147">
        <v>8.0000000000000004E-4</v>
      </c>
      <c r="F20" s="147">
        <v>1.9099999999999999E-2</v>
      </c>
      <c r="G20" s="147">
        <v>7.3000000000000001E-3</v>
      </c>
      <c r="I20" s="27">
        <f t="shared" si="0"/>
        <v>6.7515867294923509E-2</v>
      </c>
      <c r="J20">
        <f t="shared" si="6"/>
        <v>3.8E-3</v>
      </c>
      <c r="L20">
        <f t="shared" si="1"/>
        <v>1.6899999999999998E-2</v>
      </c>
      <c r="M20">
        <f t="shared" si="2"/>
        <v>5.0000000000000001E-3</v>
      </c>
      <c r="N20">
        <f t="shared" si="3"/>
        <v>7.4999999999999997E-3</v>
      </c>
      <c r="O20">
        <f t="shared" si="4"/>
        <v>8.0000000000000004E-4</v>
      </c>
      <c r="P20">
        <f t="shared" si="5"/>
        <v>1.9099999999999999E-2</v>
      </c>
    </row>
    <row r="21" spans="1:34">
      <c r="A21" s="230" t="s">
        <v>666</v>
      </c>
      <c r="B21" s="147">
        <v>-1.1599999999999999E-2</v>
      </c>
      <c r="C21" s="147">
        <v>4.0999999999999995E-3</v>
      </c>
      <c r="D21" s="147">
        <v>8.0000000000000004E-4</v>
      </c>
      <c r="E21" s="147">
        <v>1.1999999999999999E-3</v>
      </c>
      <c r="F21" s="147">
        <v>3.4999999999999996E-3</v>
      </c>
      <c r="G21" s="147">
        <v>-8.8000000000000005E-3</v>
      </c>
      <c r="I21" s="27">
        <f t="shared" si="0"/>
        <v>-1.7015904936451575E-3</v>
      </c>
      <c r="J21">
        <f t="shared" si="6"/>
        <v>-1.23E-2</v>
      </c>
      <c r="L21">
        <f t="shared" si="1"/>
        <v>-1.5099999999999999E-2</v>
      </c>
      <c r="M21">
        <f t="shared" si="2"/>
        <v>4.0999999999999995E-3</v>
      </c>
      <c r="N21">
        <f t="shared" si="3"/>
        <v>8.0000000000000004E-4</v>
      </c>
      <c r="O21">
        <f t="shared" si="4"/>
        <v>1.1999999999999999E-3</v>
      </c>
      <c r="P21">
        <f t="shared" si="5"/>
        <v>3.4999999999999996E-3</v>
      </c>
    </row>
    <row r="22" spans="1:34">
      <c r="A22" s="230" t="s">
        <v>667</v>
      </c>
      <c r="B22" s="147">
        <v>2.9700000000000001E-2</v>
      </c>
      <c r="C22" s="147">
        <v>-3.4000000000000002E-3</v>
      </c>
      <c r="D22" s="147">
        <v>1.7000000000000001E-2</v>
      </c>
      <c r="E22" s="147">
        <v>-5.6000000000000008E-3</v>
      </c>
      <c r="F22" s="147">
        <v>6.1999999999999998E-3</v>
      </c>
      <c r="G22" s="147">
        <v>6.3899999999999998E-2</v>
      </c>
      <c r="I22" s="27">
        <f t="shared" si="0"/>
        <v>2.5650550824225144E-2</v>
      </c>
      <c r="J22">
        <f t="shared" si="6"/>
        <v>6.0399999999999995E-2</v>
      </c>
      <c r="L22">
        <f t="shared" si="1"/>
        <v>2.6200000000000001E-2</v>
      </c>
      <c r="M22">
        <f t="shared" si="2"/>
        <v>-3.4000000000000002E-3</v>
      </c>
      <c r="N22">
        <f t="shared" si="3"/>
        <v>1.7000000000000001E-2</v>
      </c>
      <c r="O22">
        <f t="shared" si="4"/>
        <v>-5.6000000000000008E-3</v>
      </c>
      <c r="P22">
        <f t="shared" si="5"/>
        <v>6.1999999999999998E-3</v>
      </c>
    </row>
    <row r="23" spans="1:34">
      <c r="A23" s="230" t="s">
        <v>668</v>
      </c>
      <c r="B23" s="147">
        <v>8.7999999999999988E-3</v>
      </c>
      <c r="C23" s="147">
        <v>8.6999999999999994E-3</v>
      </c>
      <c r="D23" s="147">
        <v>1.17E-2</v>
      </c>
      <c r="E23" s="147">
        <v>-4.3E-3</v>
      </c>
      <c r="F23" s="147">
        <v>4.7000000000000002E-3</v>
      </c>
      <c r="G23" s="147">
        <v>4.0000000000000002E-4</v>
      </c>
      <c r="I23" s="27">
        <f t="shared" si="0"/>
        <v>1.2436268937109928E-2</v>
      </c>
      <c r="J23">
        <f t="shared" si="6"/>
        <v>-3.0999999999999999E-3</v>
      </c>
      <c r="L23">
        <f t="shared" si="1"/>
        <v>5.2999999999999992E-3</v>
      </c>
      <c r="M23">
        <f t="shared" si="2"/>
        <v>8.6999999999999994E-3</v>
      </c>
      <c r="N23">
        <f t="shared" si="3"/>
        <v>1.17E-2</v>
      </c>
      <c r="O23">
        <f t="shared" si="4"/>
        <v>-4.3E-3</v>
      </c>
      <c r="P23">
        <f t="shared" si="5"/>
        <v>4.7000000000000002E-3</v>
      </c>
      <c r="AC23" s="23"/>
      <c r="AD23" s="23"/>
      <c r="AE23" s="23"/>
      <c r="AF23" s="23"/>
      <c r="AG23" s="23"/>
      <c r="AH23" s="23"/>
    </row>
    <row r="24" spans="1:34">
      <c r="A24" s="230" t="s">
        <v>669</v>
      </c>
      <c r="B24" s="147">
        <v>2.8999999999999998E-3</v>
      </c>
      <c r="C24" s="147">
        <v>-1.5E-3</v>
      </c>
      <c r="D24" s="147">
        <v>-1.9599999999999999E-2</v>
      </c>
      <c r="E24" s="147">
        <v>6.3E-3</v>
      </c>
      <c r="F24" s="147">
        <v>-2.6000000000000003E-3</v>
      </c>
      <c r="G24" s="147">
        <v>0</v>
      </c>
      <c r="I24" s="27">
        <f t="shared" si="0"/>
        <v>7.4888364531312274E-3</v>
      </c>
      <c r="J24">
        <f t="shared" si="6"/>
        <v>-3.5000000000000001E-3</v>
      </c>
      <c r="L24">
        <f t="shared" si="1"/>
        <v>-6.0000000000000027E-4</v>
      </c>
      <c r="M24">
        <f t="shared" si="2"/>
        <v>-1.5E-3</v>
      </c>
      <c r="N24">
        <f t="shared" si="3"/>
        <v>-1.9599999999999999E-2</v>
      </c>
      <c r="O24">
        <f t="shared" si="4"/>
        <v>6.3E-3</v>
      </c>
      <c r="P24">
        <f t="shared" si="5"/>
        <v>-2.6000000000000003E-3</v>
      </c>
    </row>
    <row r="25" spans="1:34">
      <c r="A25" s="230" t="s">
        <v>670</v>
      </c>
      <c r="B25" s="147">
        <v>3.3999999999999998E-3</v>
      </c>
      <c r="C25" s="147">
        <v>-6.8999999999999999E-3</v>
      </c>
      <c r="D25" s="147">
        <v>-2.4799999999999999E-2</v>
      </c>
      <c r="E25" s="147">
        <v>1.0700000000000001E-2</v>
      </c>
      <c r="F25" s="147">
        <v>-1.4999999999999999E-2</v>
      </c>
      <c r="G25" s="147">
        <v>-8.1000000000000013E-3</v>
      </c>
      <c r="I25" s="27">
        <f t="shared" si="0"/>
        <v>-1.7283473222157109E-2</v>
      </c>
      <c r="J25">
        <f t="shared" si="6"/>
        <v>-1.1600000000000001E-2</v>
      </c>
      <c r="L25">
        <f t="shared" si="1"/>
        <v>-1.0000000000000026E-4</v>
      </c>
      <c r="M25">
        <f t="shared" si="2"/>
        <v>-6.8999999999999999E-3</v>
      </c>
      <c r="N25">
        <f t="shared" si="3"/>
        <v>-2.4799999999999999E-2</v>
      </c>
      <c r="O25">
        <f t="shared" si="4"/>
        <v>1.0700000000000001E-2</v>
      </c>
      <c r="P25">
        <f t="shared" si="5"/>
        <v>-1.4999999999999999E-2</v>
      </c>
    </row>
    <row r="26" spans="1:34">
      <c r="A26" s="230" t="s">
        <v>671</v>
      </c>
      <c r="B26" s="147">
        <v>3.8199999999999998E-2</v>
      </c>
      <c r="C26" s="147">
        <v>2.4400000000000002E-2</v>
      </c>
      <c r="D26" s="147">
        <v>1.1999999999999999E-3</v>
      </c>
      <c r="E26" s="147">
        <v>9.1000000000000004E-3</v>
      </c>
      <c r="F26" s="147">
        <v>1E-3</v>
      </c>
      <c r="G26" s="147">
        <v>4.4999999999999998E-2</v>
      </c>
      <c r="I26" s="27">
        <f t="shared" si="0"/>
        <v>6.9479445935332035E-2</v>
      </c>
      <c r="J26">
        <f t="shared" si="6"/>
        <v>4.1499999999999995E-2</v>
      </c>
      <c r="L26">
        <f t="shared" si="1"/>
        <v>3.4699999999999995E-2</v>
      </c>
      <c r="M26">
        <f t="shared" si="2"/>
        <v>2.4400000000000002E-2</v>
      </c>
      <c r="N26">
        <f t="shared" si="3"/>
        <v>1.1999999999999999E-3</v>
      </c>
      <c r="O26">
        <f t="shared" si="4"/>
        <v>9.1000000000000004E-3</v>
      </c>
      <c r="P26">
        <f t="shared" si="5"/>
        <v>1E-3</v>
      </c>
    </row>
    <row r="27" spans="1:34">
      <c r="A27" s="230" t="s">
        <v>672</v>
      </c>
      <c r="B27" s="147">
        <v>7.4000000000000003E-3</v>
      </c>
      <c r="C27" s="147">
        <v>3.3100000000000004E-2</v>
      </c>
      <c r="D27" s="147">
        <v>1.1000000000000001E-3</v>
      </c>
      <c r="E27" s="147">
        <v>2.3E-3</v>
      </c>
      <c r="F27" s="147">
        <v>-6.8000000000000005E-3</v>
      </c>
      <c r="G27" s="147">
        <v>2.8399999999999998E-2</v>
      </c>
      <c r="I27" s="27">
        <f t="shared" si="0"/>
        <v>1.2688212960865745E-2</v>
      </c>
      <c r="J27">
        <f t="shared" si="6"/>
        <v>2.4899999999999999E-2</v>
      </c>
      <c r="L27">
        <f t="shared" si="1"/>
        <v>3.9000000000000003E-3</v>
      </c>
      <c r="M27">
        <f t="shared" si="2"/>
        <v>3.3100000000000004E-2</v>
      </c>
      <c r="N27">
        <f t="shared" si="3"/>
        <v>1.1000000000000001E-3</v>
      </c>
      <c r="O27">
        <f t="shared" si="4"/>
        <v>2.3E-3</v>
      </c>
      <c r="P27">
        <f t="shared" si="5"/>
        <v>-6.8000000000000005E-3</v>
      </c>
    </row>
    <row r="28" spans="1:34">
      <c r="A28" s="230" t="s">
        <v>673</v>
      </c>
      <c r="B28" s="147">
        <v>-9.7999999999999997E-3</v>
      </c>
      <c r="C28" s="147">
        <v>2.12E-2</v>
      </c>
      <c r="D28" s="147">
        <v>1.03E-2</v>
      </c>
      <c r="E28" s="147">
        <v>-3.2000000000000002E-3</v>
      </c>
      <c r="F28" s="147">
        <v>6.8999999999999999E-3</v>
      </c>
      <c r="G28" s="147">
        <v>2.8000000000000004E-3</v>
      </c>
      <c r="I28" s="27">
        <f t="shared" si="0"/>
        <v>9.7983456603897567E-3</v>
      </c>
      <c r="J28">
        <f t="shared" si="6"/>
        <v>-6.9999999999999967E-4</v>
      </c>
      <c r="L28">
        <f t="shared" si="1"/>
        <v>-1.3299999999999999E-2</v>
      </c>
      <c r="M28">
        <f t="shared" si="2"/>
        <v>2.12E-2</v>
      </c>
      <c r="N28">
        <f t="shared" si="3"/>
        <v>1.03E-2</v>
      </c>
      <c r="O28">
        <f t="shared" si="4"/>
        <v>-3.2000000000000002E-3</v>
      </c>
      <c r="P28">
        <f t="shared" si="5"/>
        <v>6.8999999999999999E-3</v>
      </c>
    </row>
    <row r="29" spans="1:34">
      <c r="A29" s="230" t="s">
        <v>674</v>
      </c>
      <c r="B29" s="147">
        <v>3.4200000000000001E-2</v>
      </c>
      <c r="C29" s="147">
        <v>1.0500000000000001E-2</v>
      </c>
      <c r="D29" s="147">
        <v>6.6000000000000008E-3</v>
      </c>
      <c r="E29" s="147">
        <v>3.0000000000000001E-3</v>
      </c>
      <c r="F29" s="147">
        <v>-2.2000000000000002E-2</v>
      </c>
      <c r="G29" s="147">
        <v>5.0700000000000002E-2</v>
      </c>
      <c r="I29" s="27">
        <f t="shared" si="0"/>
        <v>-1.2985551535143861E-2</v>
      </c>
      <c r="J29">
        <f t="shared" si="6"/>
        <v>4.7199999999999999E-2</v>
      </c>
      <c r="L29">
        <f t="shared" si="1"/>
        <v>3.0700000000000002E-2</v>
      </c>
      <c r="M29">
        <f t="shared" si="2"/>
        <v>1.0500000000000001E-2</v>
      </c>
      <c r="N29">
        <f t="shared" si="3"/>
        <v>6.6000000000000008E-3</v>
      </c>
      <c r="O29">
        <f t="shared" si="4"/>
        <v>3.0000000000000001E-3</v>
      </c>
      <c r="P29">
        <f t="shared" si="5"/>
        <v>-2.2000000000000002E-2</v>
      </c>
    </row>
    <row r="30" spans="1:34">
      <c r="A30" s="230" t="s">
        <v>675</v>
      </c>
      <c r="B30" s="147">
        <v>-4.5999999999999999E-3</v>
      </c>
      <c r="C30" s="147">
        <v>1E-3</v>
      </c>
      <c r="D30" s="147">
        <v>-1.61E-2</v>
      </c>
      <c r="E30" s="147">
        <v>-4.5000000000000005E-3</v>
      </c>
      <c r="F30" s="147">
        <v>5.3E-3</v>
      </c>
      <c r="G30" s="147">
        <v>-6.1000000000000004E-3</v>
      </c>
      <c r="I30" s="27">
        <f t="shared" si="0"/>
        <v>9.1142556657922104E-4</v>
      </c>
      <c r="J30">
        <f t="shared" si="6"/>
        <v>-9.6000000000000009E-3</v>
      </c>
      <c r="L30">
        <f t="shared" si="1"/>
        <v>-8.0999999999999996E-3</v>
      </c>
      <c r="M30">
        <f t="shared" si="2"/>
        <v>1E-3</v>
      </c>
      <c r="N30">
        <f t="shared" si="3"/>
        <v>-1.61E-2</v>
      </c>
      <c r="O30">
        <f t="shared" si="4"/>
        <v>-4.5000000000000005E-3</v>
      </c>
      <c r="P30">
        <f t="shared" si="5"/>
        <v>5.3E-3</v>
      </c>
    </row>
    <row r="31" spans="1:34">
      <c r="A31" s="230" t="s">
        <v>676</v>
      </c>
      <c r="B31" s="147">
        <v>-5.1599999999999993E-2</v>
      </c>
      <c r="C31" s="147">
        <v>-4.2800000000000005E-2</v>
      </c>
      <c r="D31" s="147">
        <v>5.8999999999999999E-3</v>
      </c>
      <c r="E31" s="147">
        <v>2.2000000000000001E-3</v>
      </c>
      <c r="F31" s="147">
        <v>3.7000000000000002E-3</v>
      </c>
      <c r="G31" s="147">
        <v>-9.4E-2</v>
      </c>
      <c r="I31" s="27">
        <f t="shared" si="0"/>
        <v>-7.1247195235583108E-2</v>
      </c>
      <c r="J31">
        <f t="shared" si="6"/>
        <v>-9.7500000000000003E-2</v>
      </c>
      <c r="L31">
        <f t="shared" si="1"/>
        <v>-5.5099999999999996E-2</v>
      </c>
      <c r="M31">
        <f t="shared" si="2"/>
        <v>-4.2800000000000005E-2</v>
      </c>
      <c r="N31">
        <f t="shared" si="3"/>
        <v>5.8999999999999999E-3</v>
      </c>
      <c r="O31">
        <f t="shared" si="4"/>
        <v>2.2000000000000001E-3</v>
      </c>
      <c r="P31">
        <f t="shared" si="5"/>
        <v>3.7000000000000002E-3</v>
      </c>
    </row>
    <row r="32" spans="1:34">
      <c r="A32" s="230" t="s">
        <v>677</v>
      </c>
      <c r="B32" s="147">
        <v>1.7399999999999999E-2</v>
      </c>
      <c r="C32" s="147">
        <v>1.0800000000000001E-2</v>
      </c>
      <c r="D32" s="147">
        <v>2.2000000000000002E-2</v>
      </c>
      <c r="E32" s="147">
        <v>-1.3700000000000002E-2</v>
      </c>
      <c r="F32" s="147">
        <v>2.9999999999999997E-4</v>
      </c>
      <c r="G32" s="147">
        <v>7.46E-2</v>
      </c>
      <c r="I32" s="27">
        <f t="shared" si="0"/>
        <v>-7.7351720793917035E-3</v>
      </c>
      <c r="J32">
        <f t="shared" si="6"/>
        <v>7.1099999999999997E-2</v>
      </c>
      <c r="L32">
        <f t="shared" si="1"/>
        <v>1.3899999999999999E-2</v>
      </c>
      <c r="M32">
        <f t="shared" si="2"/>
        <v>1.0800000000000001E-2</v>
      </c>
      <c r="N32">
        <f t="shared" si="3"/>
        <v>2.2000000000000002E-2</v>
      </c>
      <c r="O32">
        <f t="shared" si="4"/>
        <v>-1.3700000000000002E-2</v>
      </c>
      <c r="P32">
        <f t="shared" si="5"/>
        <v>2.9999999999999997E-4</v>
      </c>
    </row>
    <row r="33" spans="1:16">
      <c r="A33" s="230" t="s">
        <v>678</v>
      </c>
      <c r="B33" s="147">
        <v>3.0600000000000002E-2</v>
      </c>
      <c r="C33" s="147">
        <v>2.7099999999999999E-2</v>
      </c>
      <c r="D33" s="147">
        <v>-0.01</v>
      </c>
      <c r="E33" s="147">
        <v>1.9E-2</v>
      </c>
      <c r="F33" s="147">
        <v>-7.4000000000000003E-3</v>
      </c>
      <c r="G33" s="147">
        <v>7.6600000000000001E-2</v>
      </c>
      <c r="I33" s="27">
        <f t="shared" si="0"/>
        <v>6.3102143604131106E-2</v>
      </c>
      <c r="J33">
        <f t="shared" si="6"/>
        <v>7.3099999999999998E-2</v>
      </c>
      <c r="L33">
        <f t="shared" si="1"/>
        <v>2.7100000000000003E-2</v>
      </c>
      <c r="M33">
        <f t="shared" si="2"/>
        <v>2.7099999999999999E-2</v>
      </c>
      <c r="N33">
        <f t="shared" si="3"/>
        <v>-0.01</v>
      </c>
      <c r="O33">
        <f t="shared" si="4"/>
        <v>1.9E-2</v>
      </c>
      <c r="P33">
        <f t="shared" si="5"/>
        <v>-7.4000000000000003E-3</v>
      </c>
    </row>
    <row r="34" spans="1:16">
      <c r="A34" s="230" t="s">
        <v>679</v>
      </c>
      <c r="B34" s="147">
        <v>3.1699999999999999E-2</v>
      </c>
      <c r="C34" s="147">
        <v>6.1999999999999998E-3</v>
      </c>
      <c r="D34" s="147">
        <v>-1.3000000000000002E-3</v>
      </c>
      <c r="E34" s="147">
        <v>-8.8999999999999999E-3</v>
      </c>
      <c r="F34" s="147">
        <v>8.0000000000000002E-3</v>
      </c>
      <c r="G34" s="147">
        <v>5.33E-2</v>
      </c>
      <c r="I34" s="27">
        <f t="shared" si="0"/>
        <v>3.6252741406780628E-2</v>
      </c>
      <c r="J34">
        <f t="shared" si="6"/>
        <v>4.9799999999999997E-2</v>
      </c>
      <c r="L34">
        <f t="shared" si="1"/>
        <v>2.8199999999999999E-2</v>
      </c>
      <c r="M34">
        <f t="shared" si="2"/>
        <v>6.1999999999999998E-3</v>
      </c>
      <c r="N34">
        <f t="shared" si="3"/>
        <v>-1.3000000000000002E-3</v>
      </c>
      <c r="O34">
        <f t="shared" si="4"/>
        <v>-8.8999999999999999E-3</v>
      </c>
      <c r="P34">
        <f t="shared" si="5"/>
        <v>8.0000000000000002E-3</v>
      </c>
    </row>
    <row r="35" spans="1:16">
      <c r="A35" s="230" t="s">
        <v>680</v>
      </c>
      <c r="B35" s="147">
        <v>2.9100000000000001E-2</v>
      </c>
      <c r="C35" s="147">
        <v>3.4700000000000002E-2</v>
      </c>
      <c r="D35" s="147">
        <v>1.5600000000000001E-2</v>
      </c>
      <c r="E35" s="147">
        <v>1.17E-2</v>
      </c>
      <c r="F35" s="147">
        <v>-6.5000000000000006E-3</v>
      </c>
      <c r="G35" s="147">
        <v>7.85E-2</v>
      </c>
      <c r="I35" s="27">
        <f t="shared" si="0"/>
        <v>5.0226987278580548E-2</v>
      </c>
      <c r="J35">
        <f t="shared" si="6"/>
        <v>7.4999999999999997E-2</v>
      </c>
      <c r="L35">
        <f t="shared" si="1"/>
        <v>2.5600000000000001E-2</v>
      </c>
      <c r="M35">
        <f t="shared" si="2"/>
        <v>3.4700000000000002E-2</v>
      </c>
      <c r="N35">
        <f t="shared" si="3"/>
        <v>1.5600000000000001E-2</v>
      </c>
      <c r="O35">
        <f t="shared" si="4"/>
        <v>1.17E-2</v>
      </c>
      <c r="P35">
        <f t="shared" si="5"/>
        <v>-6.5000000000000006E-3</v>
      </c>
    </row>
    <row r="36" spans="1:16">
      <c r="A36" s="230" t="s">
        <v>681</v>
      </c>
      <c r="B36" s="147">
        <v>3.1999999999999997E-3</v>
      </c>
      <c r="C36" s="147">
        <v>5.1900000000000002E-2</v>
      </c>
      <c r="D36" s="147">
        <v>1.5E-3</v>
      </c>
      <c r="E36" s="147">
        <v>-1.01E-2</v>
      </c>
      <c r="F36" s="147">
        <v>-9.4000000000000004E-3</v>
      </c>
      <c r="G36" s="147">
        <v>8.4499999999999992E-2</v>
      </c>
      <c r="I36" s="27">
        <f t="shared" si="0"/>
        <v>-8.2281164042291924E-3</v>
      </c>
      <c r="J36">
        <f t="shared" si="6"/>
        <v>8.0999999999999989E-2</v>
      </c>
      <c r="L36">
        <f t="shared" si="1"/>
        <v>-3.0000000000000035E-4</v>
      </c>
      <c r="M36">
        <f t="shared" si="2"/>
        <v>5.1900000000000002E-2</v>
      </c>
      <c r="N36">
        <f t="shared" si="3"/>
        <v>1.5E-3</v>
      </c>
      <c r="O36">
        <f t="shared" si="4"/>
        <v>-1.01E-2</v>
      </c>
      <c r="P36">
        <f t="shared" si="5"/>
        <v>-9.4000000000000004E-3</v>
      </c>
    </row>
    <row r="37" spans="1:16">
      <c r="A37" s="230" t="s">
        <v>682</v>
      </c>
      <c r="B37" s="147">
        <v>1.34E-2</v>
      </c>
      <c r="C37" s="147">
        <v>2.6600000000000002E-2</v>
      </c>
      <c r="D37" s="147">
        <v>2.0299999999999999E-2</v>
      </c>
      <c r="E37" s="147">
        <v>-1.1399999999999999E-2</v>
      </c>
      <c r="F37" s="147">
        <v>-5.3E-3</v>
      </c>
      <c r="G37" s="147">
        <v>4.0500000000000001E-2</v>
      </c>
      <c r="I37" s="27">
        <f t="shared" si="0"/>
        <v>-1.0740400916566844E-2</v>
      </c>
      <c r="J37">
        <f t="shared" si="6"/>
        <v>3.6999999999999998E-2</v>
      </c>
      <c r="L37">
        <f t="shared" si="1"/>
        <v>9.9000000000000008E-3</v>
      </c>
      <c r="M37">
        <f t="shared" si="2"/>
        <v>2.6600000000000002E-2</v>
      </c>
      <c r="N37">
        <f t="shared" si="3"/>
        <v>2.0299999999999999E-2</v>
      </c>
      <c r="O37">
        <f t="shared" si="4"/>
        <v>-1.1399999999999999E-2</v>
      </c>
      <c r="P37">
        <f t="shared" si="5"/>
        <v>-5.3E-3</v>
      </c>
    </row>
    <row r="38" spans="1:16">
      <c r="A38" s="230" t="s">
        <v>683</v>
      </c>
      <c r="B38" s="147">
        <v>1.0999999999999999E-2</v>
      </c>
      <c r="C38" s="147">
        <v>4.6800000000000001E-2</v>
      </c>
      <c r="D38" s="147">
        <v>3.56E-2</v>
      </c>
      <c r="E38" s="147">
        <v>-2.8199999999999999E-2</v>
      </c>
      <c r="F38" s="147">
        <v>-1.1000000000000001E-3</v>
      </c>
      <c r="G38" s="147">
        <v>0.09</v>
      </c>
      <c r="I38" s="27">
        <f t="shared" si="0"/>
        <v>-2.3146580428448485E-2</v>
      </c>
      <c r="J38">
        <f t="shared" si="6"/>
        <v>8.6499999999999994E-2</v>
      </c>
      <c r="L38">
        <f t="shared" si="1"/>
        <v>7.4999999999999997E-3</v>
      </c>
      <c r="M38">
        <f t="shared" si="2"/>
        <v>4.6800000000000001E-2</v>
      </c>
      <c r="N38">
        <f t="shared" si="3"/>
        <v>3.56E-2</v>
      </c>
      <c r="O38">
        <f t="shared" si="4"/>
        <v>-2.8199999999999999E-2</v>
      </c>
      <c r="P38">
        <f t="shared" si="5"/>
        <v>-1.1000000000000001E-3</v>
      </c>
    </row>
    <row r="39" spans="1:16">
      <c r="A39" s="230" t="s">
        <v>684</v>
      </c>
      <c r="B39" s="147">
        <v>-8.6E-3</v>
      </c>
      <c r="C39" s="147">
        <v>4.7100000000000003E-2</v>
      </c>
      <c r="D39" s="147">
        <v>3.3000000000000004E-3</v>
      </c>
      <c r="E39" s="147">
        <v>-1.7000000000000001E-3</v>
      </c>
      <c r="F39" s="147">
        <v>-1.49E-2</v>
      </c>
      <c r="G39" s="147">
        <v>8.2699999999999996E-2</v>
      </c>
      <c r="I39" s="27">
        <f t="shared" si="0"/>
        <v>-2.1963809936358086E-2</v>
      </c>
      <c r="J39">
        <f t="shared" si="6"/>
        <v>7.9199999999999993E-2</v>
      </c>
      <c r="L39">
        <f t="shared" si="1"/>
        <v>-1.21E-2</v>
      </c>
      <c r="M39">
        <f t="shared" si="2"/>
        <v>4.7100000000000003E-2</v>
      </c>
      <c r="N39">
        <f t="shared" si="3"/>
        <v>3.3000000000000004E-3</v>
      </c>
      <c r="O39">
        <f t="shared" si="4"/>
        <v>-1.7000000000000001E-3</v>
      </c>
      <c r="P39">
        <f t="shared" si="5"/>
        <v>-1.49E-2</v>
      </c>
    </row>
    <row r="40" spans="1:16">
      <c r="A40" s="230" t="s">
        <v>685</v>
      </c>
      <c r="B40" s="147">
        <v>-2.1299999999999996E-2</v>
      </c>
      <c r="C40" s="147">
        <v>3.2000000000000002E-3</v>
      </c>
      <c r="D40" s="147">
        <v>-1.9800000000000002E-2</v>
      </c>
      <c r="E40" s="147">
        <v>1.3000000000000001E-2</v>
      </c>
      <c r="F40" s="147">
        <v>5.9999999999999995E-4</v>
      </c>
      <c r="G40" s="147">
        <v>1.1200000000000002E-2</v>
      </c>
      <c r="I40" s="27">
        <f t="shared" si="0"/>
        <v>6.5325398979276424E-3</v>
      </c>
      <c r="J40">
        <f t="shared" si="6"/>
        <v>7.700000000000002E-3</v>
      </c>
      <c r="L40">
        <f t="shared" si="1"/>
        <v>-2.4799999999999996E-2</v>
      </c>
      <c r="M40">
        <f t="shared" si="2"/>
        <v>3.2000000000000002E-3</v>
      </c>
      <c r="N40">
        <f t="shared" si="3"/>
        <v>-1.9800000000000002E-2</v>
      </c>
      <c r="O40">
        <f t="shared" si="4"/>
        <v>1.3000000000000001E-2</v>
      </c>
      <c r="P40">
        <f t="shared" si="5"/>
        <v>5.9999999999999995E-4</v>
      </c>
    </row>
    <row r="41" spans="1:16">
      <c r="A41" s="230" t="s">
        <v>686</v>
      </c>
      <c r="B41" s="147">
        <v>2.4800000000000003E-2</v>
      </c>
      <c r="C41" s="147">
        <v>3.3500000000000002E-2</v>
      </c>
      <c r="D41" s="147">
        <v>-4.5999999999999999E-3</v>
      </c>
      <c r="E41" s="147">
        <v>3.9000000000000003E-3</v>
      </c>
      <c r="F41" s="147">
        <v>-9.4999999999999998E-3</v>
      </c>
      <c r="G41" s="147">
        <v>5.0800000000000005E-2</v>
      </c>
      <c r="I41" s="27">
        <f t="shared" si="0"/>
        <v>2.7739320883390133E-2</v>
      </c>
      <c r="J41">
        <f t="shared" si="6"/>
        <v>4.7300000000000002E-2</v>
      </c>
      <c r="L41">
        <f t="shared" si="1"/>
        <v>2.1300000000000003E-2</v>
      </c>
      <c r="M41">
        <f t="shared" si="2"/>
        <v>3.3500000000000002E-2</v>
      </c>
      <c r="N41">
        <f t="shared" si="3"/>
        <v>-4.5999999999999999E-3</v>
      </c>
      <c r="O41">
        <f t="shared" si="4"/>
        <v>3.9000000000000003E-3</v>
      </c>
      <c r="P41">
        <f t="shared" si="5"/>
        <v>-9.4999999999999998E-3</v>
      </c>
    </row>
    <row r="42" spans="1:16">
      <c r="A42" s="230" t="s">
        <v>687</v>
      </c>
      <c r="B42" s="147">
        <v>-5.2500000000000005E-2</v>
      </c>
      <c r="C42" s="147">
        <v>-5.0999999999999997E-2</v>
      </c>
      <c r="D42" s="147">
        <v>-1.6299999999999999E-2</v>
      </c>
      <c r="E42" s="147">
        <v>1.6399999999999998E-2</v>
      </c>
      <c r="F42" s="147">
        <v>-1.52E-2</v>
      </c>
      <c r="G42" s="147">
        <v>-0.1099</v>
      </c>
      <c r="I42" s="27">
        <f t="shared" si="0"/>
        <v>-9.4059036072637631E-2</v>
      </c>
      <c r="J42">
        <f t="shared" si="6"/>
        <v>-0.1134</v>
      </c>
      <c r="L42">
        <f t="shared" si="1"/>
        <v>-5.6000000000000008E-2</v>
      </c>
      <c r="M42">
        <f t="shared" si="2"/>
        <v>-5.0999999999999997E-2</v>
      </c>
      <c r="N42">
        <f t="shared" si="3"/>
        <v>-1.6299999999999999E-2</v>
      </c>
      <c r="O42">
        <f t="shared" si="4"/>
        <v>1.6399999999999998E-2</v>
      </c>
      <c r="P42">
        <f t="shared" si="5"/>
        <v>-1.52E-2</v>
      </c>
    </row>
    <row r="43" spans="1:16">
      <c r="A43" s="230" t="s">
        <v>688</v>
      </c>
      <c r="B43" s="147">
        <v>-1.06E-2</v>
      </c>
      <c r="C43" s="147">
        <v>1.3700000000000002E-2</v>
      </c>
      <c r="D43" s="147">
        <v>5.0000000000000001E-3</v>
      </c>
      <c r="E43" s="147">
        <v>1.5E-3</v>
      </c>
      <c r="F43" s="147">
        <v>7.8000000000000005E-3</v>
      </c>
      <c r="G43" s="147">
        <v>3.6000000000000004E-2</v>
      </c>
      <c r="I43" s="27">
        <f t="shared" si="0"/>
        <v>1.5951124030267494E-2</v>
      </c>
      <c r="J43">
        <f t="shared" si="6"/>
        <v>3.2500000000000001E-2</v>
      </c>
      <c r="L43">
        <f t="shared" si="1"/>
        <v>-1.41E-2</v>
      </c>
      <c r="M43">
        <f t="shared" si="2"/>
        <v>1.3700000000000002E-2</v>
      </c>
      <c r="N43">
        <f t="shared" si="3"/>
        <v>5.0000000000000001E-3</v>
      </c>
      <c r="O43">
        <f t="shared" si="4"/>
        <v>1.5E-3</v>
      </c>
      <c r="P43">
        <f t="shared" si="5"/>
        <v>7.8000000000000005E-3</v>
      </c>
    </row>
    <row r="44" spans="1:16">
      <c r="A44" s="230" t="s">
        <v>689</v>
      </c>
      <c r="B44" s="147">
        <v>-1.2799999999999999E-2</v>
      </c>
      <c r="C44" s="147">
        <v>-4.0999999999999995E-3</v>
      </c>
      <c r="D44" s="147">
        <v>9.4999999999999998E-3</v>
      </c>
      <c r="E44" s="147">
        <v>-3.5999999999999999E-3</v>
      </c>
      <c r="F44" s="147">
        <v>1.7899999999999999E-2</v>
      </c>
      <c r="G44" s="147">
        <v>-2.1499999999999998E-2</v>
      </c>
      <c r="I44" s="27">
        <f t="shared" si="0"/>
        <v>1.6952307188928161E-2</v>
      </c>
      <c r="J44">
        <f t="shared" si="6"/>
        <v>-2.4999999999999998E-2</v>
      </c>
      <c r="L44">
        <f t="shared" si="1"/>
        <v>-1.6299999999999999E-2</v>
      </c>
      <c r="M44">
        <f t="shared" si="2"/>
        <v>-4.0999999999999995E-3</v>
      </c>
      <c r="N44">
        <f t="shared" si="3"/>
        <v>9.4999999999999998E-3</v>
      </c>
      <c r="O44">
        <f t="shared" si="4"/>
        <v>-3.5999999999999999E-3</v>
      </c>
      <c r="P44">
        <f t="shared" si="5"/>
        <v>1.7899999999999999E-2</v>
      </c>
    </row>
    <row r="45" spans="1:16">
      <c r="A45" s="230" t="s">
        <v>690</v>
      </c>
      <c r="B45" s="147">
        <v>-7.5000000000000011E-2</v>
      </c>
      <c r="C45" s="147">
        <v>-3.1200000000000002E-2</v>
      </c>
      <c r="D45" s="147">
        <v>4.3E-3</v>
      </c>
      <c r="E45" s="147">
        <v>-8.9999999999999998E-4</v>
      </c>
      <c r="F45" s="147">
        <v>8.0000000000000002E-3</v>
      </c>
      <c r="G45" s="147">
        <v>-9.1799999999999993E-2</v>
      </c>
      <c r="I45" s="27">
        <f t="shared" si="0"/>
        <v>-8.1644777041496586E-2</v>
      </c>
      <c r="J45">
        <f t="shared" si="6"/>
        <v>-9.5299999999999996E-2</v>
      </c>
      <c r="L45">
        <f t="shared" si="1"/>
        <v>-7.8500000000000014E-2</v>
      </c>
      <c r="M45">
        <f t="shared" si="2"/>
        <v>-3.1200000000000002E-2</v>
      </c>
      <c r="N45">
        <f t="shared" si="3"/>
        <v>4.3E-3</v>
      </c>
      <c r="O45">
        <f t="shared" si="4"/>
        <v>-8.9999999999999998E-4</v>
      </c>
      <c r="P45">
        <f t="shared" si="5"/>
        <v>8.0000000000000002E-3</v>
      </c>
    </row>
    <row r="46" spans="1:16">
      <c r="A46" s="230" t="s">
        <v>691</v>
      </c>
      <c r="B46" s="147">
        <v>-6.6E-3</v>
      </c>
      <c r="C46" s="147">
        <v>-1.1399999999999999E-2</v>
      </c>
      <c r="D46" s="147">
        <v>5.6000000000000008E-3</v>
      </c>
      <c r="E46" s="147">
        <v>-1.6799999999999999E-2</v>
      </c>
      <c r="F46" s="147">
        <v>2.3700000000000002E-2</v>
      </c>
      <c r="G46" s="147">
        <v>-4.87E-2</v>
      </c>
      <c r="I46" s="27">
        <f t="shared" si="0"/>
        <v>9.6103506503369719E-3</v>
      </c>
      <c r="J46">
        <f t="shared" si="6"/>
        <v>-5.2200000000000003E-2</v>
      </c>
      <c r="L46">
        <f t="shared" si="1"/>
        <v>-1.01E-2</v>
      </c>
      <c r="M46">
        <f t="shared" si="2"/>
        <v>-1.1399999999999999E-2</v>
      </c>
      <c r="N46">
        <f t="shared" si="3"/>
        <v>5.6000000000000008E-3</v>
      </c>
      <c r="O46">
        <f t="shared" si="4"/>
        <v>-1.6799999999999999E-2</v>
      </c>
      <c r="P46">
        <f t="shared" si="5"/>
        <v>2.3700000000000002E-2</v>
      </c>
    </row>
    <row r="47" spans="1:16">
      <c r="A47" s="230" t="s">
        <v>692</v>
      </c>
      <c r="B47" s="147">
        <v>4.3099999999999999E-2</v>
      </c>
      <c r="C47" s="147">
        <v>-6.4500000000000002E-2</v>
      </c>
      <c r="D47" s="147">
        <v>2.69E-2</v>
      </c>
      <c r="E47" s="147">
        <v>-3.4799999999999998E-2</v>
      </c>
      <c r="F47" s="147">
        <v>4.2500000000000003E-2</v>
      </c>
      <c r="G47" s="147">
        <v>-5.4600000000000003E-2</v>
      </c>
      <c r="I47" s="27">
        <f t="shared" si="0"/>
        <v>3.4012522698332145E-2</v>
      </c>
      <c r="J47">
        <f t="shared" si="6"/>
        <v>-5.8100000000000006E-2</v>
      </c>
      <c r="L47">
        <f t="shared" si="1"/>
        <v>3.9599999999999996E-2</v>
      </c>
      <c r="M47">
        <f t="shared" si="2"/>
        <v>-6.4500000000000002E-2</v>
      </c>
      <c r="N47">
        <f t="shared" si="3"/>
        <v>2.69E-2</v>
      </c>
      <c r="O47">
        <f t="shared" si="4"/>
        <v>-3.4799999999999998E-2</v>
      </c>
      <c r="P47">
        <f t="shared" si="5"/>
        <v>4.2500000000000003E-2</v>
      </c>
    </row>
    <row r="48" spans="1:16">
      <c r="A48" s="230" t="s">
        <v>693</v>
      </c>
      <c r="B48" s="147">
        <v>1.7999999999999999E-2</v>
      </c>
      <c r="C48" s="147">
        <v>3.3399999999999999E-2</v>
      </c>
      <c r="D48" s="147">
        <v>-4.6900000000000004E-2</v>
      </c>
      <c r="E48" s="147">
        <v>4.1299999999999996E-2</v>
      </c>
      <c r="F48" s="147">
        <v>-6.6200000000000009E-2</v>
      </c>
      <c r="G48" s="147">
        <v>0.1208</v>
      </c>
      <c r="I48" s="27">
        <f t="shared" si="0"/>
        <v>-4.3225875086022297E-2</v>
      </c>
      <c r="J48">
        <f t="shared" si="6"/>
        <v>0.1173</v>
      </c>
      <c r="L48">
        <f t="shared" si="1"/>
        <v>1.4499999999999999E-2</v>
      </c>
      <c r="M48">
        <f t="shared" si="2"/>
        <v>3.3399999999999999E-2</v>
      </c>
      <c r="N48">
        <f t="shared" si="3"/>
        <v>-4.6900000000000004E-2</v>
      </c>
      <c r="O48">
        <f t="shared" si="4"/>
        <v>4.1299999999999996E-2</v>
      </c>
      <c r="P48">
        <f t="shared" si="5"/>
        <v>-6.6200000000000009E-2</v>
      </c>
    </row>
    <row r="49" spans="1:16">
      <c r="A49" s="230" t="s">
        <v>694</v>
      </c>
      <c r="B49" s="147">
        <v>5.3E-3</v>
      </c>
      <c r="C49" s="147">
        <v>2.0199999999999999E-2</v>
      </c>
      <c r="D49" s="147">
        <v>-1.1899999999999999E-2</v>
      </c>
      <c r="E49" s="147">
        <v>6.9999999999999993E-3</v>
      </c>
      <c r="F49" s="147">
        <v>-3.4000000000000002E-3</v>
      </c>
      <c r="G49" s="147">
        <v>1.38E-2</v>
      </c>
      <c r="I49" s="27">
        <f t="shared" si="0"/>
        <v>2.1813112167176341E-2</v>
      </c>
      <c r="J49">
        <f t="shared" si="6"/>
        <v>1.03E-2</v>
      </c>
      <c r="L49">
        <f t="shared" si="1"/>
        <v>1.8E-3</v>
      </c>
      <c r="M49">
        <f t="shared" si="2"/>
        <v>2.0199999999999999E-2</v>
      </c>
      <c r="N49">
        <f t="shared" si="3"/>
        <v>-1.1899999999999999E-2</v>
      </c>
      <c r="O49">
        <f t="shared" si="4"/>
        <v>6.9999999999999993E-3</v>
      </c>
      <c r="P49">
        <f t="shared" si="5"/>
        <v>-3.4000000000000002E-3</v>
      </c>
    </row>
    <row r="50" spans="1:16">
      <c r="A50" s="230" t="s">
        <v>695</v>
      </c>
      <c r="B50" s="147">
        <v>8.5800000000000001E-2</v>
      </c>
      <c r="C50" s="147">
        <v>9.0999999999999998E-2</v>
      </c>
      <c r="D50" s="147">
        <v>2.2700000000000001E-2</v>
      </c>
      <c r="E50" s="147">
        <v>9.5999999999999992E-3</v>
      </c>
      <c r="F50" s="147">
        <v>-3.1600000000000003E-2</v>
      </c>
      <c r="G50" s="147">
        <v>8.5099999999999995E-2</v>
      </c>
      <c r="I50" s="27">
        <f t="shared" si="0"/>
        <v>7.624644949894302E-2</v>
      </c>
      <c r="J50">
        <f t="shared" si="6"/>
        <v>8.1599999999999992E-2</v>
      </c>
      <c r="L50">
        <f t="shared" si="1"/>
        <v>8.2299999999999998E-2</v>
      </c>
      <c r="M50">
        <f t="shared" si="2"/>
        <v>9.0999999999999998E-2</v>
      </c>
      <c r="N50">
        <f t="shared" si="3"/>
        <v>2.2700000000000001E-2</v>
      </c>
      <c r="O50">
        <f t="shared" si="4"/>
        <v>9.5999999999999992E-3</v>
      </c>
      <c r="P50">
        <f t="shared" si="5"/>
        <v>-3.1600000000000003E-2</v>
      </c>
    </row>
    <row r="51" spans="1:16">
      <c r="A51" s="230" t="s">
        <v>696</v>
      </c>
      <c r="B51" s="147">
        <v>1.14E-2</v>
      </c>
      <c r="C51" s="147">
        <v>3.0600000000000002E-2</v>
      </c>
      <c r="D51" s="147">
        <v>-2.2200000000000001E-2</v>
      </c>
      <c r="E51" s="147">
        <v>1.9900000000000001E-2</v>
      </c>
      <c r="F51" s="147">
        <v>-9.9000000000000008E-3</v>
      </c>
      <c r="G51" s="147">
        <v>5.2900000000000003E-2</v>
      </c>
      <c r="I51" s="27">
        <f t="shared" si="0"/>
        <v>4.4171249478989802E-2</v>
      </c>
      <c r="J51">
        <f t="shared" si="6"/>
        <v>4.9399999999999999E-2</v>
      </c>
      <c r="L51">
        <f t="shared" si="1"/>
        <v>7.9000000000000008E-3</v>
      </c>
      <c r="M51">
        <f t="shared" si="2"/>
        <v>3.0600000000000002E-2</v>
      </c>
      <c r="N51">
        <f t="shared" si="3"/>
        <v>-2.2200000000000001E-2</v>
      </c>
      <c r="O51">
        <f t="shared" si="4"/>
        <v>1.9900000000000001E-2</v>
      </c>
      <c r="P51">
        <f t="shared" si="5"/>
        <v>-9.9000000000000008E-3</v>
      </c>
    </row>
    <row r="52" spans="1:16">
      <c r="A52" s="230" t="s">
        <v>697</v>
      </c>
      <c r="B52" s="147">
        <v>4.3800000000000006E-2</v>
      </c>
      <c r="C52" s="147">
        <v>1.8700000000000001E-2</v>
      </c>
      <c r="D52" s="147">
        <v>3.7000000000000002E-3</v>
      </c>
      <c r="E52" s="147">
        <v>8.6E-3</v>
      </c>
      <c r="F52" s="147">
        <v>-1.6E-2</v>
      </c>
      <c r="G52" s="147">
        <v>6.3899999999999998E-2</v>
      </c>
      <c r="I52" s="27">
        <f t="shared" si="0"/>
        <v>2.767770531317543E-2</v>
      </c>
      <c r="J52">
        <f t="shared" si="6"/>
        <v>6.0399999999999995E-2</v>
      </c>
      <c r="L52">
        <f t="shared" si="1"/>
        <v>4.0300000000000002E-2</v>
      </c>
      <c r="M52">
        <f t="shared" si="2"/>
        <v>1.8700000000000001E-2</v>
      </c>
      <c r="N52">
        <f t="shared" si="3"/>
        <v>3.7000000000000002E-3</v>
      </c>
      <c r="O52">
        <f t="shared" si="4"/>
        <v>8.6E-3</v>
      </c>
      <c r="P52">
        <f t="shared" si="5"/>
        <v>-1.6E-2</v>
      </c>
    </row>
    <row r="53" spans="1:16">
      <c r="A53" s="230" t="s">
        <v>698</v>
      </c>
      <c r="B53" s="147">
        <v>4.2100000000000005E-2</v>
      </c>
      <c r="C53" s="147">
        <v>4.3E-3</v>
      </c>
      <c r="D53" s="147">
        <v>-2.4799999999999999E-2</v>
      </c>
      <c r="E53" s="147">
        <v>2.3300000000000001E-2</v>
      </c>
      <c r="F53" s="147">
        <v>-3.6700000000000003E-2</v>
      </c>
      <c r="G53" s="147">
        <v>6.3E-2</v>
      </c>
      <c r="I53" s="27">
        <f t="shared" si="0"/>
        <v>-2.2531025691262499E-3</v>
      </c>
      <c r="J53">
        <f t="shared" si="6"/>
        <v>5.9499999999999997E-2</v>
      </c>
      <c r="L53">
        <f t="shared" si="1"/>
        <v>3.8600000000000002E-2</v>
      </c>
      <c r="M53">
        <f t="shared" si="2"/>
        <v>4.3E-3</v>
      </c>
      <c r="N53">
        <f t="shared" si="3"/>
        <v>-2.4799999999999999E-2</v>
      </c>
      <c r="O53">
        <f t="shared" si="4"/>
        <v>2.3300000000000001E-2</v>
      </c>
      <c r="P53">
        <f t="shared" si="5"/>
        <v>-3.6700000000000003E-2</v>
      </c>
    </row>
    <row r="54" spans="1:16">
      <c r="A54" s="230" t="s">
        <v>699</v>
      </c>
      <c r="B54" s="147">
        <v>-0.04</v>
      </c>
      <c r="C54" s="147">
        <v>2.29E-2</v>
      </c>
      <c r="D54" s="147">
        <v>1.0900000000000002E-2</v>
      </c>
      <c r="E54" s="147">
        <v>-1.7299999999999999E-2</v>
      </c>
      <c r="F54" s="147">
        <v>1.7299999999999999E-2</v>
      </c>
      <c r="G54" s="147">
        <v>-3.3599999999999998E-2</v>
      </c>
      <c r="I54" s="27">
        <f t="shared" si="0"/>
        <v>-1.9181408360690839E-2</v>
      </c>
      <c r="J54">
        <f t="shared" si="6"/>
        <v>-3.7100000000000001E-2</v>
      </c>
      <c r="L54">
        <f t="shared" si="1"/>
        <v>-4.3500000000000004E-2</v>
      </c>
      <c r="M54">
        <f t="shared" si="2"/>
        <v>2.29E-2</v>
      </c>
      <c r="N54">
        <f t="shared" si="3"/>
        <v>1.0900000000000002E-2</v>
      </c>
      <c r="O54">
        <f t="shared" si="4"/>
        <v>-1.7299999999999999E-2</v>
      </c>
      <c r="P54">
        <f t="shared" si="5"/>
        <v>1.7299999999999999E-2</v>
      </c>
    </row>
    <row r="55" spans="1:16">
      <c r="A55" s="230" t="s">
        <v>700</v>
      </c>
      <c r="B55" s="147">
        <v>2.6800000000000004E-2</v>
      </c>
      <c r="C55" s="147">
        <v>6.4299999999999996E-2</v>
      </c>
      <c r="D55" s="147">
        <v>8.5000000000000006E-3</v>
      </c>
      <c r="E55" s="147">
        <v>-6.1999999999999998E-3</v>
      </c>
      <c r="F55" s="147">
        <v>-2.4199999999999999E-2</v>
      </c>
      <c r="G55" s="147">
        <v>8.4600000000000009E-2</v>
      </c>
      <c r="I55" s="27">
        <f t="shared" si="0"/>
        <v>-7.6299329533335049E-3</v>
      </c>
      <c r="J55">
        <f t="shared" si="6"/>
        <v>8.1100000000000005E-2</v>
      </c>
      <c r="L55">
        <f t="shared" si="1"/>
        <v>2.3300000000000005E-2</v>
      </c>
      <c r="M55">
        <f t="shared" si="2"/>
        <v>6.4299999999999996E-2</v>
      </c>
      <c r="N55">
        <f t="shared" si="3"/>
        <v>8.5000000000000006E-3</v>
      </c>
      <c r="O55">
        <f t="shared" si="4"/>
        <v>-6.1999999999999998E-3</v>
      </c>
      <c r="P55">
        <f t="shared" si="5"/>
        <v>-2.4199999999999999E-2</v>
      </c>
    </row>
    <row r="56" spans="1:16">
      <c r="A56" s="230" t="s">
        <v>701</v>
      </c>
      <c r="B56" s="147">
        <v>4.8899999999999999E-2</v>
      </c>
      <c r="C56" s="147">
        <v>3.5400000000000001E-2</v>
      </c>
      <c r="D56" s="147">
        <v>2.7300000000000001E-2</v>
      </c>
      <c r="E56" s="147">
        <v>4.7999999999999996E-3</v>
      </c>
      <c r="F56" s="147">
        <v>2.7000000000000003E-2</v>
      </c>
      <c r="G56" s="147">
        <v>7.2700000000000001E-2</v>
      </c>
      <c r="I56" s="27">
        <f t="shared" si="0"/>
        <v>0.1387305536009471</v>
      </c>
      <c r="J56">
        <f t="shared" si="6"/>
        <v>6.9199999999999998E-2</v>
      </c>
      <c r="L56">
        <f t="shared" si="1"/>
        <v>4.5399999999999996E-2</v>
      </c>
      <c r="M56">
        <f t="shared" si="2"/>
        <v>3.5400000000000001E-2</v>
      </c>
      <c r="N56">
        <f t="shared" si="3"/>
        <v>2.7300000000000001E-2</v>
      </c>
      <c r="O56">
        <f t="shared" si="4"/>
        <v>4.7999999999999996E-3</v>
      </c>
      <c r="P56">
        <f t="shared" si="5"/>
        <v>2.7000000000000003E-2</v>
      </c>
    </row>
    <row r="57" spans="1:16">
      <c r="A57" s="230" t="s">
        <v>702</v>
      </c>
      <c r="B57" s="147">
        <v>-5.7999999999999996E-3</v>
      </c>
      <c r="C57" s="147">
        <v>7.1999999999999998E-3</v>
      </c>
      <c r="D57" s="147">
        <v>1.44E-2</v>
      </c>
      <c r="E57" s="147">
        <v>3.0000000000000001E-3</v>
      </c>
      <c r="F57" s="147">
        <v>1.4499999999999999E-2</v>
      </c>
      <c r="G57" s="147">
        <v>-1.7299999999999999E-2</v>
      </c>
      <c r="I57" s="27">
        <f t="shared" si="0"/>
        <v>3.3888251004470682E-2</v>
      </c>
      <c r="J57">
        <f t="shared" si="6"/>
        <v>-2.0799999999999999E-2</v>
      </c>
      <c r="L57">
        <f t="shared" si="1"/>
        <v>-9.2999999999999992E-3</v>
      </c>
      <c r="M57">
        <f t="shared" si="2"/>
        <v>7.1999999999999998E-3</v>
      </c>
      <c r="N57">
        <f t="shared" si="3"/>
        <v>1.44E-2</v>
      </c>
      <c r="O57">
        <f t="shared" si="4"/>
        <v>3.0000000000000001E-3</v>
      </c>
      <c r="P57">
        <f t="shared" si="5"/>
        <v>1.4499999999999999E-2</v>
      </c>
    </row>
    <row r="58" spans="1:16">
      <c r="A58" s="230" t="s">
        <v>703</v>
      </c>
      <c r="B58" s="147">
        <v>3.4299999999999997E-2</v>
      </c>
      <c r="C58" s="147">
        <v>2.4400000000000002E-2</v>
      </c>
      <c r="D58" s="147">
        <v>-2.5000000000000001E-2</v>
      </c>
      <c r="E58" s="147">
        <v>2E-3</v>
      </c>
      <c r="F58" s="147">
        <v>-9.4999999999999998E-3</v>
      </c>
      <c r="G58" s="147">
        <v>4.4500000000000005E-2</v>
      </c>
      <c r="I58" s="27">
        <f t="shared" si="0"/>
        <v>3.2072836377635069E-2</v>
      </c>
      <c r="J58">
        <f t="shared" si="6"/>
        <v>4.1000000000000002E-2</v>
      </c>
      <c r="L58">
        <f t="shared" si="1"/>
        <v>3.0799999999999998E-2</v>
      </c>
      <c r="M58">
        <f t="shared" si="2"/>
        <v>2.4400000000000002E-2</v>
      </c>
      <c r="N58">
        <f t="shared" si="3"/>
        <v>-2.5000000000000001E-2</v>
      </c>
      <c r="O58">
        <f t="shared" si="4"/>
        <v>2E-3</v>
      </c>
      <c r="P58">
        <f t="shared" si="5"/>
        <v>-9.4999999999999998E-3</v>
      </c>
    </row>
    <row r="59" spans="1:16">
      <c r="A59" s="230" t="s">
        <v>704</v>
      </c>
      <c r="B59" s="147">
        <v>-2.7E-2</v>
      </c>
      <c r="C59" s="147">
        <v>5.3E-3</v>
      </c>
      <c r="D59" s="147">
        <v>-3.3000000000000002E-2</v>
      </c>
      <c r="E59" s="147">
        <v>1.01E-2</v>
      </c>
      <c r="F59" s="147">
        <v>-2.6200000000000001E-2</v>
      </c>
      <c r="G59" s="147">
        <v>6.7000000000000002E-3</v>
      </c>
      <c r="I59" s="27">
        <f t="shared" si="0"/>
        <v>-6.6872582047529466E-2</v>
      </c>
      <c r="J59">
        <f t="shared" si="6"/>
        <v>3.2000000000000002E-3</v>
      </c>
      <c r="L59">
        <f t="shared" si="1"/>
        <v>-3.0499999999999999E-2</v>
      </c>
      <c r="M59">
        <f t="shared" si="2"/>
        <v>5.3E-3</v>
      </c>
      <c r="N59">
        <f t="shared" si="3"/>
        <v>-3.3000000000000002E-2</v>
      </c>
      <c r="O59">
        <f t="shared" si="4"/>
        <v>1.01E-2</v>
      </c>
      <c r="P59">
        <f t="shared" si="5"/>
        <v>-2.6200000000000001E-2</v>
      </c>
    </row>
    <row r="60" spans="1:16">
      <c r="A60" s="230" t="s">
        <v>705</v>
      </c>
      <c r="B60" s="147">
        <v>7.3000000000000001E-3</v>
      </c>
      <c r="C60" s="147">
        <v>-4.0000000000000002E-4</v>
      </c>
      <c r="D60" s="147">
        <v>-1.7000000000000001E-2</v>
      </c>
      <c r="E60" s="147">
        <v>1.34E-2</v>
      </c>
      <c r="F60" s="147">
        <v>-2.3400000000000001E-2</v>
      </c>
      <c r="G60" s="147">
        <v>1.1200000000000002E-2</v>
      </c>
      <c r="I60" s="27">
        <f t="shared" si="0"/>
        <v>-2.6707188569020868E-2</v>
      </c>
      <c r="J60">
        <f t="shared" si="6"/>
        <v>7.700000000000002E-3</v>
      </c>
      <c r="L60">
        <f t="shared" si="1"/>
        <v>3.8E-3</v>
      </c>
      <c r="M60">
        <f t="shared" si="2"/>
        <v>-4.0000000000000002E-4</v>
      </c>
      <c r="N60">
        <f t="shared" si="3"/>
        <v>-1.7000000000000001E-2</v>
      </c>
      <c r="O60">
        <f t="shared" si="4"/>
        <v>1.34E-2</v>
      </c>
      <c r="P60">
        <f t="shared" si="5"/>
        <v>-2.3400000000000001E-2</v>
      </c>
    </row>
    <row r="61" spans="1:16">
      <c r="A61" s="230" t="s">
        <v>706</v>
      </c>
      <c r="B61" s="147">
        <v>3.3799999999999997E-2</v>
      </c>
      <c r="C61" s="147">
        <v>5.7500000000000002E-2</v>
      </c>
      <c r="D61" s="147">
        <v>-5.3E-3</v>
      </c>
      <c r="E61" s="147">
        <v>-8.1000000000000013E-3</v>
      </c>
      <c r="F61" s="147">
        <v>1.3000000000000002E-3</v>
      </c>
      <c r="G61" s="147">
        <v>0.09</v>
      </c>
      <c r="I61" s="27">
        <f t="shared" si="0"/>
        <v>5.7679895003035671E-2</v>
      </c>
      <c r="J61">
        <f t="shared" si="6"/>
        <v>8.6499999999999994E-2</v>
      </c>
      <c r="L61">
        <f t="shared" si="1"/>
        <v>3.0299999999999997E-2</v>
      </c>
      <c r="M61">
        <f t="shared" si="2"/>
        <v>5.7500000000000002E-2</v>
      </c>
      <c r="N61">
        <f t="shared" si="3"/>
        <v>-5.3E-3</v>
      </c>
      <c r="O61">
        <f t="shared" si="4"/>
        <v>-8.1000000000000013E-3</v>
      </c>
      <c r="P61">
        <f t="shared" si="5"/>
        <v>1.3000000000000002E-3</v>
      </c>
    </row>
    <row r="62" spans="1:16">
      <c r="A62" s="230" t="s">
        <v>707</v>
      </c>
      <c r="B62" s="147">
        <v>-3.6599999999999994E-2</v>
      </c>
      <c r="C62" s="147">
        <v>4.5100000000000001E-2</v>
      </c>
      <c r="D62" s="147">
        <v>4.8000000000000001E-2</v>
      </c>
      <c r="E62" s="147">
        <v>-4.6200000000000005E-2</v>
      </c>
      <c r="F62" s="147">
        <v>6.4600000000000005E-2</v>
      </c>
      <c r="G62" s="147">
        <v>-6.9199999999999998E-2</v>
      </c>
      <c r="I62" s="27">
        <f t="shared" si="0"/>
        <v>5.6065175958238761E-2</v>
      </c>
      <c r="J62">
        <f t="shared" si="6"/>
        <v>-7.2700000000000001E-2</v>
      </c>
      <c r="L62">
        <f t="shared" si="1"/>
        <v>-4.0099999999999997E-2</v>
      </c>
      <c r="M62">
        <f t="shared" si="2"/>
        <v>4.5100000000000001E-2</v>
      </c>
      <c r="N62">
        <f t="shared" si="3"/>
        <v>4.8000000000000001E-2</v>
      </c>
      <c r="O62">
        <f t="shared" si="4"/>
        <v>-4.6200000000000005E-2</v>
      </c>
      <c r="P62">
        <f t="shared" si="5"/>
        <v>6.4600000000000005E-2</v>
      </c>
    </row>
    <row r="63" spans="1:16">
      <c r="A63" s="230" t="s">
        <v>708</v>
      </c>
      <c r="B63" s="147">
        <v>-3.3599999999999998E-2</v>
      </c>
      <c r="C63" s="147">
        <v>-2.9100000000000001E-2</v>
      </c>
      <c r="D63" s="147">
        <v>1.2800000000000001E-2</v>
      </c>
      <c r="E63" s="147">
        <v>-1.6000000000000001E-3</v>
      </c>
      <c r="F63" s="147">
        <v>2.4500000000000001E-2</v>
      </c>
      <c r="G63" s="147">
        <v>-8.9499999999999996E-2</v>
      </c>
      <c r="I63" s="27">
        <f t="shared" si="0"/>
        <v>-9.2431115693268314E-4</v>
      </c>
      <c r="J63">
        <f t="shared" si="6"/>
        <v>-9.2999999999999999E-2</v>
      </c>
      <c r="L63">
        <f t="shared" si="1"/>
        <v>-3.7100000000000001E-2</v>
      </c>
      <c r="M63">
        <f t="shared" si="2"/>
        <v>-2.9100000000000001E-2</v>
      </c>
      <c r="N63">
        <f t="shared" si="3"/>
        <v>1.2800000000000001E-2</v>
      </c>
      <c r="O63">
        <f t="shared" si="4"/>
        <v>-1.6000000000000001E-3</v>
      </c>
      <c r="P63">
        <f t="shared" si="5"/>
        <v>2.4500000000000001E-2</v>
      </c>
    </row>
    <row r="64" spans="1:16">
      <c r="A64" s="230" t="s">
        <v>709</v>
      </c>
      <c r="B64" s="147">
        <v>5.7999999999999996E-3</v>
      </c>
      <c r="C64" s="147">
        <v>-1.5900000000000001E-2</v>
      </c>
      <c r="D64" s="147">
        <v>-5.8999999999999999E-3</v>
      </c>
      <c r="E64" s="147">
        <v>1.0500000000000001E-2</v>
      </c>
      <c r="F64" s="147">
        <v>-1.1000000000000001E-2</v>
      </c>
      <c r="G64" s="147">
        <v>2.5600000000000001E-2</v>
      </c>
      <c r="I64" s="27">
        <f t="shared" si="0"/>
        <v>-1.516519287321685E-2</v>
      </c>
      <c r="J64">
        <f t="shared" si="6"/>
        <v>2.2100000000000002E-2</v>
      </c>
      <c r="L64">
        <f t="shared" si="1"/>
        <v>2.2999999999999995E-3</v>
      </c>
      <c r="M64">
        <f t="shared" si="2"/>
        <v>-1.5900000000000001E-2</v>
      </c>
      <c r="N64">
        <f t="shared" si="3"/>
        <v>-5.8999999999999999E-3</v>
      </c>
      <c r="O64">
        <f t="shared" si="4"/>
        <v>1.0500000000000001E-2</v>
      </c>
      <c r="P64">
        <f t="shared" si="5"/>
        <v>-1.1000000000000001E-2</v>
      </c>
    </row>
    <row r="65" spans="1:16">
      <c r="A65" s="230" t="s">
        <v>710</v>
      </c>
      <c r="B65" s="147">
        <v>9.4800000000000009E-2</v>
      </c>
      <c r="C65" s="147">
        <v>6.1800000000000001E-2</v>
      </c>
      <c r="D65" s="147">
        <v>-1.1299999999999999E-2</v>
      </c>
      <c r="E65" s="147">
        <v>2.69E-2</v>
      </c>
      <c r="F65" s="147">
        <v>-3.6499999999999998E-2</v>
      </c>
      <c r="G65" s="147">
        <v>0.19190000000000002</v>
      </c>
      <c r="I65" s="27">
        <f t="shared" si="0"/>
        <v>9.2416367727550033E-2</v>
      </c>
      <c r="J65">
        <f t="shared" si="6"/>
        <v>0.18840000000000001</v>
      </c>
      <c r="L65">
        <f t="shared" si="1"/>
        <v>9.1300000000000006E-2</v>
      </c>
      <c r="M65">
        <f t="shared" si="2"/>
        <v>6.1800000000000001E-2</v>
      </c>
      <c r="N65">
        <f t="shared" si="3"/>
        <v>-1.1299999999999999E-2</v>
      </c>
      <c r="O65">
        <f t="shared" si="4"/>
        <v>2.69E-2</v>
      </c>
      <c r="P65">
        <f t="shared" si="5"/>
        <v>-3.6499999999999998E-2</v>
      </c>
    </row>
    <row r="66" spans="1:16">
      <c r="A66" s="230" t="s">
        <v>711</v>
      </c>
      <c r="B66" s="147">
        <v>2.7299999999999998E-2</v>
      </c>
      <c r="C66" s="147">
        <v>7.0000000000000007E-2</v>
      </c>
      <c r="D66" s="147">
        <v>8.5000000000000006E-3</v>
      </c>
      <c r="E66" s="147">
        <v>4.3E-3</v>
      </c>
      <c r="F66" s="147">
        <v>-1.9199999999999998E-2</v>
      </c>
      <c r="G66" s="147">
        <v>0.1017</v>
      </c>
      <c r="I66" s="27">
        <f t="shared" si="0"/>
        <v>2.8100607674132683E-2</v>
      </c>
      <c r="J66">
        <f t="shared" si="6"/>
        <v>9.8199999999999996E-2</v>
      </c>
      <c r="L66">
        <f t="shared" si="1"/>
        <v>2.3799999999999998E-2</v>
      </c>
      <c r="M66">
        <f t="shared" si="2"/>
        <v>7.0000000000000007E-2</v>
      </c>
      <c r="N66">
        <f t="shared" si="3"/>
        <v>8.5000000000000006E-3</v>
      </c>
      <c r="O66">
        <f t="shared" si="4"/>
        <v>4.3E-3</v>
      </c>
      <c r="P66">
        <f t="shared" si="5"/>
        <v>-1.9199999999999998E-2</v>
      </c>
    </row>
    <row r="67" spans="1:16">
      <c r="A67" s="230" t="s">
        <v>712</v>
      </c>
      <c r="B67" s="147">
        <v>1.12E-2</v>
      </c>
      <c r="C67" s="147">
        <v>-2.8000000000000004E-3</v>
      </c>
      <c r="D67" s="147">
        <v>7.3000000000000001E-3</v>
      </c>
      <c r="E67" s="147">
        <v>-1.41E-2</v>
      </c>
      <c r="F67" s="147">
        <v>2.76E-2</v>
      </c>
      <c r="G67" s="147">
        <v>7.3000000000000001E-3</v>
      </c>
      <c r="I67" s="27">
        <f t="shared" si="0"/>
        <v>4.7293072204741618E-2</v>
      </c>
      <c r="J67">
        <f t="shared" si="6"/>
        <v>3.8E-3</v>
      </c>
      <c r="L67">
        <f t="shared" si="1"/>
        <v>7.7000000000000002E-3</v>
      </c>
      <c r="M67">
        <f t="shared" si="2"/>
        <v>-2.8000000000000004E-3</v>
      </c>
      <c r="N67">
        <f t="shared" si="3"/>
        <v>7.3000000000000001E-3</v>
      </c>
      <c r="O67">
        <f t="shared" si="4"/>
        <v>-1.41E-2</v>
      </c>
      <c r="P67">
        <f t="shared" si="5"/>
        <v>2.76E-2</v>
      </c>
    </row>
    <row r="68" spans="1:16">
      <c r="A68" s="230" t="s">
        <v>713</v>
      </c>
      <c r="B68" s="147">
        <v>-2.2400000000000003E-2</v>
      </c>
      <c r="C68" s="147">
        <v>-1.41E-2</v>
      </c>
      <c r="D68" s="147">
        <v>5.3899999999999997E-2</v>
      </c>
      <c r="E68" s="147">
        <v>-3.1300000000000001E-2</v>
      </c>
      <c r="F68" s="147">
        <v>3.7200000000000004E-2</v>
      </c>
      <c r="G68" s="147">
        <v>-4.4800000000000006E-2</v>
      </c>
      <c r="I68" s="27">
        <f t="shared" si="0"/>
        <v>-1.0842055556339183E-2</v>
      </c>
      <c r="J68">
        <f t="shared" si="6"/>
        <v>-4.830000000000001E-2</v>
      </c>
      <c r="L68">
        <f t="shared" si="1"/>
        <v>-2.5900000000000003E-2</v>
      </c>
      <c r="M68">
        <f t="shared" si="2"/>
        <v>-1.41E-2</v>
      </c>
      <c r="N68">
        <f t="shared" si="3"/>
        <v>5.3899999999999997E-2</v>
      </c>
      <c r="O68">
        <f t="shared" si="4"/>
        <v>-3.1300000000000001E-2</v>
      </c>
      <c r="P68">
        <f t="shared" si="5"/>
        <v>3.7200000000000004E-2</v>
      </c>
    </row>
    <row r="69" spans="1:16">
      <c r="A69" s="230" t="s">
        <v>714</v>
      </c>
      <c r="B69" s="147">
        <v>1.7600000000000001E-2</v>
      </c>
      <c r="C69" s="147">
        <v>2.2700000000000001E-2</v>
      </c>
      <c r="D69" s="147">
        <v>1.01E-2</v>
      </c>
      <c r="E69" s="147">
        <v>-6.9999999999999993E-3</v>
      </c>
      <c r="F69" s="147">
        <v>4.7999999999999996E-3</v>
      </c>
      <c r="G69" s="147">
        <v>4.9000000000000002E-2</v>
      </c>
      <c r="I69" s="27">
        <f t="shared" si="0"/>
        <v>2.6107740076325783E-2</v>
      </c>
      <c r="J69">
        <f t="shared" si="6"/>
        <v>4.5499999999999999E-2</v>
      </c>
      <c r="L69">
        <f t="shared" si="1"/>
        <v>1.4100000000000001E-2</v>
      </c>
      <c r="M69">
        <f t="shared" si="2"/>
        <v>2.2700000000000001E-2</v>
      </c>
      <c r="N69">
        <f t="shared" si="3"/>
        <v>1.01E-2</v>
      </c>
      <c r="O69">
        <f t="shared" si="4"/>
        <v>-6.9999999999999993E-3</v>
      </c>
      <c r="P69">
        <f t="shared" si="5"/>
        <v>4.7999999999999996E-3</v>
      </c>
    </row>
    <row r="70" spans="1:16">
      <c r="A70" s="230" t="s">
        <v>715</v>
      </c>
      <c r="B70" s="147">
        <v>4.4600000000000001E-2</v>
      </c>
      <c r="C70" s="147">
        <v>2.81E-2</v>
      </c>
      <c r="D70" s="147">
        <v>3.0000000000000001E-3</v>
      </c>
      <c r="E70" s="147">
        <v>-1.9900000000000001E-2</v>
      </c>
      <c r="F70" s="147">
        <v>8.6999999999999994E-3</v>
      </c>
      <c r="G70" s="147">
        <v>9.8299999999999998E-2</v>
      </c>
      <c r="I70" s="27">
        <f t="shared" si="0"/>
        <v>4.4397454441302456E-2</v>
      </c>
      <c r="J70">
        <f t="shared" si="6"/>
        <v>9.4799999999999995E-2</v>
      </c>
      <c r="L70">
        <f t="shared" si="1"/>
        <v>4.1099999999999998E-2</v>
      </c>
      <c r="M70">
        <f t="shared" si="2"/>
        <v>2.81E-2</v>
      </c>
      <c r="N70">
        <f t="shared" si="3"/>
        <v>3.0000000000000001E-3</v>
      </c>
      <c r="O70">
        <f t="shared" si="4"/>
        <v>-1.9900000000000001E-2</v>
      </c>
      <c r="P70">
        <f t="shared" si="5"/>
        <v>8.6999999999999994E-3</v>
      </c>
    </row>
    <row r="71" spans="1:16">
      <c r="A71" s="230" t="s">
        <v>716</v>
      </c>
      <c r="B71" s="147">
        <v>8.6E-3</v>
      </c>
      <c r="C71" s="147">
        <v>-4.1999999999999997E-3</v>
      </c>
      <c r="D71" s="147">
        <v>2.86E-2</v>
      </c>
      <c r="E71" s="147">
        <v>-1.3200000000000002E-2</v>
      </c>
      <c r="F71" s="147">
        <v>2.7000000000000003E-2</v>
      </c>
      <c r="G71" s="147">
        <v>-1.5700000000000002E-2</v>
      </c>
      <c r="I71" s="27">
        <f t="shared" si="0"/>
        <v>3.9471147293542022E-2</v>
      </c>
      <c r="J71">
        <f t="shared" si="6"/>
        <v>-1.9200000000000002E-2</v>
      </c>
      <c r="L71">
        <f t="shared" si="1"/>
        <v>5.1000000000000004E-3</v>
      </c>
      <c r="M71">
        <f t="shared" si="2"/>
        <v>-4.1999999999999997E-3</v>
      </c>
      <c r="N71">
        <f t="shared" si="3"/>
        <v>2.86E-2</v>
      </c>
      <c r="O71">
        <f t="shared" si="4"/>
        <v>-1.3200000000000002E-2</v>
      </c>
      <c r="P71">
        <f t="shared" si="5"/>
        <v>2.7000000000000003E-2</v>
      </c>
    </row>
    <row r="72" spans="1:16">
      <c r="A72" s="230" t="s">
        <v>717</v>
      </c>
      <c r="B72" s="147">
        <v>5.8500000000000003E-2</v>
      </c>
      <c r="C72" s="147">
        <v>2.3900000000000001E-2</v>
      </c>
      <c r="D72" s="147">
        <v>-9.1999999999999998E-3</v>
      </c>
      <c r="E72" s="147">
        <v>4.3E-3</v>
      </c>
      <c r="F72" s="147">
        <v>-2.4300000000000002E-2</v>
      </c>
      <c r="G72" s="147">
        <v>9.9700000000000011E-2</v>
      </c>
      <c r="I72" s="27">
        <f t="shared" ref="I72:I135" si="7">SUMPRODUCT(B72:F72,$B$4:$F$4)-0.0035</f>
        <v>2.0058461707560597E-2</v>
      </c>
      <c r="J72">
        <f t="shared" si="6"/>
        <v>9.6200000000000008E-2</v>
      </c>
      <c r="L72">
        <f t="shared" ref="L72:L135" si="8">B72-0.0035</f>
        <v>5.5E-2</v>
      </c>
      <c r="M72">
        <f t="shared" ref="M72:M135" si="9">C72</f>
        <v>2.3900000000000001E-2</v>
      </c>
      <c r="N72">
        <f t="shared" ref="N72:N135" si="10">D72</f>
        <v>-9.1999999999999998E-3</v>
      </c>
      <c r="O72">
        <f t="shared" ref="O72:O135" si="11">E72</f>
        <v>4.3E-3</v>
      </c>
      <c r="P72">
        <f t="shared" ref="P72:P135" si="12">F72</f>
        <v>-2.4300000000000002E-2</v>
      </c>
    </row>
    <row r="73" spans="1:16">
      <c r="A73" s="230" t="s">
        <v>718</v>
      </c>
      <c r="B73" s="147">
        <v>-3.5099999999999999E-2</v>
      </c>
      <c r="C73" s="147">
        <v>3.5200000000000002E-2</v>
      </c>
      <c r="D73" s="147">
        <v>-1E-4</v>
      </c>
      <c r="E73" s="147">
        <v>-1.8600000000000002E-2</v>
      </c>
      <c r="F73" s="147">
        <v>1.7600000000000001E-2</v>
      </c>
      <c r="G73" s="147">
        <v>-2.8500000000000001E-2</v>
      </c>
      <c r="I73" s="27">
        <f t="shared" si="7"/>
        <v>-5.5245972876991449E-3</v>
      </c>
      <c r="J73">
        <f t="shared" ref="J73:J136" si="13">G73-0.0035</f>
        <v>-3.2000000000000001E-2</v>
      </c>
      <c r="L73">
        <f t="shared" si="8"/>
        <v>-3.8600000000000002E-2</v>
      </c>
      <c r="M73">
        <f t="shared" si="9"/>
        <v>3.5200000000000002E-2</v>
      </c>
      <c r="N73">
        <f t="shared" si="10"/>
        <v>-1E-4</v>
      </c>
      <c r="O73">
        <f t="shared" si="11"/>
        <v>-1.8600000000000002E-2</v>
      </c>
      <c r="P73">
        <f t="shared" si="12"/>
        <v>1.7600000000000001E-2</v>
      </c>
    </row>
    <row r="74" spans="1:16">
      <c r="A74" s="230" t="s">
        <v>719</v>
      </c>
      <c r="B74" s="147">
        <v>-7.2000000000000007E-3</v>
      </c>
      <c r="C74" s="147">
        <v>-4.4000000000000003E-3</v>
      </c>
      <c r="D74" s="147">
        <v>1.67E-2</v>
      </c>
      <c r="E74" s="147">
        <v>-1.5500000000000002E-2</v>
      </c>
      <c r="F74" s="147">
        <v>1.38E-2</v>
      </c>
      <c r="G74" s="147">
        <v>-1.8700000000000001E-2</v>
      </c>
      <c r="I74" s="27">
        <f t="shared" si="7"/>
        <v>-1.0942456861176144E-2</v>
      </c>
      <c r="J74">
        <f t="shared" si="13"/>
        <v>-2.2200000000000001E-2</v>
      </c>
      <c r="L74">
        <f t="shared" si="8"/>
        <v>-1.0700000000000001E-2</v>
      </c>
      <c r="M74">
        <f t="shared" si="9"/>
        <v>-4.4000000000000003E-3</v>
      </c>
      <c r="N74">
        <f t="shared" si="10"/>
        <v>1.67E-2</v>
      </c>
      <c r="O74">
        <f t="shared" si="11"/>
        <v>-1.5500000000000002E-2</v>
      </c>
      <c r="P74">
        <f t="shared" si="12"/>
        <v>1.38E-2</v>
      </c>
    </row>
    <row r="75" spans="1:16">
      <c r="A75" s="230" t="s">
        <v>720</v>
      </c>
      <c r="B75" s="147">
        <v>-5.3800000000000001E-2</v>
      </c>
      <c r="C75" s="147">
        <v>-4.1600000000000005E-2</v>
      </c>
      <c r="D75" s="147">
        <v>9.1000000000000004E-3</v>
      </c>
      <c r="E75" s="147">
        <v>2.07E-2</v>
      </c>
      <c r="F75" s="147">
        <v>8.3000000000000001E-3</v>
      </c>
      <c r="G75" s="147">
        <v>-0.10460000000000001</v>
      </c>
      <c r="I75" s="27">
        <f t="shared" si="7"/>
        <v>-2.8305225648704524E-2</v>
      </c>
      <c r="J75">
        <f t="shared" si="13"/>
        <v>-0.10810000000000002</v>
      </c>
      <c r="L75">
        <f t="shared" si="8"/>
        <v>-5.7300000000000004E-2</v>
      </c>
      <c r="M75">
        <f t="shared" si="9"/>
        <v>-4.1600000000000005E-2</v>
      </c>
      <c r="N75">
        <f t="shared" si="10"/>
        <v>9.1000000000000004E-3</v>
      </c>
      <c r="O75">
        <f t="shared" si="11"/>
        <v>2.07E-2</v>
      </c>
      <c r="P75">
        <f t="shared" si="12"/>
        <v>8.3000000000000001E-3</v>
      </c>
    </row>
    <row r="76" spans="1:16">
      <c r="A76" s="230" t="s">
        <v>721</v>
      </c>
      <c r="B76" s="147">
        <v>3.1000000000000003E-2</v>
      </c>
      <c r="C76" s="147">
        <v>-4.5000000000000005E-3</v>
      </c>
      <c r="D76" s="147">
        <v>-5.1000000000000004E-3</v>
      </c>
      <c r="E76" s="147">
        <v>-1.43E-2</v>
      </c>
      <c r="F76" s="147">
        <v>-3.4999999999999996E-3</v>
      </c>
      <c r="G76" s="147">
        <v>5.6900000000000006E-2</v>
      </c>
      <c r="I76" s="27">
        <f t="shared" si="7"/>
        <v>-9.0525041082914863E-3</v>
      </c>
      <c r="J76">
        <f t="shared" si="13"/>
        <v>5.3400000000000003E-2</v>
      </c>
      <c r="L76">
        <f t="shared" si="8"/>
        <v>2.7500000000000004E-2</v>
      </c>
      <c r="M76">
        <f t="shared" si="9"/>
        <v>-4.5000000000000005E-3</v>
      </c>
      <c r="N76">
        <f t="shared" si="10"/>
        <v>-5.1000000000000004E-3</v>
      </c>
      <c r="O76">
        <f t="shared" si="11"/>
        <v>-1.43E-2</v>
      </c>
      <c r="P76">
        <f t="shared" si="12"/>
        <v>-3.4999999999999996E-3</v>
      </c>
    </row>
    <row r="77" spans="1:16">
      <c r="A77" s="230" t="s">
        <v>722</v>
      </c>
      <c r="B77" s="147">
        <v>1.9900000000000001E-2</v>
      </c>
      <c r="C77" s="147">
        <v>-8.0000000000000002E-3</v>
      </c>
      <c r="D77" s="147">
        <v>-2.9999999999999997E-4</v>
      </c>
      <c r="E77" s="147">
        <v>4.0999999999999995E-3</v>
      </c>
      <c r="F77" s="147">
        <v>5.9999999999999995E-4</v>
      </c>
      <c r="G77" s="147">
        <v>3.3599999999999998E-2</v>
      </c>
      <c r="I77" s="27">
        <f t="shared" si="7"/>
        <v>2.0145874772568958E-2</v>
      </c>
      <c r="J77">
        <f t="shared" si="13"/>
        <v>3.0099999999999998E-2</v>
      </c>
      <c r="L77">
        <f t="shared" si="8"/>
        <v>1.6400000000000001E-2</v>
      </c>
      <c r="M77">
        <f t="shared" si="9"/>
        <v>-8.0000000000000002E-3</v>
      </c>
      <c r="N77">
        <f t="shared" si="10"/>
        <v>-2.9999999999999997E-4</v>
      </c>
      <c r="O77">
        <f t="shared" si="11"/>
        <v>4.0999999999999995E-3</v>
      </c>
      <c r="P77">
        <f t="shared" si="12"/>
        <v>5.9999999999999995E-4</v>
      </c>
    </row>
    <row r="78" spans="1:16">
      <c r="A78" s="230" t="s">
        <v>723</v>
      </c>
      <c r="B78" s="147">
        <v>3.7999999999999996E-3</v>
      </c>
      <c r="C78" s="147">
        <v>-1.1000000000000001E-3</v>
      </c>
      <c r="D78" s="147">
        <v>6.9999999999999993E-3</v>
      </c>
      <c r="E78" s="147">
        <v>-9.4999999999999998E-3</v>
      </c>
      <c r="F78" s="147">
        <v>1.3899999999999999E-2</v>
      </c>
      <c r="G78" s="147">
        <v>2.9900000000000003E-2</v>
      </c>
      <c r="I78" s="27">
        <f t="shared" si="7"/>
        <v>1.5393452098368308E-2</v>
      </c>
      <c r="J78">
        <f t="shared" si="13"/>
        <v>2.6400000000000003E-2</v>
      </c>
      <c r="L78">
        <f t="shared" si="8"/>
        <v>2.9999999999999949E-4</v>
      </c>
      <c r="M78">
        <f t="shared" si="9"/>
        <v>-1.1000000000000001E-3</v>
      </c>
      <c r="N78">
        <f t="shared" si="10"/>
        <v>6.9999999999999993E-3</v>
      </c>
      <c r="O78">
        <f t="shared" si="11"/>
        <v>-9.4999999999999998E-3</v>
      </c>
      <c r="P78">
        <f t="shared" si="12"/>
        <v>1.3899999999999999E-2</v>
      </c>
    </row>
    <row r="79" spans="1:16">
      <c r="A79" s="230" t="s">
        <v>724</v>
      </c>
      <c r="B79" s="147">
        <v>-6.6700000000000009E-2</v>
      </c>
      <c r="C79" s="147">
        <v>-5.45E-2</v>
      </c>
      <c r="D79" s="147">
        <v>-1.0800000000000001E-2</v>
      </c>
      <c r="E79" s="147">
        <v>4.3200000000000002E-2</v>
      </c>
      <c r="F79" s="147">
        <v>-1.6E-2</v>
      </c>
      <c r="G79" s="147">
        <v>-0.11470000000000001</v>
      </c>
      <c r="I79" s="27">
        <f t="shared" si="7"/>
        <v>-6.5024671446737944E-2</v>
      </c>
      <c r="J79">
        <f t="shared" si="13"/>
        <v>-0.11820000000000001</v>
      </c>
      <c r="L79">
        <f t="shared" si="8"/>
        <v>-7.0200000000000012E-2</v>
      </c>
      <c r="M79">
        <f t="shared" si="9"/>
        <v>-5.45E-2</v>
      </c>
      <c r="N79">
        <f t="shared" si="10"/>
        <v>-1.0800000000000001E-2</v>
      </c>
      <c r="O79">
        <f t="shared" si="11"/>
        <v>4.3200000000000002E-2</v>
      </c>
      <c r="P79">
        <f t="shared" si="12"/>
        <v>-1.6E-2</v>
      </c>
    </row>
    <row r="80" spans="1:16">
      <c r="A80" s="230" t="s">
        <v>725</v>
      </c>
      <c r="B80" s="147">
        <v>-6.4700000000000008E-2</v>
      </c>
      <c r="C80" s="147">
        <v>-3.4100000000000005E-2</v>
      </c>
      <c r="D80" s="147">
        <v>1.2E-2</v>
      </c>
      <c r="E80" s="147">
        <v>1.4800000000000001E-2</v>
      </c>
      <c r="F80" s="147">
        <v>1.9099999999999999E-2</v>
      </c>
      <c r="G80" s="147">
        <v>-6.9000000000000006E-2</v>
      </c>
      <c r="I80" s="27">
        <f t="shared" si="7"/>
        <v>-1.8772413812413503E-2</v>
      </c>
      <c r="J80">
        <f t="shared" si="13"/>
        <v>-7.2500000000000009E-2</v>
      </c>
      <c r="L80">
        <f t="shared" si="8"/>
        <v>-6.8200000000000011E-2</v>
      </c>
      <c r="M80">
        <f t="shared" si="9"/>
        <v>-3.4100000000000005E-2</v>
      </c>
      <c r="N80">
        <f t="shared" si="10"/>
        <v>1.2E-2</v>
      </c>
      <c r="O80">
        <f t="shared" si="11"/>
        <v>1.4800000000000001E-2</v>
      </c>
      <c r="P80">
        <f t="shared" si="12"/>
        <v>1.9099999999999999E-2</v>
      </c>
    </row>
    <row r="81" spans="1:16">
      <c r="A81" s="230" t="s">
        <v>726</v>
      </c>
      <c r="B81" s="147">
        <v>5.1799999999999999E-2</v>
      </c>
      <c r="C81" s="147">
        <v>6.9999999999999993E-3</v>
      </c>
      <c r="D81" s="147">
        <v>-3.7900000000000003E-2</v>
      </c>
      <c r="E81" s="147">
        <v>1.1299999999999999E-2</v>
      </c>
      <c r="F81" s="147">
        <v>-4.02E-2</v>
      </c>
      <c r="G81" s="147">
        <v>0.10460000000000001</v>
      </c>
      <c r="I81" s="27">
        <f t="shared" si="7"/>
        <v>-1.8531400613742029E-2</v>
      </c>
      <c r="J81">
        <f t="shared" si="13"/>
        <v>0.10110000000000001</v>
      </c>
      <c r="L81">
        <f t="shared" si="8"/>
        <v>4.8299999999999996E-2</v>
      </c>
      <c r="M81">
        <f t="shared" si="9"/>
        <v>6.9999999999999993E-3</v>
      </c>
      <c r="N81">
        <f t="shared" si="10"/>
        <v>-3.7900000000000003E-2</v>
      </c>
      <c r="O81">
        <f t="shared" si="11"/>
        <v>1.1299999999999999E-2</v>
      </c>
      <c r="P81">
        <f t="shared" si="12"/>
        <v>-4.02E-2</v>
      </c>
    </row>
    <row r="82" spans="1:16">
      <c r="A82" s="230" t="s">
        <v>727</v>
      </c>
      <c r="B82" s="147">
        <v>-2.3599999999999999E-2</v>
      </c>
      <c r="C82" s="147">
        <v>1.29E-2</v>
      </c>
      <c r="D82" s="147">
        <v>-3.27E-2</v>
      </c>
      <c r="E82" s="147">
        <v>3.39E-2</v>
      </c>
      <c r="F82" s="147">
        <v>-8.199999999999999E-3</v>
      </c>
      <c r="G82" s="147">
        <v>-2.81E-2</v>
      </c>
      <c r="I82" s="27">
        <f t="shared" si="7"/>
        <v>2.9388188527308474E-2</v>
      </c>
      <c r="J82">
        <f t="shared" si="13"/>
        <v>-3.1600000000000003E-2</v>
      </c>
      <c r="L82">
        <f t="shared" si="8"/>
        <v>-2.7099999999999999E-2</v>
      </c>
      <c r="M82">
        <f t="shared" si="9"/>
        <v>1.29E-2</v>
      </c>
      <c r="N82">
        <f t="shared" si="10"/>
        <v>-3.27E-2</v>
      </c>
      <c r="O82">
        <f t="shared" si="11"/>
        <v>3.39E-2</v>
      </c>
      <c r="P82">
        <f t="shared" si="12"/>
        <v>-8.199999999999999E-3</v>
      </c>
    </row>
    <row r="83" spans="1:16">
      <c r="A83" s="230" t="s">
        <v>728</v>
      </c>
      <c r="B83" s="147">
        <v>5.6599999999999998E-2</v>
      </c>
      <c r="C83" s="147">
        <v>3.9600000000000003E-2</v>
      </c>
      <c r="D83" s="147">
        <v>-3.1600000000000003E-2</v>
      </c>
      <c r="E83" s="147">
        <v>5.0000000000000001E-4</v>
      </c>
      <c r="F83" s="147">
        <v>-2.1499999999999998E-2</v>
      </c>
      <c r="G83" s="147">
        <v>6.6500000000000004E-2</v>
      </c>
      <c r="I83" s="27">
        <f t="shared" si="7"/>
        <v>3.3197823370401641E-2</v>
      </c>
      <c r="J83">
        <f t="shared" si="13"/>
        <v>6.3E-2</v>
      </c>
      <c r="L83">
        <f t="shared" si="8"/>
        <v>5.3099999999999994E-2</v>
      </c>
      <c r="M83">
        <f t="shared" si="9"/>
        <v>3.9600000000000003E-2</v>
      </c>
      <c r="N83">
        <f t="shared" si="10"/>
        <v>-3.1600000000000003E-2</v>
      </c>
      <c r="O83">
        <f t="shared" si="11"/>
        <v>5.0000000000000001E-4</v>
      </c>
      <c r="P83">
        <f t="shared" si="12"/>
        <v>-2.1499999999999998E-2</v>
      </c>
    </row>
    <row r="84" spans="1:16">
      <c r="A84" s="230" t="s">
        <v>729</v>
      </c>
      <c r="B84" s="147">
        <v>-3.27E-2</v>
      </c>
      <c r="C84" s="147">
        <v>-2.4500000000000001E-2</v>
      </c>
      <c r="D84" s="147">
        <v>-1.1899999999999999E-2</v>
      </c>
      <c r="E84" s="147">
        <v>1.46E-2</v>
      </c>
      <c r="F84" s="147">
        <v>3.0000000000000001E-3</v>
      </c>
      <c r="G84" s="147">
        <v>-3.9000000000000003E-3</v>
      </c>
      <c r="I84" s="27">
        <f t="shared" si="7"/>
        <v>-1.5836671179978487E-2</v>
      </c>
      <c r="J84">
        <f t="shared" si="13"/>
        <v>-7.4000000000000003E-3</v>
      </c>
      <c r="L84">
        <f t="shared" si="8"/>
        <v>-3.6200000000000003E-2</v>
      </c>
      <c r="M84">
        <f t="shared" si="9"/>
        <v>-2.4500000000000001E-2</v>
      </c>
      <c r="N84">
        <f t="shared" si="10"/>
        <v>-1.1899999999999999E-2</v>
      </c>
      <c r="O84">
        <f t="shared" si="11"/>
        <v>1.46E-2</v>
      </c>
      <c r="P84">
        <f t="shared" si="12"/>
        <v>3.0000000000000001E-3</v>
      </c>
    </row>
    <row r="85" spans="1:16">
      <c r="A85" s="230" t="s">
        <v>730</v>
      </c>
      <c r="B85" s="147">
        <v>-1.9900000000000001E-2</v>
      </c>
      <c r="C85" s="147">
        <v>-3.7600000000000001E-2</v>
      </c>
      <c r="D85" s="147">
        <v>-2.86E-2</v>
      </c>
      <c r="E85" s="147">
        <v>2.5400000000000002E-2</v>
      </c>
      <c r="F85" s="147">
        <v>-1.8100000000000002E-2</v>
      </c>
      <c r="G85" s="147">
        <v>1.3700000000000002E-2</v>
      </c>
      <c r="I85" s="27">
        <f t="shared" si="7"/>
        <v>-4.0953208324470233E-2</v>
      </c>
      <c r="J85">
        <f t="shared" si="13"/>
        <v>1.0200000000000002E-2</v>
      </c>
      <c r="L85">
        <f t="shared" si="8"/>
        <v>-2.3400000000000001E-2</v>
      </c>
      <c r="M85">
        <f t="shared" si="9"/>
        <v>-3.7600000000000001E-2</v>
      </c>
      <c r="N85">
        <f t="shared" si="10"/>
        <v>-2.86E-2</v>
      </c>
      <c r="O85">
        <f t="shared" si="11"/>
        <v>2.5400000000000002E-2</v>
      </c>
      <c r="P85">
        <f t="shared" si="12"/>
        <v>-1.8100000000000002E-2</v>
      </c>
    </row>
    <row r="86" spans="1:16">
      <c r="A86" s="230" t="s">
        <v>731</v>
      </c>
      <c r="B86" s="147">
        <v>-7.4999999999999997E-2</v>
      </c>
      <c r="C86" s="147">
        <v>3.1200000000000002E-2</v>
      </c>
      <c r="D86" s="147">
        <v>3.1300000000000001E-2</v>
      </c>
      <c r="E86" s="147">
        <v>-1.72E-2</v>
      </c>
      <c r="F86" s="147">
        <v>3.8399999999999997E-2</v>
      </c>
      <c r="G86" s="147">
        <v>-7.0499999999999993E-2</v>
      </c>
      <c r="I86" s="27">
        <f t="shared" si="7"/>
        <v>-3.9486863480482333E-4</v>
      </c>
      <c r="J86">
        <f t="shared" si="13"/>
        <v>-7.3999999999999996E-2</v>
      </c>
      <c r="L86">
        <f t="shared" si="8"/>
        <v>-7.85E-2</v>
      </c>
      <c r="M86">
        <f t="shared" si="9"/>
        <v>3.1200000000000002E-2</v>
      </c>
      <c r="N86">
        <f t="shared" si="10"/>
        <v>3.1300000000000001E-2</v>
      </c>
      <c r="O86">
        <f t="shared" si="11"/>
        <v>-1.72E-2</v>
      </c>
      <c r="P86">
        <f t="shared" si="12"/>
        <v>3.8399999999999997E-2</v>
      </c>
    </row>
    <row r="87" spans="1:16">
      <c r="A87" s="230" t="s">
        <v>732</v>
      </c>
      <c r="B87" s="147">
        <v>5.7499999999999996E-2</v>
      </c>
      <c r="C87" s="147">
        <v>-2.76E-2</v>
      </c>
      <c r="D87" s="147">
        <v>3.9300000000000002E-2</v>
      </c>
      <c r="E87" s="147">
        <v>-2.29E-2</v>
      </c>
      <c r="F87" s="147">
        <v>2.76E-2</v>
      </c>
      <c r="G87" s="147">
        <v>3.1800000000000002E-2</v>
      </c>
      <c r="I87" s="27">
        <f t="shared" si="7"/>
        <v>5.4648962121229903E-2</v>
      </c>
      <c r="J87">
        <f t="shared" si="13"/>
        <v>2.8300000000000002E-2</v>
      </c>
      <c r="L87">
        <f t="shared" si="8"/>
        <v>5.3999999999999992E-2</v>
      </c>
      <c r="M87">
        <f t="shared" si="9"/>
        <v>-2.76E-2</v>
      </c>
      <c r="N87">
        <f t="shared" si="10"/>
        <v>3.9300000000000002E-2</v>
      </c>
      <c r="O87">
        <f t="shared" si="11"/>
        <v>-2.29E-2</v>
      </c>
      <c r="P87">
        <f t="shared" si="12"/>
        <v>2.76E-2</v>
      </c>
    </row>
    <row r="88" spans="1:16">
      <c r="A88" s="230" t="s">
        <v>733</v>
      </c>
      <c r="B88" s="147">
        <v>-4.9000000000000007E-3</v>
      </c>
      <c r="C88" s="147">
        <v>-2.4100000000000003E-2</v>
      </c>
      <c r="D88" s="147">
        <v>3.9900000000000005E-2</v>
      </c>
      <c r="E88" s="147">
        <v>-0.01</v>
      </c>
      <c r="F88" s="147">
        <v>4.2900000000000001E-2</v>
      </c>
      <c r="G88" s="147">
        <v>-2.9600000000000001E-2</v>
      </c>
      <c r="I88" s="27">
        <f t="shared" si="7"/>
        <v>5.5854089528387538E-2</v>
      </c>
      <c r="J88">
        <f t="shared" si="13"/>
        <v>-3.3100000000000004E-2</v>
      </c>
      <c r="L88">
        <f t="shared" si="8"/>
        <v>-8.4000000000000012E-3</v>
      </c>
      <c r="M88">
        <f t="shared" si="9"/>
        <v>-2.4100000000000003E-2</v>
      </c>
      <c r="N88">
        <f t="shared" si="10"/>
        <v>3.9900000000000005E-2</v>
      </c>
      <c r="O88">
        <f t="shared" si="11"/>
        <v>-0.01</v>
      </c>
      <c r="P88">
        <f t="shared" si="12"/>
        <v>4.2900000000000001E-2</v>
      </c>
    </row>
    <row r="89" spans="1:16">
      <c r="A89" s="230" t="s">
        <v>734</v>
      </c>
      <c r="B89" s="147">
        <v>-0.105</v>
      </c>
      <c r="C89" s="147">
        <v>-6.4000000000000001E-2</v>
      </c>
      <c r="D89" s="147">
        <v>6.1800000000000001E-2</v>
      </c>
      <c r="E89" s="147">
        <v>-6.4000000000000003E-3</v>
      </c>
      <c r="F89" s="147">
        <v>6.2100000000000002E-2</v>
      </c>
      <c r="G89" s="147">
        <v>-0.11460000000000001</v>
      </c>
      <c r="I89" s="27">
        <f t="shared" si="7"/>
        <v>-2.0783641909242891E-2</v>
      </c>
      <c r="J89">
        <f t="shared" si="13"/>
        <v>-0.11810000000000001</v>
      </c>
      <c r="L89">
        <f t="shared" si="8"/>
        <v>-0.1085</v>
      </c>
      <c r="M89">
        <f t="shared" si="9"/>
        <v>-6.4000000000000001E-2</v>
      </c>
      <c r="N89">
        <f t="shared" si="10"/>
        <v>6.1800000000000001E-2</v>
      </c>
      <c r="O89">
        <f t="shared" si="11"/>
        <v>-6.4000000000000003E-3</v>
      </c>
      <c r="P89">
        <f t="shared" si="12"/>
        <v>6.2100000000000002E-2</v>
      </c>
    </row>
    <row r="90" spans="1:16">
      <c r="A90" s="230" t="s">
        <v>735</v>
      </c>
      <c r="B90" s="147">
        <v>-6.3899999999999998E-2</v>
      </c>
      <c r="C90" s="147">
        <v>-4.4800000000000006E-2</v>
      </c>
      <c r="D90" s="147">
        <v>3.3300000000000003E-2</v>
      </c>
      <c r="E90" s="147">
        <v>-1.21E-2</v>
      </c>
      <c r="F90" s="147">
        <v>3.9E-2</v>
      </c>
      <c r="G90" s="147">
        <v>-6.2000000000000006E-2</v>
      </c>
      <c r="I90" s="27">
        <f t="shared" si="7"/>
        <v>-2.8860762225693639E-2</v>
      </c>
      <c r="J90">
        <f t="shared" si="13"/>
        <v>-6.5500000000000003E-2</v>
      </c>
      <c r="L90">
        <f t="shared" si="8"/>
        <v>-6.7400000000000002E-2</v>
      </c>
      <c r="M90">
        <f t="shared" si="9"/>
        <v>-4.4800000000000006E-2</v>
      </c>
      <c r="N90">
        <f t="shared" si="10"/>
        <v>3.3300000000000003E-2</v>
      </c>
      <c r="O90">
        <f t="shared" si="11"/>
        <v>-1.21E-2</v>
      </c>
      <c r="P90">
        <f t="shared" si="12"/>
        <v>3.9E-2</v>
      </c>
    </row>
    <row r="91" spans="1:16">
      <c r="A91" s="230" t="s">
        <v>736</v>
      </c>
      <c r="B91" s="147">
        <v>-5.21E-2</v>
      </c>
      <c r="C91" s="147">
        <v>-2.2000000000000002E-2</v>
      </c>
      <c r="D91" s="147">
        <v>6.0000000000000001E-3</v>
      </c>
      <c r="E91" s="147">
        <v>1.3000000000000002E-3</v>
      </c>
      <c r="F91" s="147">
        <v>2.9600000000000001E-2</v>
      </c>
      <c r="G91" s="147">
        <v>-9.300000000000001E-3</v>
      </c>
      <c r="I91" s="27">
        <f t="shared" si="7"/>
        <v>4.5921017478911703E-3</v>
      </c>
      <c r="J91">
        <f t="shared" si="13"/>
        <v>-1.2800000000000001E-2</v>
      </c>
      <c r="L91">
        <f t="shared" si="8"/>
        <v>-5.5600000000000004E-2</v>
      </c>
      <c r="M91">
        <f t="shared" si="9"/>
        <v>-2.2000000000000002E-2</v>
      </c>
      <c r="N91">
        <f t="shared" si="10"/>
        <v>6.0000000000000001E-3</v>
      </c>
      <c r="O91">
        <f t="shared" si="11"/>
        <v>1.3000000000000002E-3</v>
      </c>
      <c r="P91">
        <f t="shared" si="12"/>
        <v>2.9600000000000001E-2</v>
      </c>
    </row>
    <row r="92" spans="1:16">
      <c r="A92" s="230" t="s">
        <v>737</v>
      </c>
      <c r="B92" s="147">
        <v>7.4499999999999997E-2</v>
      </c>
      <c r="C92" s="147">
        <v>-6.1999999999999998E-3</v>
      </c>
      <c r="D92" s="147">
        <v>9.0000000000000011E-3</v>
      </c>
      <c r="E92" s="147">
        <v>-2.6000000000000003E-3</v>
      </c>
      <c r="F92" s="147">
        <v>1.84E-2</v>
      </c>
      <c r="G92" s="147">
        <v>4.4299999999999999E-2</v>
      </c>
      <c r="I92" s="27">
        <f t="shared" si="7"/>
        <v>0.1060358699112314</v>
      </c>
      <c r="J92">
        <f t="shared" si="13"/>
        <v>4.0799999999999996E-2</v>
      </c>
      <c r="L92">
        <f t="shared" si="8"/>
        <v>7.0999999999999994E-2</v>
      </c>
      <c r="M92">
        <f t="shared" si="9"/>
        <v>-6.1999999999999998E-3</v>
      </c>
      <c r="N92">
        <f t="shared" si="10"/>
        <v>9.0000000000000011E-3</v>
      </c>
      <c r="O92">
        <f t="shared" si="11"/>
        <v>-2.6000000000000003E-3</v>
      </c>
      <c r="P92">
        <f t="shared" si="12"/>
        <v>1.84E-2</v>
      </c>
    </row>
    <row r="93" spans="1:16">
      <c r="A93" s="230" t="s">
        <v>738</v>
      </c>
      <c r="B93" s="147">
        <v>5.0200000000000002E-2</v>
      </c>
      <c r="C93" s="147">
        <v>1.52E-2</v>
      </c>
      <c r="D93" s="147">
        <v>1.15E-2</v>
      </c>
      <c r="E93" s="147">
        <v>5.6000000000000008E-3</v>
      </c>
      <c r="F93" s="147">
        <v>-2.0999999999999999E-3</v>
      </c>
      <c r="G93" s="147">
        <v>2.01E-2</v>
      </c>
      <c r="I93" s="27">
        <f t="shared" si="7"/>
        <v>5.9232121839856891E-2</v>
      </c>
      <c r="J93">
        <f t="shared" si="13"/>
        <v>1.66E-2</v>
      </c>
      <c r="L93">
        <f t="shared" si="8"/>
        <v>4.6699999999999998E-2</v>
      </c>
      <c r="M93">
        <f t="shared" si="9"/>
        <v>1.52E-2</v>
      </c>
      <c r="N93">
        <f t="shared" si="10"/>
        <v>1.15E-2</v>
      </c>
      <c r="O93">
        <f t="shared" si="11"/>
        <v>5.6000000000000008E-3</v>
      </c>
      <c r="P93">
        <f t="shared" si="12"/>
        <v>-2.0999999999999999E-3</v>
      </c>
    </row>
    <row r="94" spans="1:16">
      <c r="A94" s="230" t="s">
        <v>739</v>
      </c>
      <c r="B94" s="147">
        <v>4.7199999999999999E-2</v>
      </c>
      <c r="C94" s="147">
        <v>8.5099999999999995E-2</v>
      </c>
      <c r="D94" s="147">
        <v>-5.4699999999999999E-2</v>
      </c>
      <c r="E94" s="147">
        <v>3.0000000000000001E-3</v>
      </c>
      <c r="F94" s="147">
        <v>-5.8300000000000005E-2</v>
      </c>
      <c r="G94" s="147">
        <v>4.1399999999999999E-2</v>
      </c>
      <c r="I94" s="27">
        <f t="shared" si="7"/>
        <v>-2.8379468616760464E-2</v>
      </c>
      <c r="J94">
        <f t="shared" si="13"/>
        <v>3.7899999999999996E-2</v>
      </c>
      <c r="L94">
        <f t="shared" si="8"/>
        <v>4.3699999999999996E-2</v>
      </c>
      <c r="M94">
        <f t="shared" si="9"/>
        <v>8.5099999999999995E-2</v>
      </c>
      <c r="N94">
        <f t="shared" si="10"/>
        <v>-5.4699999999999999E-2</v>
      </c>
      <c r="O94">
        <f t="shared" si="11"/>
        <v>3.0000000000000001E-3</v>
      </c>
      <c r="P94">
        <f t="shared" si="12"/>
        <v>-5.8300000000000005E-2</v>
      </c>
    </row>
    <row r="95" spans="1:16">
      <c r="A95" s="230" t="s">
        <v>740</v>
      </c>
      <c r="B95" s="147">
        <v>-1.8199999999999997E-2</v>
      </c>
      <c r="C95" s="147">
        <v>-4.4299999999999999E-2</v>
      </c>
      <c r="D95" s="147">
        <v>2.2000000000000001E-3</v>
      </c>
      <c r="E95" s="147">
        <v>1.7100000000000001E-2</v>
      </c>
      <c r="F95" s="147">
        <v>2.3400000000000001E-2</v>
      </c>
      <c r="G95" s="147">
        <v>-1.2800000000000001E-2</v>
      </c>
      <c r="I95" s="27">
        <f t="shared" si="7"/>
        <v>3.7934573732383042E-2</v>
      </c>
      <c r="J95">
        <f t="shared" si="13"/>
        <v>-1.6300000000000002E-2</v>
      </c>
      <c r="L95">
        <f t="shared" si="8"/>
        <v>-2.1699999999999997E-2</v>
      </c>
      <c r="M95">
        <f t="shared" si="9"/>
        <v>-4.4299999999999999E-2</v>
      </c>
      <c r="N95">
        <f t="shared" si="10"/>
        <v>2.2000000000000001E-3</v>
      </c>
      <c r="O95">
        <f t="shared" si="11"/>
        <v>1.7100000000000001E-2</v>
      </c>
      <c r="P95">
        <f t="shared" si="12"/>
        <v>2.3400000000000001E-2</v>
      </c>
    </row>
    <row r="96" spans="1:16">
      <c r="A96" s="230" t="s">
        <v>741</v>
      </c>
      <c r="B96" s="147">
        <v>5.0599999999999999E-2</v>
      </c>
      <c r="C96" s="147">
        <v>-3.8600000000000002E-2</v>
      </c>
      <c r="D96" s="147">
        <v>1.6899999999999998E-2</v>
      </c>
      <c r="E96" s="147">
        <v>1.5700000000000002E-2</v>
      </c>
      <c r="F96" s="147">
        <v>1.47E-2</v>
      </c>
      <c r="G96" s="147">
        <v>5.6600000000000004E-2</v>
      </c>
      <c r="I96" s="27">
        <f t="shared" si="7"/>
        <v>8.3254455620074691E-2</v>
      </c>
      <c r="J96">
        <f t="shared" si="13"/>
        <v>5.3100000000000001E-2</v>
      </c>
      <c r="L96">
        <f t="shared" si="8"/>
        <v>4.7099999999999996E-2</v>
      </c>
      <c r="M96">
        <f t="shared" si="9"/>
        <v>-3.8600000000000002E-2</v>
      </c>
      <c r="N96">
        <f t="shared" si="10"/>
        <v>1.6899999999999998E-2</v>
      </c>
      <c r="O96">
        <f t="shared" si="11"/>
        <v>1.5700000000000002E-2</v>
      </c>
      <c r="P96">
        <f t="shared" si="12"/>
        <v>1.47E-2</v>
      </c>
    </row>
    <row r="97" spans="1:16">
      <c r="A97" s="230" t="s">
        <v>742</v>
      </c>
      <c r="B97" s="147">
        <v>6.1400000000000003E-2</v>
      </c>
      <c r="C97" s="147">
        <v>2.9399999999999999E-2</v>
      </c>
      <c r="D97" s="147">
        <v>0.01</v>
      </c>
      <c r="E97" s="147">
        <v>2.7000000000000001E-3</v>
      </c>
      <c r="F97" s="147">
        <v>3.0000000000000001E-3</v>
      </c>
      <c r="G97" s="147">
        <v>3.4599999999999999E-2</v>
      </c>
      <c r="I97" s="27">
        <f t="shared" si="7"/>
        <v>8.7471232998330983E-2</v>
      </c>
      <c r="J97">
        <f t="shared" si="13"/>
        <v>3.1099999999999999E-2</v>
      </c>
      <c r="L97">
        <f t="shared" si="8"/>
        <v>5.79E-2</v>
      </c>
      <c r="M97">
        <f t="shared" si="9"/>
        <v>2.9399999999999999E-2</v>
      </c>
      <c r="N97">
        <f t="shared" si="10"/>
        <v>0.01</v>
      </c>
      <c r="O97">
        <f t="shared" si="11"/>
        <v>2.7000000000000001E-3</v>
      </c>
      <c r="P97">
        <f t="shared" si="12"/>
        <v>3.0000000000000001E-3</v>
      </c>
    </row>
    <row r="98" spans="1:16">
      <c r="A98" s="230" t="s">
        <v>743</v>
      </c>
      <c r="B98" s="147">
        <v>5.2199999999999996E-2</v>
      </c>
      <c r="C98" s="147">
        <v>7.5400000000000009E-2</v>
      </c>
      <c r="D98" s="147">
        <v>1.3300000000000001E-2</v>
      </c>
      <c r="E98" s="147">
        <v>-1.9900000000000001E-2</v>
      </c>
      <c r="F98" s="147">
        <v>7.000000000000001E-4</v>
      </c>
      <c r="G98" s="147">
        <v>2.07E-2</v>
      </c>
      <c r="I98" s="27">
        <f t="shared" si="7"/>
        <v>6.1030908849762158E-2</v>
      </c>
      <c r="J98">
        <f t="shared" si="13"/>
        <v>1.72E-2</v>
      </c>
      <c r="L98">
        <f t="shared" si="8"/>
        <v>4.8699999999999993E-2</v>
      </c>
      <c r="M98">
        <f t="shared" si="9"/>
        <v>7.5400000000000009E-2</v>
      </c>
      <c r="N98">
        <f t="shared" si="10"/>
        <v>1.3300000000000001E-2</v>
      </c>
      <c r="O98">
        <f t="shared" si="11"/>
        <v>-1.9900000000000001E-2</v>
      </c>
      <c r="P98">
        <f t="shared" si="12"/>
        <v>7.000000000000001E-4</v>
      </c>
    </row>
    <row r="99" spans="1:16">
      <c r="A99" s="230" t="s">
        <v>744</v>
      </c>
      <c r="B99" s="147">
        <v>1.7399999999999999E-2</v>
      </c>
      <c r="C99" s="147">
        <v>2.0400000000000001E-2</v>
      </c>
      <c r="D99" s="147">
        <v>-1.23E-2</v>
      </c>
      <c r="E99" s="147">
        <v>6.1999999999999998E-3</v>
      </c>
      <c r="F99" s="147">
        <v>-6.9999999999999993E-3</v>
      </c>
      <c r="G99" s="147">
        <v>0.04</v>
      </c>
      <c r="I99" s="27">
        <f t="shared" si="7"/>
        <v>2.3732478785569059E-2</v>
      </c>
      <c r="J99">
        <f t="shared" si="13"/>
        <v>3.6499999999999998E-2</v>
      </c>
      <c r="L99">
        <f t="shared" si="8"/>
        <v>1.3899999999999999E-2</v>
      </c>
      <c r="M99">
        <f t="shared" si="9"/>
        <v>2.0400000000000001E-2</v>
      </c>
      <c r="N99">
        <f t="shared" si="10"/>
        <v>-1.23E-2</v>
      </c>
      <c r="O99">
        <f t="shared" si="11"/>
        <v>6.1999999999999998E-3</v>
      </c>
      <c r="P99">
        <f t="shared" si="12"/>
        <v>-6.9999999999999993E-3</v>
      </c>
    </row>
    <row r="100" spans="1:16">
      <c r="A100" s="230" t="s">
        <v>745</v>
      </c>
      <c r="B100" s="147">
        <v>4.4299999999999999E-2</v>
      </c>
      <c r="C100" s="147">
        <v>2.2599999999999999E-2</v>
      </c>
      <c r="D100" s="147">
        <v>-3.95E-2</v>
      </c>
      <c r="E100" s="147">
        <v>1.8200000000000001E-2</v>
      </c>
      <c r="F100" s="147">
        <v>-2.7099999999999999E-2</v>
      </c>
      <c r="G100" s="147">
        <v>5.1900000000000002E-2</v>
      </c>
      <c r="I100" s="27">
        <f t="shared" si="7"/>
        <v>2.9616884810628855E-2</v>
      </c>
      <c r="J100">
        <f t="shared" si="13"/>
        <v>4.8399999999999999E-2</v>
      </c>
      <c r="L100">
        <f t="shared" si="8"/>
        <v>4.0799999999999996E-2</v>
      </c>
      <c r="M100">
        <f t="shared" si="9"/>
        <v>2.2599999999999999E-2</v>
      </c>
      <c r="N100">
        <f t="shared" si="10"/>
        <v>-3.95E-2</v>
      </c>
      <c r="O100">
        <f t="shared" si="11"/>
        <v>1.8200000000000001E-2</v>
      </c>
      <c r="P100">
        <f t="shared" si="12"/>
        <v>-2.7099999999999999E-2</v>
      </c>
    </row>
    <row r="101" spans="1:16">
      <c r="A101" s="230" t="s">
        <v>746</v>
      </c>
      <c r="B101" s="147">
        <v>3.4299999999999997E-2</v>
      </c>
      <c r="C101" s="147">
        <v>-3.5999999999999999E-3</v>
      </c>
      <c r="D101" s="147">
        <v>6.8999999999999999E-3</v>
      </c>
      <c r="E101" s="147">
        <v>-1.47E-2</v>
      </c>
      <c r="F101" s="147">
        <v>8.6999999999999994E-3</v>
      </c>
      <c r="G101" s="147">
        <v>4.9299999999999997E-2</v>
      </c>
      <c r="I101" s="27">
        <f t="shared" si="7"/>
        <v>2.1912647856918932E-2</v>
      </c>
      <c r="J101">
        <f t="shared" si="13"/>
        <v>4.5799999999999993E-2</v>
      </c>
      <c r="L101">
        <f t="shared" si="8"/>
        <v>3.0799999999999998E-2</v>
      </c>
      <c r="M101">
        <f t="shared" si="9"/>
        <v>-3.5999999999999999E-3</v>
      </c>
      <c r="N101">
        <f t="shared" si="10"/>
        <v>6.8999999999999999E-3</v>
      </c>
      <c r="O101">
        <f t="shared" si="11"/>
        <v>-1.47E-2</v>
      </c>
      <c r="P101">
        <f t="shared" si="12"/>
        <v>8.6999999999999994E-3</v>
      </c>
    </row>
    <row r="102" spans="1:16">
      <c r="A102" s="230" t="s">
        <v>747</v>
      </c>
      <c r="B102" s="147">
        <v>-3.6900000000000002E-2</v>
      </c>
      <c r="C102" s="147">
        <v>-1.11E-2</v>
      </c>
      <c r="D102" s="147">
        <v>-1.44E-2</v>
      </c>
      <c r="E102" s="147">
        <v>1.3999999999999999E-2</v>
      </c>
      <c r="F102" s="147">
        <v>2.5000000000000001E-3</v>
      </c>
      <c r="G102" s="147">
        <v>-2.98E-2</v>
      </c>
      <c r="I102" s="27">
        <f t="shared" si="7"/>
        <v>-1.3048184569265745E-2</v>
      </c>
      <c r="J102">
        <f t="shared" si="13"/>
        <v>-3.3300000000000003E-2</v>
      </c>
      <c r="L102">
        <f t="shared" si="8"/>
        <v>-4.0400000000000005E-2</v>
      </c>
      <c r="M102">
        <f t="shared" si="9"/>
        <v>-1.11E-2</v>
      </c>
      <c r="N102">
        <f t="shared" si="10"/>
        <v>-1.44E-2</v>
      </c>
      <c r="O102">
        <f t="shared" si="11"/>
        <v>1.3999999999999999E-2</v>
      </c>
      <c r="P102">
        <f t="shared" si="12"/>
        <v>2.5000000000000001E-3</v>
      </c>
    </row>
    <row r="103" spans="1:16">
      <c r="A103" s="230" t="s">
        <v>748</v>
      </c>
      <c r="B103" s="147">
        <v>2.7000000000000001E-3</v>
      </c>
      <c r="C103" s="147">
        <v>-1.4800000000000001E-2</v>
      </c>
      <c r="D103" s="147">
        <v>-1.8700000000000001E-2</v>
      </c>
      <c r="E103" s="147">
        <v>1.5300000000000001E-2</v>
      </c>
      <c r="F103" s="147">
        <v>-1.6399999999999998E-2</v>
      </c>
      <c r="G103" s="147">
        <v>2.7099999999999999E-2</v>
      </c>
      <c r="I103" s="27">
        <f t="shared" si="7"/>
        <v>-1.9568191937530451E-2</v>
      </c>
      <c r="J103">
        <f t="shared" si="13"/>
        <v>2.3599999999999999E-2</v>
      </c>
      <c r="L103">
        <f t="shared" si="8"/>
        <v>-7.9999999999999993E-4</v>
      </c>
      <c r="M103">
        <f t="shared" si="9"/>
        <v>-1.4800000000000001E-2</v>
      </c>
      <c r="N103">
        <f t="shared" si="10"/>
        <v>-1.8700000000000001E-2</v>
      </c>
      <c r="O103">
        <f t="shared" si="11"/>
        <v>1.5300000000000001E-2</v>
      </c>
      <c r="P103">
        <f t="shared" si="12"/>
        <v>-1.6399999999999998E-2</v>
      </c>
    </row>
    <row r="104" spans="1:16">
      <c r="A104" s="230" t="s">
        <v>749</v>
      </c>
      <c r="B104" s="147">
        <v>-4.0999999999999995E-2</v>
      </c>
      <c r="C104" s="147">
        <v>-1.3899999999999999E-2</v>
      </c>
      <c r="D104" s="147">
        <v>2.0000000000000001E-4</v>
      </c>
      <c r="E104" s="147">
        <v>6.4000000000000003E-3</v>
      </c>
      <c r="F104" s="147">
        <v>1.46E-2</v>
      </c>
      <c r="G104" s="147">
        <v>-6.25E-2</v>
      </c>
      <c r="I104" s="27">
        <f t="shared" si="7"/>
        <v>-5.7785217207763397E-3</v>
      </c>
      <c r="J104">
        <f t="shared" si="13"/>
        <v>-6.6000000000000003E-2</v>
      </c>
      <c r="L104">
        <f t="shared" si="8"/>
        <v>-4.4499999999999998E-2</v>
      </c>
      <c r="M104">
        <f t="shared" si="9"/>
        <v>-1.3899999999999999E-2</v>
      </c>
      <c r="N104">
        <f t="shared" si="10"/>
        <v>2.0000000000000001E-4</v>
      </c>
      <c r="O104">
        <f t="shared" si="11"/>
        <v>6.4000000000000003E-3</v>
      </c>
      <c r="P104">
        <f t="shared" si="12"/>
        <v>1.46E-2</v>
      </c>
    </row>
    <row r="105" spans="1:16">
      <c r="A105" s="230" t="s">
        <v>750</v>
      </c>
      <c r="B105" s="147">
        <v>4.2600000000000006E-2</v>
      </c>
      <c r="C105" s="147">
        <v>-1.6000000000000001E-3</v>
      </c>
      <c r="D105" s="147">
        <v>2.63E-2</v>
      </c>
      <c r="E105" s="147">
        <v>-4.3E-3</v>
      </c>
      <c r="F105" s="147">
        <v>2.6400000000000003E-2</v>
      </c>
      <c r="G105" s="147">
        <v>8.7500000000000008E-2</v>
      </c>
      <c r="I105" s="27">
        <f t="shared" si="7"/>
        <v>9.0330052652711684E-2</v>
      </c>
      <c r="J105">
        <f t="shared" si="13"/>
        <v>8.4000000000000005E-2</v>
      </c>
      <c r="L105">
        <f t="shared" si="8"/>
        <v>3.9100000000000003E-2</v>
      </c>
      <c r="M105">
        <f t="shared" si="9"/>
        <v>-1.6000000000000001E-3</v>
      </c>
      <c r="N105">
        <f t="shared" si="10"/>
        <v>2.63E-2</v>
      </c>
      <c r="O105">
        <f t="shared" si="11"/>
        <v>-4.3E-3</v>
      </c>
      <c r="P105">
        <f t="shared" si="12"/>
        <v>2.6400000000000003E-2</v>
      </c>
    </row>
    <row r="106" spans="1:16">
      <c r="A106" s="230" t="s">
        <v>751</v>
      </c>
      <c r="B106" s="147">
        <v>-4.8000000000000004E-3</v>
      </c>
      <c r="C106" s="147">
        <v>2.8000000000000004E-3</v>
      </c>
      <c r="D106" s="147">
        <v>-2.9100000000000001E-2</v>
      </c>
      <c r="E106" s="147">
        <v>2.5600000000000001E-2</v>
      </c>
      <c r="F106" s="147">
        <v>-1.5800000000000002E-2</v>
      </c>
      <c r="G106" s="147">
        <v>6.1999999999999998E-3</v>
      </c>
      <c r="I106" s="27">
        <f t="shared" si="7"/>
        <v>6.8536617706074672E-3</v>
      </c>
      <c r="J106">
        <f t="shared" si="13"/>
        <v>2.6999999999999997E-3</v>
      </c>
      <c r="L106">
        <f t="shared" si="8"/>
        <v>-8.3000000000000001E-3</v>
      </c>
      <c r="M106">
        <f t="shared" si="9"/>
        <v>2.8000000000000004E-3</v>
      </c>
      <c r="N106">
        <f t="shared" si="10"/>
        <v>-2.9100000000000001E-2</v>
      </c>
      <c r="O106">
        <f t="shared" si="11"/>
        <v>2.5600000000000001E-2</v>
      </c>
      <c r="P106">
        <f t="shared" si="12"/>
        <v>-1.5800000000000002E-2</v>
      </c>
    </row>
    <row r="107" spans="1:16">
      <c r="A107" s="230" t="s">
        <v>752</v>
      </c>
      <c r="B107" s="147">
        <v>-4.0500000000000001E-2</v>
      </c>
      <c r="C107" s="147">
        <v>-1.6E-2</v>
      </c>
      <c r="D107" s="147">
        <v>-4.7999999999999996E-3</v>
      </c>
      <c r="E107" s="147">
        <v>1.6200000000000003E-2</v>
      </c>
      <c r="F107" s="147">
        <v>-1.3500000000000002E-2</v>
      </c>
      <c r="G107" s="147">
        <v>-4.1100000000000005E-2</v>
      </c>
      <c r="I107" s="27">
        <f t="shared" si="7"/>
        <v>-5.761968649968089E-2</v>
      </c>
      <c r="J107">
        <f t="shared" si="13"/>
        <v>-4.4600000000000008E-2</v>
      </c>
      <c r="L107">
        <f t="shared" si="8"/>
        <v>-4.4000000000000004E-2</v>
      </c>
      <c r="M107">
        <f t="shared" si="9"/>
        <v>-1.6E-2</v>
      </c>
      <c r="N107">
        <f t="shared" si="10"/>
        <v>-4.7999999999999996E-3</v>
      </c>
      <c r="O107">
        <f t="shared" si="11"/>
        <v>1.6200000000000003E-2</v>
      </c>
      <c r="P107">
        <f t="shared" si="12"/>
        <v>-1.3500000000000002E-2</v>
      </c>
    </row>
    <row r="108" spans="1:16">
      <c r="A108" s="230" t="s">
        <v>753</v>
      </c>
      <c r="B108" s="147">
        <v>-8.9999999999999976E-4</v>
      </c>
      <c r="C108" s="147">
        <v>-2.86E-2</v>
      </c>
      <c r="D108" s="147">
        <v>-1.6799999999999999E-2</v>
      </c>
      <c r="E108" s="147">
        <v>2.4400000000000002E-2</v>
      </c>
      <c r="F108" s="147">
        <v>-3.4000000000000002E-3</v>
      </c>
      <c r="G108" s="147">
        <v>9.1999999999999998E-3</v>
      </c>
      <c r="I108" s="27">
        <f t="shared" si="7"/>
        <v>1.6192628297982719E-2</v>
      </c>
      <c r="J108">
        <f t="shared" si="13"/>
        <v>5.7000000000000002E-3</v>
      </c>
      <c r="L108">
        <f t="shared" si="8"/>
        <v>-4.3999999999999994E-3</v>
      </c>
      <c r="M108">
        <f t="shared" si="9"/>
        <v>-2.86E-2</v>
      </c>
      <c r="N108">
        <f t="shared" si="10"/>
        <v>-1.6799999999999999E-2</v>
      </c>
      <c r="O108">
        <f t="shared" si="11"/>
        <v>2.4400000000000002E-2</v>
      </c>
      <c r="P108">
        <f t="shared" si="12"/>
        <v>-3.4000000000000002E-3</v>
      </c>
    </row>
    <row r="109" spans="1:16">
      <c r="A109" s="230" t="s">
        <v>754</v>
      </c>
      <c r="B109" s="147">
        <v>9.0800000000000006E-2</v>
      </c>
      <c r="C109" s="147">
        <v>3.27E-2</v>
      </c>
      <c r="D109" s="147">
        <v>-4.0000000000000001E-3</v>
      </c>
      <c r="E109" s="147">
        <v>-4.0000000000000001E-3</v>
      </c>
      <c r="F109" s="147">
        <v>-1.7500000000000002E-2</v>
      </c>
      <c r="G109" s="147">
        <v>0.10800000000000001</v>
      </c>
      <c r="I109" s="27">
        <f t="shared" si="7"/>
        <v>5.8870047907165948E-2</v>
      </c>
      <c r="J109">
        <f t="shared" si="13"/>
        <v>0.10450000000000001</v>
      </c>
      <c r="L109">
        <f t="shared" si="8"/>
        <v>8.7300000000000003E-2</v>
      </c>
      <c r="M109">
        <f t="shared" si="9"/>
        <v>3.27E-2</v>
      </c>
      <c r="N109">
        <f t="shared" si="10"/>
        <v>-4.0000000000000001E-3</v>
      </c>
      <c r="O109">
        <f t="shared" si="11"/>
        <v>-4.0000000000000001E-3</v>
      </c>
      <c r="P109">
        <f t="shared" si="12"/>
        <v>-1.7500000000000002E-2</v>
      </c>
    </row>
    <row r="110" spans="1:16">
      <c r="A110" s="230" t="s">
        <v>755</v>
      </c>
      <c r="B110" s="147">
        <v>2.7800000000000002E-2</v>
      </c>
      <c r="C110" s="147">
        <v>6.0999999999999999E-2</v>
      </c>
      <c r="D110" s="147">
        <v>2.2400000000000003E-2</v>
      </c>
      <c r="E110" s="147">
        <v>-1.6899999999999998E-2</v>
      </c>
      <c r="F110" s="147">
        <v>5.5000000000000005E-3</v>
      </c>
      <c r="G110" s="147">
        <v>6.0999999999999999E-2</v>
      </c>
      <c r="I110" s="27">
        <f t="shared" si="7"/>
        <v>4.2647864018470233E-2</v>
      </c>
      <c r="J110">
        <f t="shared" si="13"/>
        <v>5.7499999999999996E-2</v>
      </c>
      <c r="L110">
        <f t="shared" si="8"/>
        <v>2.4300000000000002E-2</v>
      </c>
      <c r="M110">
        <f t="shared" si="9"/>
        <v>6.0999999999999999E-2</v>
      </c>
      <c r="N110">
        <f t="shared" si="10"/>
        <v>2.2400000000000003E-2</v>
      </c>
      <c r="O110">
        <f t="shared" si="11"/>
        <v>-1.6899999999999998E-2</v>
      </c>
      <c r="P110">
        <f t="shared" si="12"/>
        <v>5.5000000000000005E-3</v>
      </c>
    </row>
    <row r="111" spans="1:16">
      <c r="A111" s="230" t="s">
        <v>756</v>
      </c>
      <c r="B111" s="147">
        <v>3.1200000000000002E-2</v>
      </c>
      <c r="C111" s="147">
        <v>8.6999999999999994E-3</v>
      </c>
      <c r="D111" s="147">
        <v>-2.7900000000000001E-2</v>
      </c>
      <c r="E111" s="147">
        <v>1.61E-2</v>
      </c>
      <c r="F111" s="147">
        <v>-5.2000000000000006E-3</v>
      </c>
      <c r="G111" s="147">
        <v>5.6799999999999996E-2</v>
      </c>
      <c r="I111" s="27">
        <f t="shared" si="7"/>
        <v>5.5556548863919614E-2</v>
      </c>
      <c r="J111">
        <f t="shared" si="13"/>
        <v>5.3299999999999993E-2</v>
      </c>
      <c r="L111">
        <f t="shared" si="8"/>
        <v>2.7700000000000002E-2</v>
      </c>
      <c r="M111">
        <f t="shared" si="9"/>
        <v>8.6999999999999994E-3</v>
      </c>
      <c r="N111">
        <f t="shared" si="10"/>
        <v>-2.7900000000000001E-2</v>
      </c>
      <c r="O111">
        <f t="shared" si="11"/>
        <v>1.61E-2</v>
      </c>
      <c r="P111">
        <f t="shared" si="12"/>
        <v>-5.2000000000000006E-3</v>
      </c>
    </row>
    <row r="112" spans="1:16">
      <c r="A112" s="230" t="s">
        <v>757</v>
      </c>
      <c r="B112" s="147">
        <v>9.0000000000000011E-3</v>
      </c>
      <c r="C112" s="147">
        <v>-4.3E-3</v>
      </c>
      <c r="D112" s="147">
        <v>-1.61E-2</v>
      </c>
      <c r="E112" s="147">
        <v>1.6299999999999999E-2</v>
      </c>
      <c r="F112" s="147">
        <v>-1.8E-3</v>
      </c>
      <c r="G112" s="147">
        <v>1.3100000000000001E-2</v>
      </c>
      <c r="I112" s="27">
        <f t="shared" si="7"/>
        <v>3.1166650120146955E-2</v>
      </c>
      <c r="J112">
        <f t="shared" si="13"/>
        <v>9.6000000000000009E-3</v>
      </c>
      <c r="L112">
        <f t="shared" si="8"/>
        <v>5.5000000000000014E-3</v>
      </c>
      <c r="M112">
        <f t="shared" si="9"/>
        <v>-4.3E-3</v>
      </c>
      <c r="N112">
        <f t="shared" si="10"/>
        <v>-1.61E-2</v>
      </c>
      <c r="O112">
        <f t="shared" si="11"/>
        <v>1.6299999999999999E-2</v>
      </c>
      <c r="P112">
        <f t="shared" si="12"/>
        <v>-1.8E-3</v>
      </c>
    </row>
    <row r="113" spans="1:16">
      <c r="A113" s="230" t="s">
        <v>758</v>
      </c>
      <c r="B113" s="147">
        <v>5.7999999999999996E-3</v>
      </c>
      <c r="C113" s="147">
        <v>2.3E-3</v>
      </c>
      <c r="D113" s="147">
        <v>1.1999999999999999E-3</v>
      </c>
      <c r="E113" s="147">
        <v>-4.1999999999999997E-3</v>
      </c>
      <c r="F113" s="147">
        <v>-1.03E-2</v>
      </c>
      <c r="G113" s="147">
        <v>1.26E-2</v>
      </c>
      <c r="I113" s="27">
        <f t="shared" si="7"/>
        <v>-2.9653436809029383E-2</v>
      </c>
      <c r="J113">
        <f t="shared" si="13"/>
        <v>9.1000000000000004E-3</v>
      </c>
      <c r="L113">
        <f t="shared" si="8"/>
        <v>2.2999999999999995E-3</v>
      </c>
      <c r="M113">
        <f t="shared" si="9"/>
        <v>2.3E-3</v>
      </c>
      <c r="N113">
        <f t="shared" si="10"/>
        <v>1.1999999999999999E-3</v>
      </c>
      <c r="O113">
        <f t="shared" si="11"/>
        <v>-4.1999999999999997E-3</v>
      </c>
      <c r="P113">
        <f t="shared" si="12"/>
        <v>-1.03E-2</v>
      </c>
    </row>
    <row r="114" spans="1:16">
      <c r="A114" s="230" t="s">
        <v>759</v>
      </c>
      <c r="B114" s="147">
        <v>1.55E-2</v>
      </c>
      <c r="C114" s="147">
        <v>-3.1000000000000003E-2</v>
      </c>
      <c r="D114" s="147">
        <v>-2.7000000000000003E-2</v>
      </c>
      <c r="E114" s="147">
        <v>2.3400000000000001E-2</v>
      </c>
      <c r="F114" s="147">
        <v>-1.95E-2</v>
      </c>
      <c r="G114" s="147">
        <v>5.6500000000000002E-2</v>
      </c>
      <c r="I114" s="27">
        <f t="shared" si="7"/>
        <v>-8.6634254486709604E-3</v>
      </c>
      <c r="J114">
        <f t="shared" si="13"/>
        <v>5.2999999999999999E-2</v>
      </c>
      <c r="L114">
        <f t="shared" si="8"/>
        <v>1.2E-2</v>
      </c>
      <c r="M114">
        <f t="shared" si="9"/>
        <v>-3.1000000000000003E-2</v>
      </c>
      <c r="N114">
        <f t="shared" si="10"/>
        <v>-2.7000000000000003E-2</v>
      </c>
      <c r="O114">
        <f t="shared" si="11"/>
        <v>2.3400000000000001E-2</v>
      </c>
      <c r="P114">
        <f t="shared" si="12"/>
        <v>-1.95E-2</v>
      </c>
    </row>
    <row r="115" spans="1:16">
      <c r="A115" s="230" t="s">
        <v>760</v>
      </c>
      <c r="B115" s="147">
        <v>-2.1400000000000002E-2</v>
      </c>
      <c r="C115" s="147">
        <v>-4.3E-3</v>
      </c>
      <c r="D115" s="147">
        <v>-2.4799999999999999E-2</v>
      </c>
      <c r="E115" s="147">
        <v>1.8800000000000001E-2</v>
      </c>
      <c r="F115" s="147">
        <v>-3.5999999999999999E-3</v>
      </c>
      <c r="G115" s="147">
        <v>5.6000000000000008E-3</v>
      </c>
      <c r="I115" s="27">
        <f t="shared" si="7"/>
        <v>2.6514502889354893E-3</v>
      </c>
      <c r="J115">
        <f t="shared" si="13"/>
        <v>2.1000000000000007E-3</v>
      </c>
      <c r="L115">
        <f t="shared" si="8"/>
        <v>-2.4900000000000002E-2</v>
      </c>
      <c r="M115">
        <f t="shared" si="9"/>
        <v>-4.3E-3</v>
      </c>
      <c r="N115">
        <f t="shared" si="10"/>
        <v>-2.4799999999999999E-2</v>
      </c>
      <c r="O115">
        <f t="shared" si="11"/>
        <v>1.8800000000000001E-2</v>
      </c>
      <c r="P115">
        <f t="shared" si="12"/>
        <v>-3.5999999999999999E-3</v>
      </c>
    </row>
    <row r="116" spans="1:16">
      <c r="A116" s="230" t="s">
        <v>761</v>
      </c>
      <c r="B116" s="147">
        <v>-4.8999999999999998E-3</v>
      </c>
      <c r="C116" s="147">
        <v>-2.7700000000000002E-2</v>
      </c>
      <c r="D116" s="147">
        <v>6.6000000000000008E-3</v>
      </c>
      <c r="E116" s="147">
        <v>1.1399999999999999E-2</v>
      </c>
      <c r="F116" s="147">
        <v>-6.6000000000000008E-3</v>
      </c>
      <c r="G116" s="147">
        <v>1E-4</v>
      </c>
      <c r="I116" s="27">
        <f t="shared" si="7"/>
        <v>-2.3658072665278536E-2</v>
      </c>
      <c r="J116">
        <f t="shared" si="13"/>
        <v>-3.4000000000000002E-3</v>
      </c>
      <c r="L116">
        <f t="shared" si="8"/>
        <v>-8.3999999999999995E-3</v>
      </c>
      <c r="M116">
        <f t="shared" si="9"/>
        <v>-2.7700000000000002E-2</v>
      </c>
      <c r="N116">
        <f t="shared" si="10"/>
        <v>6.6000000000000008E-3</v>
      </c>
      <c r="O116">
        <f t="shared" si="11"/>
        <v>1.1399999999999999E-2</v>
      </c>
      <c r="P116">
        <f t="shared" si="12"/>
        <v>-6.6000000000000008E-3</v>
      </c>
    </row>
    <row r="117" spans="1:16">
      <c r="A117" s="230" t="s">
        <v>762</v>
      </c>
      <c r="B117" s="147">
        <v>3.5499999999999997E-2</v>
      </c>
      <c r="C117" s="147">
        <v>-3.4799999999999998E-2</v>
      </c>
      <c r="D117" s="147">
        <v>4.5400000000000003E-2</v>
      </c>
      <c r="E117" s="147">
        <v>-1.9599999999999999E-2</v>
      </c>
      <c r="F117" s="147">
        <v>2.8500000000000001E-2</v>
      </c>
      <c r="G117" s="147">
        <v>-1.54E-2</v>
      </c>
      <c r="I117" s="27">
        <f t="shared" si="7"/>
        <v>3.4876477321241078E-2</v>
      </c>
      <c r="J117">
        <f t="shared" si="13"/>
        <v>-1.89E-2</v>
      </c>
      <c r="L117">
        <f t="shared" si="8"/>
        <v>3.1999999999999994E-2</v>
      </c>
      <c r="M117">
        <f t="shared" si="9"/>
        <v>-3.4799999999999998E-2</v>
      </c>
      <c r="N117">
        <f t="shared" si="10"/>
        <v>4.5400000000000003E-2</v>
      </c>
      <c r="O117">
        <f t="shared" si="11"/>
        <v>-1.9599999999999999E-2</v>
      </c>
      <c r="P117">
        <f t="shared" si="12"/>
        <v>2.8500000000000001E-2</v>
      </c>
    </row>
    <row r="118" spans="1:16">
      <c r="A118" s="230" t="s">
        <v>763</v>
      </c>
      <c r="B118" s="147">
        <v>-7.9999999999999984E-3</v>
      </c>
      <c r="C118" s="147">
        <v>-2.23E-2</v>
      </c>
      <c r="D118" s="147">
        <v>4.5999999999999999E-3</v>
      </c>
      <c r="E118" s="147">
        <v>1.6799999999999999E-2</v>
      </c>
      <c r="F118" s="147">
        <v>-1.9699999999999999E-2</v>
      </c>
      <c r="G118" s="147">
        <v>5.2000000000000006E-3</v>
      </c>
      <c r="I118" s="27">
        <f t="shared" si="7"/>
        <v>-4.5530224734083288E-2</v>
      </c>
      <c r="J118">
        <f t="shared" si="13"/>
        <v>1.7000000000000006E-3</v>
      </c>
      <c r="L118">
        <f t="shared" si="8"/>
        <v>-1.1499999999999998E-2</v>
      </c>
      <c r="M118">
        <f t="shared" si="9"/>
        <v>-2.23E-2</v>
      </c>
      <c r="N118">
        <f t="shared" si="10"/>
        <v>4.5999999999999999E-3</v>
      </c>
      <c r="O118">
        <f t="shared" si="11"/>
        <v>1.6799999999999999E-2</v>
      </c>
      <c r="P118">
        <f t="shared" si="12"/>
        <v>-1.9699999999999999E-2</v>
      </c>
    </row>
    <row r="119" spans="1:16">
      <c r="A119" s="230" t="s">
        <v>764</v>
      </c>
      <c r="B119" s="147">
        <v>9.1999999999999998E-3</v>
      </c>
      <c r="C119" s="147">
        <v>-2.5400000000000002E-2</v>
      </c>
      <c r="D119" s="147">
        <v>1.34E-2</v>
      </c>
      <c r="E119" s="147">
        <v>-1.5E-3</v>
      </c>
      <c r="F119" s="147">
        <v>2.0000000000000001E-4</v>
      </c>
      <c r="G119" s="147">
        <v>1.7100000000000001E-2</v>
      </c>
      <c r="I119" s="27">
        <f t="shared" si="7"/>
        <v>-1.6001727080789313E-2</v>
      </c>
      <c r="J119">
        <f t="shared" si="13"/>
        <v>1.3600000000000001E-2</v>
      </c>
      <c r="L119">
        <f t="shared" si="8"/>
        <v>5.7000000000000002E-3</v>
      </c>
      <c r="M119">
        <f t="shared" si="9"/>
        <v>-2.5400000000000002E-2</v>
      </c>
      <c r="N119">
        <f t="shared" si="10"/>
        <v>1.34E-2</v>
      </c>
      <c r="O119">
        <f t="shared" si="11"/>
        <v>-1.5E-3</v>
      </c>
      <c r="P119">
        <f t="shared" si="12"/>
        <v>2.0000000000000001E-4</v>
      </c>
    </row>
    <row r="120" spans="1:16">
      <c r="A120" s="230" t="s">
        <v>765</v>
      </c>
      <c r="B120" s="147">
        <v>4.9700000000000001E-2</v>
      </c>
      <c r="C120" s="147">
        <v>-6.1999999999999998E-3</v>
      </c>
      <c r="D120" s="147">
        <v>4.8499999999999995E-2</v>
      </c>
      <c r="E120" s="147">
        <v>-1.95E-2</v>
      </c>
      <c r="F120" s="147">
        <v>3.3700000000000001E-2</v>
      </c>
      <c r="G120" s="147">
        <v>1.5800000000000002E-2</v>
      </c>
      <c r="I120" s="27">
        <f t="shared" si="7"/>
        <v>8.0306367067693021E-2</v>
      </c>
      <c r="J120">
        <f t="shared" si="13"/>
        <v>1.2300000000000002E-2</v>
      </c>
      <c r="L120">
        <f t="shared" si="8"/>
        <v>4.6199999999999998E-2</v>
      </c>
      <c r="M120">
        <f t="shared" si="9"/>
        <v>-6.1999999999999998E-3</v>
      </c>
      <c r="N120">
        <f t="shared" si="10"/>
        <v>4.8499999999999995E-2</v>
      </c>
      <c r="O120">
        <f t="shared" si="11"/>
        <v>-1.95E-2</v>
      </c>
      <c r="P120">
        <f t="shared" si="12"/>
        <v>3.3700000000000001E-2</v>
      </c>
    </row>
    <row r="121" spans="1:16">
      <c r="A121" s="230" t="s">
        <v>766</v>
      </c>
      <c r="B121" s="147">
        <v>9.8999999999999991E-3</v>
      </c>
      <c r="C121" s="147">
        <v>-1.89E-2</v>
      </c>
      <c r="D121" s="147">
        <v>-2.1899999999999999E-2</v>
      </c>
      <c r="E121" s="147">
        <v>2.6000000000000002E-2</v>
      </c>
      <c r="F121" s="147">
        <v>-2.1600000000000001E-2</v>
      </c>
      <c r="G121" s="147">
        <v>5.3499999999999999E-2</v>
      </c>
      <c r="I121" s="27">
        <f t="shared" si="7"/>
        <v>-7.8785253494308878E-3</v>
      </c>
      <c r="J121">
        <f t="shared" si="13"/>
        <v>4.9999999999999996E-2</v>
      </c>
      <c r="L121">
        <f t="shared" si="8"/>
        <v>6.3999999999999994E-3</v>
      </c>
      <c r="M121">
        <f t="shared" si="9"/>
        <v>-1.89E-2</v>
      </c>
      <c r="N121">
        <f t="shared" si="10"/>
        <v>-2.1899999999999999E-2</v>
      </c>
      <c r="O121">
        <f t="shared" si="11"/>
        <v>2.6000000000000002E-2</v>
      </c>
      <c r="P121">
        <f t="shared" si="12"/>
        <v>-2.1600000000000001E-2</v>
      </c>
    </row>
    <row r="122" spans="1:16">
      <c r="A122" s="230" t="s">
        <v>767</v>
      </c>
      <c r="B122" s="147">
        <v>-2.8499999999999998E-2</v>
      </c>
      <c r="C122" s="147">
        <v>-2.81E-2</v>
      </c>
      <c r="D122" s="147">
        <v>2.6800000000000001E-2</v>
      </c>
      <c r="E122" s="147">
        <v>4.1999999999999997E-3</v>
      </c>
      <c r="F122" s="147">
        <v>9.0000000000000011E-3</v>
      </c>
      <c r="G122" s="147">
        <v>-2.8799999999999999E-2</v>
      </c>
      <c r="I122" s="27">
        <f t="shared" si="7"/>
        <v>-2.6061019369505625E-2</v>
      </c>
      <c r="J122">
        <f t="shared" si="13"/>
        <v>-3.2300000000000002E-2</v>
      </c>
      <c r="L122">
        <f t="shared" si="8"/>
        <v>-3.2000000000000001E-2</v>
      </c>
      <c r="M122">
        <f t="shared" si="9"/>
        <v>-2.81E-2</v>
      </c>
      <c r="N122">
        <f t="shared" si="10"/>
        <v>2.6800000000000001E-2</v>
      </c>
      <c r="O122">
        <f t="shared" si="11"/>
        <v>4.1999999999999997E-3</v>
      </c>
      <c r="P122">
        <f t="shared" si="12"/>
        <v>9.0000000000000011E-3</v>
      </c>
    </row>
    <row r="123" spans="1:16">
      <c r="A123" s="230" t="s">
        <v>768</v>
      </c>
      <c r="B123" s="147">
        <v>-4.4399999999999995E-2</v>
      </c>
      <c r="C123" s="147">
        <v>-3.9100000000000003E-2</v>
      </c>
      <c r="D123" s="147">
        <v>1.6E-2</v>
      </c>
      <c r="E123" s="147">
        <v>-2.6000000000000003E-3</v>
      </c>
      <c r="F123" s="147">
        <v>2.0000000000000001E-4</v>
      </c>
      <c r="G123" s="147">
        <v>-5.1100000000000007E-2</v>
      </c>
      <c r="I123" s="27">
        <f t="shared" si="7"/>
        <v>-8.1137243900017308E-2</v>
      </c>
      <c r="J123">
        <f t="shared" si="13"/>
        <v>-5.460000000000001E-2</v>
      </c>
      <c r="L123">
        <f t="shared" si="8"/>
        <v>-4.7899999999999998E-2</v>
      </c>
      <c r="M123">
        <f t="shared" si="9"/>
        <v>-3.9100000000000003E-2</v>
      </c>
      <c r="N123">
        <f t="shared" si="10"/>
        <v>1.6E-2</v>
      </c>
      <c r="O123">
        <f t="shared" si="11"/>
        <v>-2.6000000000000003E-3</v>
      </c>
      <c r="P123">
        <f t="shared" si="12"/>
        <v>2.0000000000000001E-4</v>
      </c>
    </row>
    <row r="124" spans="1:16">
      <c r="A124" s="230" t="s">
        <v>769</v>
      </c>
      <c r="B124" s="147">
        <v>-8.4000000000000012E-3</v>
      </c>
      <c r="C124" s="147">
        <v>-2.3300000000000001E-2</v>
      </c>
      <c r="D124" s="147">
        <v>2.6200000000000001E-2</v>
      </c>
      <c r="E124" s="147">
        <v>-1.0700000000000001E-2</v>
      </c>
      <c r="F124" s="147">
        <v>6.1999999999999998E-3</v>
      </c>
      <c r="G124" s="147">
        <v>1.7899999999999999E-2</v>
      </c>
      <c r="I124" s="27">
        <f t="shared" si="7"/>
        <v>-3.6697463264507263E-2</v>
      </c>
      <c r="J124">
        <f t="shared" si="13"/>
        <v>1.44E-2</v>
      </c>
      <c r="L124">
        <f t="shared" si="8"/>
        <v>-1.1900000000000001E-2</v>
      </c>
      <c r="M124">
        <f t="shared" si="9"/>
        <v>-2.3300000000000001E-2</v>
      </c>
      <c r="N124">
        <f t="shared" si="10"/>
        <v>2.6200000000000001E-2</v>
      </c>
      <c r="O124">
        <f t="shared" si="11"/>
        <v>-1.0700000000000001E-2</v>
      </c>
      <c r="P124">
        <f t="shared" si="12"/>
        <v>6.1999999999999998E-3</v>
      </c>
    </row>
    <row r="125" spans="1:16">
      <c r="A125" s="230" t="s">
        <v>770</v>
      </c>
      <c r="B125" s="147">
        <v>-5.1599999999999993E-2</v>
      </c>
      <c r="C125" s="147">
        <v>-2.8999999999999998E-2</v>
      </c>
      <c r="D125" s="147">
        <v>5.4100000000000002E-2</v>
      </c>
      <c r="E125" s="147">
        <v>-1.5800000000000002E-2</v>
      </c>
      <c r="F125" s="147">
        <v>2.6000000000000002E-2</v>
      </c>
      <c r="G125" s="147">
        <v>-3.0800000000000001E-2</v>
      </c>
      <c r="I125" s="27">
        <f t="shared" si="7"/>
        <v>-4.9541106588448527E-2</v>
      </c>
      <c r="J125">
        <f t="shared" si="13"/>
        <v>-3.4300000000000004E-2</v>
      </c>
      <c r="L125">
        <f t="shared" si="8"/>
        <v>-5.5099999999999996E-2</v>
      </c>
      <c r="M125">
        <f t="shared" si="9"/>
        <v>-2.8999999999999998E-2</v>
      </c>
      <c r="N125">
        <f t="shared" si="10"/>
        <v>5.4100000000000002E-2</v>
      </c>
      <c r="O125">
        <f t="shared" si="11"/>
        <v>-1.5800000000000002E-2</v>
      </c>
      <c r="P125">
        <f t="shared" si="12"/>
        <v>2.6000000000000002E-2</v>
      </c>
    </row>
    <row r="126" spans="1:16">
      <c r="A126" s="230" t="s">
        <v>771</v>
      </c>
      <c r="B126" s="147">
        <v>-2.4299999999999999E-2</v>
      </c>
      <c r="C126" s="147">
        <v>-6.1699999999999998E-2</v>
      </c>
      <c r="D126" s="147">
        <v>4.0999999999999995E-3</v>
      </c>
      <c r="E126" s="147">
        <v>1.95E-2</v>
      </c>
      <c r="F126" s="147">
        <v>-1.5700000000000002E-2</v>
      </c>
      <c r="G126" s="147">
        <v>-2.3E-3</v>
      </c>
      <c r="I126" s="27">
        <f t="shared" si="7"/>
        <v>-7.2755758020532552E-2</v>
      </c>
      <c r="J126">
        <f t="shared" si="13"/>
        <v>-5.7999999999999996E-3</v>
      </c>
      <c r="L126">
        <f t="shared" si="8"/>
        <v>-2.7799999999999998E-2</v>
      </c>
      <c r="M126">
        <f t="shared" si="9"/>
        <v>-6.1699999999999998E-2</v>
      </c>
      <c r="N126">
        <f t="shared" si="10"/>
        <v>4.0999999999999995E-3</v>
      </c>
      <c r="O126">
        <f t="shared" si="11"/>
        <v>1.95E-2</v>
      </c>
      <c r="P126">
        <f t="shared" si="12"/>
        <v>-1.5700000000000002E-2</v>
      </c>
    </row>
    <row r="127" spans="1:16">
      <c r="A127" s="230" t="s">
        <v>772</v>
      </c>
      <c r="B127" s="147">
        <v>-1.0600000000000002E-2</v>
      </c>
      <c r="C127" s="147">
        <v>-2.4799999999999999E-2</v>
      </c>
      <c r="D127" s="147">
        <v>1.2E-2</v>
      </c>
      <c r="E127" s="147">
        <v>-2.0999999999999999E-3</v>
      </c>
      <c r="F127" s="147">
        <v>1.1000000000000001E-3</v>
      </c>
      <c r="G127" s="147">
        <v>7.3000000000000001E-3</v>
      </c>
      <c r="I127" s="27">
        <f t="shared" si="7"/>
        <v>-3.3969419168094657E-2</v>
      </c>
      <c r="J127">
        <f t="shared" si="13"/>
        <v>3.8E-3</v>
      </c>
      <c r="L127">
        <f t="shared" si="8"/>
        <v>-1.4100000000000001E-2</v>
      </c>
      <c r="M127">
        <f t="shared" si="9"/>
        <v>-2.4799999999999999E-2</v>
      </c>
      <c r="N127">
        <f t="shared" si="10"/>
        <v>1.2E-2</v>
      </c>
      <c r="O127">
        <f t="shared" si="11"/>
        <v>-2.0999999999999999E-3</v>
      </c>
      <c r="P127">
        <f t="shared" si="12"/>
        <v>1.1000000000000001E-3</v>
      </c>
    </row>
    <row r="128" spans="1:16">
      <c r="A128" s="230" t="s">
        <v>773</v>
      </c>
      <c r="B128" s="147">
        <v>5.6899999999999999E-2</v>
      </c>
      <c r="C128" s="147">
        <v>7.2599999999999998E-2</v>
      </c>
      <c r="D128" s="147">
        <v>-5.3099999999999994E-2</v>
      </c>
      <c r="E128" s="147">
        <v>-5.0000000000000001E-4</v>
      </c>
      <c r="F128" s="147">
        <v>-3.2799999999999996E-2</v>
      </c>
      <c r="G128" s="147">
        <v>2.4300000000000002E-2</v>
      </c>
      <c r="I128" s="27">
        <f t="shared" si="7"/>
        <v>2.9767362712028057E-2</v>
      </c>
      <c r="J128">
        <f t="shared" si="13"/>
        <v>2.0800000000000003E-2</v>
      </c>
      <c r="L128">
        <f t="shared" si="8"/>
        <v>5.3399999999999996E-2</v>
      </c>
      <c r="M128">
        <f t="shared" si="9"/>
        <v>7.2599999999999998E-2</v>
      </c>
      <c r="N128">
        <f t="shared" si="10"/>
        <v>-5.3099999999999994E-2</v>
      </c>
      <c r="O128">
        <f t="shared" si="11"/>
        <v>-5.0000000000000001E-4</v>
      </c>
      <c r="P128">
        <f t="shared" si="12"/>
        <v>-3.2799999999999996E-2</v>
      </c>
    </row>
    <row r="129" spans="1:16">
      <c r="A129" s="230" t="s">
        <v>774</v>
      </c>
      <c r="B129" s="147">
        <v>-3.1199999999999999E-2</v>
      </c>
      <c r="C129" s="147">
        <v>-1.84E-2</v>
      </c>
      <c r="D129" s="147">
        <v>1.24E-2</v>
      </c>
      <c r="E129" s="147">
        <v>-1.3100000000000001E-2</v>
      </c>
      <c r="F129" s="147">
        <v>1.3000000000000001E-2</v>
      </c>
      <c r="G129" s="147">
        <v>-2.86E-2</v>
      </c>
      <c r="I129" s="27">
        <f t="shared" si="7"/>
        <v>-4.0865876457402493E-2</v>
      </c>
      <c r="J129">
        <f t="shared" si="13"/>
        <v>-3.2100000000000004E-2</v>
      </c>
      <c r="L129">
        <f t="shared" si="8"/>
        <v>-3.4700000000000002E-2</v>
      </c>
      <c r="M129">
        <f t="shared" si="9"/>
        <v>-1.84E-2</v>
      </c>
      <c r="N129">
        <f t="shared" si="10"/>
        <v>1.24E-2</v>
      </c>
      <c r="O129">
        <f t="shared" si="11"/>
        <v>-1.3100000000000001E-2</v>
      </c>
      <c r="P129">
        <f t="shared" si="12"/>
        <v>1.3000000000000001E-2</v>
      </c>
    </row>
    <row r="130" spans="1:16">
      <c r="A130" s="230" t="s">
        <v>775</v>
      </c>
      <c r="B130" s="147">
        <v>5.4300000000000001E-2</v>
      </c>
      <c r="C130" s="147">
        <v>3.6000000000000004E-2</v>
      </c>
      <c r="D130" s="147">
        <v>2.01E-2</v>
      </c>
      <c r="E130" s="147">
        <v>-2.3300000000000001E-2</v>
      </c>
      <c r="F130" s="147">
        <v>1.77E-2</v>
      </c>
      <c r="G130" s="147">
        <v>5.2800000000000007E-2</v>
      </c>
      <c r="I130" s="27">
        <f t="shared" si="7"/>
        <v>7.1897048848037562E-2</v>
      </c>
      <c r="J130">
        <f t="shared" si="13"/>
        <v>4.9300000000000004E-2</v>
      </c>
      <c r="L130">
        <f t="shared" si="8"/>
        <v>5.0799999999999998E-2</v>
      </c>
      <c r="M130">
        <f t="shared" si="9"/>
        <v>3.6000000000000004E-2</v>
      </c>
      <c r="N130">
        <f t="shared" si="10"/>
        <v>2.01E-2</v>
      </c>
      <c r="O130">
        <f t="shared" si="11"/>
        <v>-2.3300000000000001E-2</v>
      </c>
      <c r="P130">
        <f t="shared" si="12"/>
        <v>1.77E-2</v>
      </c>
    </row>
    <row r="131" spans="1:16">
      <c r="A131" s="230" t="s">
        <v>776</v>
      </c>
      <c r="B131" s="147">
        <v>-1.7999999999999995E-3</v>
      </c>
      <c r="C131" s="147">
        <v>-3.8E-3</v>
      </c>
      <c r="D131" s="147">
        <v>1.9400000000000001E-2</v>
      </c>
      <c r="E131" s="147">
        <v>-1.9E-2</v>
      </c>
      <c r="F131" s="147">
        <v>2.7099999999999999E-2</v>
      </c>
      <c r="G131" s="147">
        <v>4.0599999999999997E-2</v>
      </c>
      <c r="I131" s="27">
        <f t="shared" si="7"/>
        <v>2.09702029574266E-2</v>
      </c>
      <c r="J131">
        <f t="shared" si="13"/>
        <v>3.7099999999999994E-2</v>
      </c>
      <c r="L131">
        <f t="shared" si="8"/>
        <v>-5.2999999999999992E-3</v>
      </c>
      <c r="M131">
        <f t="shared" si="9"/>
        <v>-3.8E-3</v>
      </c>
      <c r="N131">
        <f t="shared" si="10"/>
        <v>1.9400000000000001E-2</v>
      </c>
      <c r="O131">
        <f t="shared" si="11"/>
        <v>-1.9E-2</v>
      </c>
      <c r="P131">
        <f t="shared" si="12"/>
        <v>2.7099999999999999E-2</v>
      </c>
    </row>
    <row r="132" spans="1:16">
      <c r="A132" s="230" t="s">
        <v>777</v>
      </c>
      <c r="B132" s="147">
        <v>-0.12190000000000001</v>
      </c>
      <c r="C132" s="147">
        <v>-7.2800000000000004E-2</v>
      </c>
      <c r="D132" s="147">
        <v>3.8700000000000005E-2</v>
      </c>
      <c r="E132" s="147">
        <v>-2.63E-2</v>
      </c>
      <c r="F132" s="147">
        <v>1.7299999999999999E-2</v>
      </c>
      <c r="G132" s="147">
        <v>-9.2499999999999999E-2</v>
      </c>
      <c r="I132" s="27">
        <f t="shared" si="7"/>
        <v>-0.18606357934558457</v>
      </c>
      <c r="J132">
        <f t="shared" si="13"/>
        <v>-9.6000000000000002E-2</v>
      </c>
      <c r="L132">
        <f t="shared" si="8"/>
        <v>-0.12540000000000001</v>
      </c>
      <c r="M132">
        <f t="shared" si="9"/>
        <v>-7.2800000000000004E-2</v>
      </c>
      <c r="N132">
        <f t="shared" si="10"/>
        <v>3.8700000000000005E-2</v>
      </c>
      <c r="O132">
        <f t="shared" si="11"/>
        <v>-2.63E-2</v>
      </c>
      <c r="P132">
        <f t="shared" si="12"/>
        <v>1.7299999999999999E-2</v>
      </c>
    </row>
    <row r="133" spans="1:16">
      <c r="A133" s="230" t="s">
        <v>778</v>
      </c>
      <c r="B133" s="147">
        <v>1.2500000000000001E-2</v>
      </c>
      <c r="C133" s="147">
        <v>-4.6900000000000004E-2</v>
      </c>
      <c r="D133" s="147">
        <v>3.85E-2</v>
      </c>
      <c r="E133" s="147">
        <v>-2.7799999999999998E-2</v>
      </c>
      <c r="F133" s="147">
        <v>2.4799999999999999E-2</v>
      </c>
      <c r="G133" s="147">
        <v>7.4400000000000008E-2</v>
      </c>
      <c r="I133" s="27">
        <f t="shared" si="7"/>
        <v>-1.8709709448428032E-2</v>
      </c>
      <c r="J133">
        <f t="shared" si="13"/>
        <v>7.0900000000000005E-2</v>
      </c>
      <c r="L133">
        <f t="shared" si="8"/>
        <v>9.0000000000000011E-3</v>
      </c>
      <c r="M133">
        <f t="shared" si="9"/>
        <v>-4.6900000000000004E-2</v>
      </c>
      <c r="N133">
        <f t="shared" si="10"/>
        <v>3.85E-2</v>
      </c>
      <c r="O133">
        <f t="shared" si="11"/>
        <v>-2.7799999999999998E-2</v>
      </c>
      <c r="P133">
        <f t="shared" si="12"/>
        <v>2.4799999999999999E-2</v>
      </c>
    </row>
    <row r="134" spans="1:16">
      <c r="A134" s="230" t="s">
        <v>779</v>
      </c>
      <c r="B134" s="147">
        <v>4.5999999999999999E-3</v>
      </c>
      <c r="C134" s="147">
        <v>0.1041</v>
      </c>
      <c r="D134" s="147">
        <v>6.0199999999999997E-2</v>
      </c>
      <c r="E134" s="147">
        <v>-3.0699999999999998E-2</v>
      </c>
      <c r="F134" s="147">
        <v>4.4200000000000003E-2</v>
      </c>
      <c r="G134" s="147">
        <v>-6.08E-2</v>
      </c>
      <c r="I134" s="27">
        <f t="shared" si="7"/>
        <v>0.11092887257413346</v>
      </c>
      <c r="J134">
        <f t="shared" si="13"/>
        <v>-6.4299999999999996E-2</v>
      </c>
      <c r="L134">
        <f t="shared" si="8"/>
        <v>1.0999999999999998E-3</v>
      </c>
      <c r="M134">
        <f t="shared" si="9"/>
        <v>0.1041</v>
      </c>
      <c r="N134">
        <f t="shared" si="10"/>
        <v>6.0199999999999997E-2</v>
      </c>
      <c r="O134">
        <f t="shared" si="11"/>
        <v>-3.0699999999999998E-2</v>
      </c>
      <c r="P134">
        <f t="shared" si="12"/>
        <v>4.4200000000000003E-2</v>
      </c>
    </row>
    <row r="135" spans="1:16">
      <c r="A135" s="230" t="s">
        <v>780</v>
      </c>
      <c r="B135" s="147">
        <v>1.0999999999999994E-3</v>
      </c>
      <c r="C135" s="147">
        <v>5.9999999999999995E-4</v>
      </c>
      <c r="D135" s="147">
        <v>2.81E-2</v>
      </c>
      <c r="E135" s="147">
        <v>-1.8700000000000001E-2</v>
      </c>
      <c r="F135" s="147">
        <v>2.63E-2</v>
      </c>
      <c r="G135" s="147">
        <v>1.7899999999999999E-2</v>
      </c>
      <c r="I135" s="27">
        <f t="shared" si="7"/>
        <v>2.3500460998494652E-2</v>
      </c>
      <c r="J135">
        <f t="shared" si="13"/>
        <v>1.44E-2</v>
      </c>
      <c r="L135">
        <f t="shared" si="8"/>
        <v>-2.4000000000000007E-3</v>
      </c>
      <c r="M135">
        <f t="shared" si="9"/>
        <v>5.9999999999999995E-4</v>
      </c>
      <c r="N135">
        <f t="shared" si="10"/>
        <v>2.81E-2</v>
      </c>
      <c r="O135">
        <f t="shared" si="11"/>
        <v>-1.8700000000000001E-2</v>
      </c>
      <c r="P135">
        <f t="shared" si="12"/>
        <v>2.63E-2</v>
      </c>
    </row>
    <row r="136" spans="1:16">
      <c r="A136" s="230" t="s">
        <v>781</v>
      </c>
      <c r="B136" s="147">
        <v>-2.2499999999999999E-2</v>
      </c>
      <c r="C136" s="147">
        <v>2.6499999999999999E-2</v>
      </c>
      <c r="D136" s="147">
        <v>-3.2000000000000002E-3</v>
      </c>
      <c r="E136" s="147">
        <v>2.7999999999999997E-2</v>
      </c>
      <c r="F136" s="147">
        <v>4.4000000000000003E-3</v>
      </c>
      <c r="G136" s="147">
        <v>-4.6399999999999997E-2</v>
      </c>
      <c r="I136" s="27">
        <f t="shared" ref="I136:I199" si="14">SUMPRODUCT(B136:F136,$B$4:$F$4)-0.0035</f>
        <v>5.3844422433772597E-2</v>
      </c>
      <c r="J136">
        <f t="shared" si="13"/>
        <v>-4.99E-2</v>
      </c>
      <c r="L136">
        <f t="shared" ref="L136:L199" si="15">B136-0.0035</f>
        <v>-2.5999999999999999E-2</v>
      </c>
      <c r="M136">
        <f t="shared" ref="M136:M199" si="16">C136</f>
        <v>2.6499999999999999E-2</v>
      </c>
      <c r="N136">
        <f t="shared" ref="N136:N199" si="17">D136</f>
        <v>-3.2000000000000002E-3</v>
      </c>
      <c r="O136">
        <f t="shared" ref="O136:O199" si="18">E136</f>
        <v>2.7999999999999997E-2</v>
      </c>
      <c r="P136">
        <f t="shared" ref="P136:P199" si="19">F136</f>
        <v>4.4000000000000003E-3</v>
      </c>
    </row>
    <row r="137" spans="1:16">
      <c r="A137" s="230" t="s">
        <v>782</v>
      </c>
      <c r="B137" s="147">
        <v>-4.5400000000000003E-2</v>
      </c>
      <c r="C137" s="147">
        <v>-6.9999999999999993E-3</v>
      </c>
      <c r="D137" s="147">
        <v>8.5000000000000006E-3</v>
      </c>
      <c r="E137" s="147">
        <v>2.8700000000000003E-2</v>
      </c>
      <c r="F137" s="147">
        <v>2.0899999999999998E-2</v>
      </c>
      <c r="G137" s="147">
        <v>-4.1200000000000001E-2</v>
      </c>
      <c r="I137" s="27">
        <f t="shared" si="14"/>
        <v>4.8764878968892686E-2</v>
      </c>
      <c r="J137">
        <f t="shared" ref="J137:J200" si="20">G137-0.0035</f>
        <v>-4.4700000000000004E-2</v>
      </c>
      <c r="L137">
        <f t="shared" si="15"/>
        <v>-4.8900000000000006E-2</v>
      </c>
      <c r="M137">
        <f t="shared" si="16"/>
        <v>-6.9999999999999993E-3</v>
      </c>
      <c r="N137">
        <f t="shared" si="17"/>
        <v>8.5000000000000006E-3</v>
      </c>
      <c r="O137">
        <f t="shared" si="18"/>
        <v>2.8700000000000003E-2</v>
      </c>
      <c r="P137">
        <f t="shared" si="19"/>
        <v>2.0899999999999998E-2</v>
      </c>
    </row>
    <row r="138" spans="1:16">
      <c r="A138" s="230" t="s">
        <v>783</v>
      </c>
      <c r="B138" s="147">
        <v>-3.9300000000000002E-2</v>
      </c>
      <c r="C138" s="147">
        <v>-3.0699999999999998E-2</v>
      </c>
      <c r="D138" s="147">
        <v>-2.0199999999999999E-2</v>
      </c>
      <c r="E138" s="147">
        <v>4.9500000000000002E-2</v>
      </c>
      <c r="F138" s="147">
        <v>-4.1999999999999997E-3</v>
      </c>
      <c r="G138" s="147">
        <v>-9.1700000000000004E-2</v>
      </c>
      <c r="I138" s="27">
        <f t="shared" si="14"/>
        <v>2.0717049748932934E-2</v>
      </c>
      <c r="J138">
        <f t="shared" si="20"/>
        <v>-9.5200000000000007E-2</v>
      </c>
      <c r="L138">
        <f t="shared" si="15"/>
        <v>-4.2800000000000005E-2</v>
      </c>
      <c r="M138">
        <f t="shared" si="16"/>
        <v>-3.0699999999999998E-2</v>
      </c>
      <c r="N138">
        <f t="shared" si="17"/>
        <v>-2.0199999999999999E-2</v>
      </c>
      <c r="O138">
        <f t="shared" si="18"/>
        <v>4.9500000000000002E-2</v>
      </c>
      <c r="P138">
        <f t="shared" si="19"/>
        <v>-4.1999999999999997E-3</v>
      </c>
    </row>
    <row r="139" spans="1:16">
      <c r="A139" s="230" t="s">
        <v>784</v>
      </c>
      <c r="B139" s="147">
        <v>-2.23E-2</v>
      </c>
      <c r="C139" s="147">
        <v>0</v>
      </c>
      <c r="D139" s="147">
        <v>7.7000000000000002E-3</v>
      </c>
      <c r="E139" s="147">
        <v>5.6999999999999993E-3</v>
      </c>
      <c r="F139" s="147">
        <v>2.9399999999999999E-2</v>
      </c>
      <c r="G139" s="147">
        <v>-1.3000000000000001E-2</v>
      </c>
      <c r="I139" s="27">
        <f t="shared" si="14"/>
        <v>5.5975441027549803E-2</v>
      </c>
      <c r="J139">
        <f t="shared" si="20"/>
        <v>-1.6500000000000001E-2</v>
      </c>
      <c r="L139">
        <f t="shared" si="15"/>
        <v>-2.58E-2</v>
      </c>
      <c r="M139">
        <f t="shared" si="16"/>
        <v>0</v>
      </c>
      <c r="N139">
        <f t="shared" si="17"/>
        <v>7.7000000000000002E-3</v>
      </c>
      <c r="O139">
        <f t="shared" si="18"/>
        <v>5.6999999999999993E-3</v>
      </c>
      <c r="P139">
        <f t="shared" si="19"/>
        <v>2.9399999999999999E-2</v>
      </c>
    </row>
    <row r="140" spans="1:16">
      <c r="A140" s="230" t="s">
        <v>785</v>
      </c>
      <c r="B140" s="147">
        <v>-7.350000000000001E-2</v>
      </c>
      <c r="C140" s="147">
        <v>1.9199999999999998E-2</v>
      </c>
      <c r="D140" s="147">
        <v>5.16E-2</v>
      </c>
      <c r="E140" s="147">
        <v>-3.2500000000000001E-2</v>
      </c>
      <c r="F140" s="147">
        <v>4.5999999999999999E-2</v>
      </c>
      <c r="G140" s="147">
        <v>-3.6299999999999999E-2</v>
      </c>
      <c r="I140" s="27">
        <f t="shared" si="14"/>
        <v>-1.9916986565835525E-2</v>
      </c>
      <c r="J140">
        <f t="shared" si="20"/>
        <v>-3.9800000000000002E-2</v>
      </c>
      <c r="L140">
        <f t="shared" si="15"/>
        <v>-7.7000000000000013E-2</v>
      </c>
      <c r="M140">
        <f t="shared" si="16"/>
        <v>1.9199999999999998E-2</v>
      </c>
      <c r="N140">
        <f t="shared" si="17"/>
        <v>5.16E-2</v>
      </c>
      <c r="O140">
        <f t="shared" si="18"/>
        <v>-3.2500000000000001E-2</v>
      </c>
      <c r="P140">
        <f t="shared" si="19"/>
        <v>4.5999999999999999E-2</v>
      </c>
    </row>
    <row r="141" spans="1:16">
      <c r="A141" s="230" t="s">
        <v>786</v>
      </c>
      <c r="B141" s="147">
        <v>-8.7499999999999994E-2</v>
      </c>
      <c r="C141" s="147">
        <v>2.6000000000000003E-3</v>
      </c>
      <c r="D141" s="147">
        <v>2.6400000000000003E-2</v>
      </c>
      <c r="E141" s="147">
        <v>-2.8000000000000004E-3</v>
      </c>
      <c r="F141" s="147">
        <v>2.6000000000000002E-2</v>
      </c>
      <c r="G141" s="147">
        <v>-8.8599999999999998E-2</v>
      </c>
      <c r="I141" s="27">
        <f t="shared" si="14"/>
        <v>-3.5302863139210744E-2</v>
      </c>
      <c r="J141">
        <f t="shared" si="20"/>
        <v>-9.2100000000000001E-2</v>
      </c>
      <c r="L141">
        <f t="shared" si="15"/>
        <v>-9.0999999999999998E-2</v>
      </c>
      <c r="M141">
        <f t="shared" si="16"/>
        <v>2.6000000000000003E-3</v>
      </c>
      <c r="N141">
        <f t="shared" si="17"/>
        <v>2.6400000000000003E-2</v>
      </c>
      <c r="O141">
        <f t="shared" si="18"/>
        <v>-2.8000000000000004E-3</v>
      </c>
      <c r="P141">
        <f t="shared" si="19"/>
        <v>2.6000000000000002E-2</v>
      </c>
    </row>
    <row r="142" spans="1:16">
      <c r="A142" s="230" t="s">
        <v>787</v>
      </c>
      <c r="B142" s="147">
        <v>-0.1096</v>
      </c>
      <c r="C142" s="147">
        <v>1.4800000000000001E-2</v>
      </c>
      <c r="D142" s="147">
        <v>5.5800000000000002E-2</v>
      </c>
      <c r="E142" s="147">
        <v>-4.4400000000000002E-2</v>
      </c>
      <c r="F142" s="147">
        <v>5.91E-2</v>
      </c>
      <c r="G142" s="147">
        <v>-9.1300000000000006E-2</v>
      </c>
      <c r="I142" s="27">
        <f t="shared" si="14"/>
        <v>-4.8851299899228762E-2</v>
      </c>
      <c r="J142">
        <f t="shared" si="20"/>
        <v>-9.4800000000000009E-2</v>
      </c>
      <c r="L142">
        <f t="shared" si="15"/>
        <v>-0.11310000000000001</v>
      </c>
      <c r="M142">
        <f t="shared" si="16"/>
        <v>1.4800000000000001E-2</v>
      </c>
      <c r="N142">
        <f t="shared" si="17"/>
        <v>5.5800000000000002E-2</v>
      </c>
      <c r="O142">
        <f t="shared" si="18"/>
        <v>-4.4400000000000002E-2</v>
      </c>
      <c r="P142">
        <f t="shared" si="19"/>
        <v>5.91E-2</v>
      </c>
    </row>
    <row r="143" spans="1:16">
      <c r="A143" s="230" t="s">
        <v>788</v>
      </c>
      <c r="B143" s="147">
        <v>0.1661</v>
      </c>
      <c r="C143" s="147">
        <v>-6.8200000000000011E-2</v>
      </c>
      <c r="D143" s="147">
        <v>-9.8699999999999996E-2</v>
      </c>
      <c r="E143" s="147">
        <v>-2.0999999999999999E-3</v>
      </c>
      <c r="F143" s="147">
        <v>-2.86E-2</v>
      </c>
      <c r="G143" s="147">
        <v>0.2034</v>
      </c>
      <c r="I143" s="27">
        <f t="shared" si="14"/>
        <v>6.3567742586039408E-2</v>
      </c>
      <c r="J143">
        <f t="shared" si="20"/>
        <v>0.19989999999999999</v>
      </c>
      <c r="L143">
        <f t="shared" si="15"/>
        <v>0.16259999999999999</v>
      </c>
      <c r="M143">
        <f t="shared" si="16"/>
        <v>-6.8200000000000011E-2</v>
      </c>
      <c r="N143">
        <f t="shared" si="17"/>
        <v>-9.8699999999999996E-2</v>
      </c>
      <c r="O143">
        <f t="shared" si="18"/>
        <v>-2.0999999999999999E-3</v>
      </c>
      <c r="P143">
        <f t="shared" si="19"/>
        <v>-2.86E-2</v>
      </c>
    </row>
    <row r="144" spans="1:16">
      <c r="A144" s="230" t="s">
        <v>789</v>
      </c>
      <c r="B144" s="147">
        <v>-3.9699999999999999E-2</v>
      </c>
      <c r="C144" s="147">
        <v>-1.4800000000000001E-2</v>
      </c>
      <c r="D144" s="147">
        <v>-2E-3</v>
      </c>
      <c r="E144" s="147">
        <v>-3.3700000000000001E-2</v>
      </c>
      <c r="F144" s="147">
        <v>2.92E-2</v>
      </c>
      <c r="G144" s="147">
        <v>-3.6799999999999999E-2</v>
      </c>
      <c r="I144" s="27">
        <f t="shared" si="14"/>
        <v>-4.1162809547343707E-2</v>
      </c>
      <c r="J144">
        <f t="shared" si="20"/>
        <v>-4.0300000000000002E-2</v>
      </c>
      <c r="L144">
        <f t="shared" si="15"/>
        <v>-4.3200000000000002E-2</v>
      </c>
      <c r="M144">
        <f t="shared" si="16"/>
        <v>-1.4800000000000001E-2</v>
      </c>
      <c r="N144">
        <f t="shared" si="17"/>
        <v>-2E-3</v>
      </c>
      <c r="O144">
        <f t="shared" si="18"/>
        <v>-3.3700000000000001E-2</v>
      </c>
      <c r="P144">
        <f t="shared" si="19"/>
        <v>2.92E-2</v>
      </c>
    </row>
    <row r="145" spans="1:16">
      <c r="A145" s="230" t="s">
        <v>790</v>
      </c>
      <c r="B145" s="147">
        <v>-2.7500000000000004E-2</v>
      </c>
      <c r="C145" s="147">
        <v>-4.3499999999999997E-2</v>
      </c>
      <c r="D145" s="147">
        <v>1.1000000000000001E-3</v>
      </c>
      <c r="E145" s="147">
        <v>-6.8000000000000005E-3</v>
      </c>
      <c r="F145" s="147">
        <v>3.2500000000000001E-2</v>
      </c>
      <c r="G145" s="147">
        <v>-3.3700000000000001E-2</v>
      </c>
      <c r="I145" s="27">
        <f t="shared" si="14"/>
        <v>8.593034429701444E-3</v>
      </c>
      <c r="J145">
        <f t="shared" si="20"/>
        <v>-3.7200000000000004E-2</v>
      </c>
      <c r="L145">
        <f t="shared" si="15"/>
        <v>-3.1000000000000003E-2</v>
      </c>
      <c r="M145">
        <f t="shared" si="16"/>
        <v>-4.3499999999999997E-2</v>
      </c>
      <c r="N145">
        <f t="shared" si="17"/>
        <v>1.1000000000000001E-3</v>
      </c>
      <c r="O145">
        <f t="shared" si="18"/>
        <v>-6.8000000000000005E-3</v>
      </c>
      <c r="P145">
        <f t="shared" si="19"/>
        <v>3.2500000000000001E-2</v>
      </c>
    </row>
    <row r="146" spans="1:16">
      <c r="A146" s="230" t="s">
        <v>791</v>
      </c>
      <c r="B146" s="147">
        <v>0.1424</v>
      </c>
      <c r="C146" s="147">
        <v>0.12909999999999999</v>
      </c>
      <c r="D146" s="147">
        <v>8.2799999999999999E-2</v>
      </c>
      <c r="E146" s="147">
        <v>-7.8000000000000005E-3</v>
      </c>
      <c r="F146" s="147">
        <v>-9.0000000000000011E-3</v>
      </c>
      <c r="G146" s="147">
        <v>0.1142</v>
      </c>
      <c r="I146" s="27">
        <f t="shared" si="14"/>
        <v>0.16985801664731398</v>
      </c>
      <c r="J146">
        <f t="shared" si="20"/>
        <v>0.11069999999999999</v>
      </c>
      <c r="L146">
        <f t="shared" si="15"/>
        <v>0.1389</v>
      </c>
      <c r="M146">
        <f t="shared" si="16"/>
        <v>0.12909999999999999</v>
      </c>
      <c r="N146">
        <f t="shared" si="17"/>
        <v>8.2799999999999999E-2</v>
      </c>
      <c r="O146">
        <f t="shared" si="18"/>
        <v>-7.8000000000000005E-3</v>
      </c>
      <c r="P146">
        <f t="shared" si="19"/>
        <v>-9.0000000000000011E-3</v>
      </c>
    </row>
    <row r="147" spans="1:16">
      <c r="A147" s="230" t="s">
        <v>792</v>
      </c>
      <c r="B147" s="147">
        <v>5.9899999999999995E-2</v>
      </c>
      <c r="C147" s="147">
        <v>-6.5000000000000006E-3</v>
      </c>
      <c r="D147" s="147">
        <v>-4.4500000000000005E-2</v>
      </c>
      <c r="E147" s="147">
        <v>1.1599999999999999E-2</v>
      </c>
      <c r="F147" s="147">
        <v>-2.1100000000000001E-2</v>
      </c>
      <c r="G147" s="147">
        <v>3.9700000000000006E-2</v>
      </c>
      <c r="I147" s="27">
        <f t="shared" si="14"/>
        <v>3.0073260664140258E-2</v>
      </c>
      <c r="J147">
        <f t="shared" si="20"/>
        <v>3.6200000000000003E-2</v>
      </c>
      <c r="L147">
        <f t="shared" si="15"/>
        <v>5.6399999999999992E-2</v>
      </c>
      <c r="M147">
        <f t="shared" si="16"/>
        <v>-6.5000000000000006E-3</v>
      </c>
      <c r="N147">
        <f t="shared" si="17"/>
        <v>-4.4500000000000005E-2</v>
      </c>
      <c r="O147">
        <f t="shared" si="18"/>
        <v>1.1599999999999999E-2</v>
      </c>
      <c r="P147">
        <f t="shared" si="19"/>
        <v>-2.1100000000000001E-2</v>
      </c>
    </row>
    <row r="148" spans="1:16">
      <c r="A148" s="230" t="s">
        <v>793</v>
      </c>
      <c r="B148" s="147">
        <v>3.0700000000000002E-2</v>
      </c>
      <c r="C148" s="147">
        <v>0.04</v>
      </c>
      <c r="D148" s="147">
        <v>2.3799999999999998E-2</v>
      </c>
      <c r="E148" s="147">
        <v>1.26E-2</v>
      </c>
      <c r="F148" s="147">
        <v>-1.3300000000000001E-2</v>
      </c>
      <c r="G148" s="147">
        <v>7.0999999999999994E-2</v>
      </c>
      <c r="I148" s="27">
        <f t="shared" si="14"/>
        <v>3.8337657739224783E-2</v>
      </c>
      <c r="J148">
        <f t="shared" si="20"/>
        <v>6.7499999999999991E-2</v>
      </c>
      <c r="L148">
        <f t="shared" si="15"/>
        <v>2.7200000000000002E-2</v>
      </c>
      <c r="M148">
        <f t="shared" si="16"/>
        <v>0.04</v>
      </c>
      <c r="N148">
        <f t="shared" si="17"/>
        <v>2.3799999999999998E-2</v>
      </c>
      <c r="O148">
        <f t="shared" si="18"/>
        <v>1.26E-2</v>
      </c>
      <c r="P148">
        <f t="shared" si="19"/>
        <v>-1.3300000000000001E-2</v>
      </c>
    </row>
    <row r="149" spans="1:16">
      <c r="A149" s="230" t="s">
        <v>794</v>
      </c>
      <c r="B149" s="147">
        <v>4.6700000000000005E-2</v>
      </c>
      <c r="C149" s="147">
        <v>-7.0999999999999995E-3</v>
      </c>
      <c r="D149" s="147">
        <v>-1.1399999999999999E-2</v>
      </c>
      <c r="E149" s="147">
        <v>1.41E-2</v>
      </c>
      <c r="F149" s="147">
        <v>-1.34E-2</v>
      </c>
      <c r="G149" s="147">
        <v>7.6399999999999996E-2</v>
      </c>
      <c r="I149" s="27">
        <f t="shared" si="14"/>
        <v>3.3236605102853936E-2</v>
      </c>
      <c r="J149">
        <f t="shared" si="20"/>
        <v>7.2899999999999993E-2</v>
      </c>
      <c r="L149">
        <f t="shared" si="15"/>
        <v>4.3200000000000002E-2</v>
      </c>
      <c r="M149">
        <f t="shared" si="16"/>
        <v>-7.0999999999999995E-3</v>
      </c>
      <c r="N149">
        <f t="shared" si="17"/>
        <v>-1.1399999999999999E-2</v>
      </c>
      <c r="O149">
        <f t="shared" si="18"/>
        <v>1.41E-2</v>
      </c>
      <c r="P149">
        <f t="shared" si="19"/>
        <v>-1.34E-2</v>
      </c>
    </row>
    <row r="150" spans="1:16">
      <c r="A150" s="230" t="s">
        <v>795</v>
      </c>
      <c r="B150" s="147">
        <v>5.6300000000000003E-2</v>
      </c>
      <c r="C150" s="147">
        <v>2.8900000000000002E-2</v>
      </c>
      <c r="D150" s="147">
        <v>-4.0999999999999995E-2</v>
      </c>
      <c r="E150" s="147">
        <v>-9.7999999999999997E-3</v>
      </c>
      <c r="F150" s="147">
        <v>-6.0000000000000001E-3</v>
      </c>
      <c r="G150" s="147">
        <v>4.9299999999999997E-2</v>
      </c>
      <c r="I150" s="27">
        <f t="shared" si="14"/>
        <v>4.7633538752664246E-2</v>
      </c>
      <c r="J150">
        <f t="shared" si="20"/>
        <v>4.5799999999999993E-2</v>
      </c>
      <c r="L150">
        <f t="shared" si="15"/>
        <v>5.28E-2</v>
      </c>
      <c r="M150">
        <f t="shared" si="16"/>
        <v>2.8900000000000002E-2</v>
      </c>
      <c r="N150">
        <f t="shared" si="17"/>
        <v>-4.0999999999999995E-2</v>
      </c>
      <c r="O150">
        <f t="shared" si="18"/>
        <v>-9.7999999999999997E-3</v>
      </c>
      <c r="P150">
        <f t="shared" si="19"/>
        <v>-6.0000000000000001E-3</v>
      </c>
    </row>
    <row r="151" spans="1:16">
      <c r="A151" s="230" t="s">
        <v>796</v>
      </c>
      <c r="B151" s="147">
        <v>5.2400000000000002E-2</v>
      </c>
      <c r="C151" s="147">
        <v>1.43E-2</v>
      </c>
      <c r="D151" s="147">
        <v>1.38E-2</v>
      </c>
      <c r="E151" s="147">
        <v>-2.6600000000000002E-2</v>
      </c>
      <c r="F151" s="147">
        <v>1.06E-2</v>
      </c>
      <c r="G151" s="147">
        <v>5.6300000000000003E-2</v>
      </c>
      <c r="I151" s="27">
        <f t="shared" si="14"/>
        <v>3.3434777327205144E-2</v>
      </c>
      <c r="J151">
        <f t="shared" si="20"/>
        <v>5.28E-2</v>
      </c>
      <c r="L151">
        <f t="shared" si="15"/>
        <v>4.8899999999999999E-2</v>
      </c>
      <c r="M151">
        <f t="shared" si="16"/>
        <v>1.43E-2</v>
      </c>
      <c r="N151">
        <f t="shared" si="17"/>
        <v>1.38E-2</v>
      </c>
      <c r="O151">
        <f t="shared" si="18"/>
        <v>-2.6600000000000002E-2</v>
      </c>
      <c r="P151">
        <f t="shared" si="19"/>
        <v>1.06E-2</v>
      </c>
    </row>
    <row r="152" spans="1:16">
      <c r="A152" s="230" t="s">
        <v>797</v>
      </c>
      <c r="B152" s="147">
        <v>-6.1100000000000002E-2</v>
      </c>
      <c r="C152" s="147">
        <v>3.44E-2</v>
      </c>
      <c r="D152" s="147">
        <v>1.6899999999999998E-2</v>
      </c>
      <c r="E152" s="147">
        <v>4.5999999999999999E-3</v>
      </c>
      <c r="F152" s="147">
        <v>1.2200000000000001E-2</v>
      </c>
      <c r="G152" s="147">
        <v>-4.0500000000000001E-2</v>
      </c>
      <c r="I152" s="27">
        <f t="shared" si="14"/>
        <v>-6.882458913474887E-3</v>
      </c>
      <c r="J152">
        <f t="shared" si="20"/>
        <v>-4.4000000000000004E-2</v>
      </c>
      <c r="L152">
        <f t="shared" si="15"/>
        <v>-6.4600000000000005E-2</v>
      </c>
      <c r="M152">
        <f t="shared" si="16"/>
        <v>3.44E-2</v>
      </c>
      <c r="N152">
        <f t="shared" si="17"/>
        <v>1.6899999999999998E-2</v>
      </c>
      <c r="O152">
        <f t="shared" si="18"/>
        <v>4.5999999999999999E-3</v>
      </c>
      <c r="P152">
        <f t="shared" si="19"/>
        <v>1.2200000000000001E-2</v>
      </c>
    </row>
    <row r="153" spans="1:16">
      <c r="A153" s="230" t="s">
        <v>798</v>
      </c>
      <c r="B153" s="147">
        <v>-2.3700000000000002E-2</v>
      </c>
      <c r="C153" s="147">
        <v>-2.8399999999999998E-2</v>
      </c>
      <c r="D153" s="147">
        <v>-9.4999999999999998E-3</v>
      </c>
      <c r="E153" s="147">
        <v>1.11E-2</v>
      </c>
      <c r="F153" s="147">
        <v>-9.300000000000001E-3</v>
      </c>
      <c r="G153" s="147">
        <v>-2.5400000000000002E-2</v>
      </c>
      <c r="I153" s="27">
        <f t="shared" si="14"/>
        <v>-4.6808412995259813E-2</v>
      </c>
      <c r="J153">
        <f t="shared" si="20"/>
        <v>-2.8900000000000002E-2</v>
      </c>
      <c r="L153">
        <f t="shared" si="15"/>
        <v>-2.7200000000000002E-2</v>
      </c>
      <c r="M153">
        <f t="shared" si="16"/>
        <v>-2.8399999999999998E-2</v>
      </c>
      <c r="N153">
        <f t="shared" si="17"/>
        <v>-9.4999999999999998E-3</v>
      </c>
      <c r="O153">
        <f t="shared" si="18"/>
        <v>1.11E-2</v>
      </c>
      <c r="P153">
        <f t="shared" si="19"/>
        <v>-9.300000000000001E-3</v>
      </c>
    </row>
    <row r="154" spans="1:16">
      <c r="A154" s="230" t="s">
        <v>799</v>
      </c>
      <c r="B154" s="147">
        <v>-3.73E-2</v>
      </c>
      <c r="C154" s="147">
        <v>5.0000000000000001E-4</v>
      </c>
      <c r="D154" s="147">
        <v>3.9000000000000003E-3</v>
      </c>
      <c r="E154" s="147">
        <v>5.3E-3</v>
      </c>
      <c r="F154" s="147">
        <v>5.5000000000000005E-3</v>
      </c>
      <c r="G154" s="147">
        <v>-1.7899999999999999E-2</v>
      </c>
      <c r="I154" s="27">
        <f t="shared" si="14"/>
        <v>-1.7998835550887875E-2</v>
      </c>
      <c r="J154">
        <f t="shared" si="20"/>
        <v>-2.1399999999999999E-2</v>
      </c>
      <c r="L154">
        <f t="shared" si="15"/>
        <v>-4.0800000000000003E-2</v>
      </c>
      <c r="M154">
        <f t="shared" si="16"/>
        <v>5.0000000000000001E-4</v>
      </c>
      <c r="N154">
        <f t="shared" si="17"/>
        <v>3.9000000000000003E-3</v>
      </c>
      <c r="O154">
        <f t="shared" si="18"/>
        <v>5.3E-3</v>
      </c>
      <c r="P154">
        <f t="shared" si="19"/>
        <v>5.5000000000000005E-3</v>
      </c>
    </row>
    <row r="155" spans="1:16">
      <c r="A155" s="230" t="s">
        <v>800</v>
      </c>
      <c r="B155" s="147">
        <v>5.8699999999999995E-2</v>
      </c>
      <c r="C155" s="147">
        <v>-4.2300000000000004E-2</v>
      </c>
      <c r="D155" s="147">
        <v>2.8000000000000004E-3</v>
      </c>
      <c r="E155" s="147">
        <v>-4.8999999999999998E-3</v>
      </c>
      <c r="F155" s="147">
        <v>2.2599999999999999E-2</v>
      </c>
      <c r="G155" s="147">
        <v>3.1899999999999998E-2</v>
      </c>
      <c r="I155" s="27">
        <f t="shared" si="14"/>
        <v>7.4083992855499728E-2</v>
      </c>
      <c r="J155">
        <f t="shared" si="20"/>
        <v>2.8399999999999998E-2</v>
      </c>
      <c r="L155">
        <f t="shared" si="15"/>
        <v>5.5199999999999992E-2</v>
      </c>
      <c r="M155">
        <f t="shared" si="16"/>
        <v>-4.2300000000000004E-2</v>
      </c>
      <c r="N155">
        <f t="shared" si="17"/>
        <v>2.8000000000000004E-3</v>
      </c>
      <c r="O155">
        <f t="shared" si="18"/>
        <v>-4.8999999999999998E-3</v>
      </c>
      <c r="P155">
        <f t="shared" si="19"/>
        <v>2.2599999999999999E-2</v>
      </c>
    </row>
    <row r="156" spans="1:16">
      <c r="A156" s="230" t="s">
        <v>801</v>
      </c>
      <c r="B156" s="147">
        <v>3.0500000000000003E-2</v>
      </c>
      <c r="C156" s="147">
        <v>-1.0900000000000002E-2</v>
      </c>
      <c r="D156" s="147">
        <v>2.0299999999999999E-2</v>
      </c>
      <c r="E156" s="147">
        <v>-6.8000000000000005E-3</v>
      </c>
      <c r="F156" s="147">
        <v>1.7500000000000002E-2</v>
      </c>
      <c r="G156" s="147">
        <v>1.5800000000000002E-2</v>
      </c>
      <c r="I156" s="27">
        <f t="shared" si="14"/>
        <v>4.6728200560736316E-2</v>
      </c>
      <c r="J156">
        <f t="shared" si="20"/>
        <v>1.2300000000000002E-2</v>
      </c>
      <c r="L156">
        <f t="shared" si="15"/>
        <v>2.7000000000000003E-2</v>
      </c>
      <c r="M156">
        <f t="shared" si="16"/>
        <v>-1.0900000000000002E-2</v>
      </c>
      <c r="N156">
        <f t="shared" si="17"/>
        <v>2.0299999999999999E-2</v>
      </c>
      <c r="O156">
        <f t="shared" si="18"/>
        <v>-6.8000000000000005E-3</v>
      </c>
      <c r="P156">
        <f t="shared" si="19"/>
        <v>1.7500000000000002E-2</v>
      </c>
    </row>
    <row r="157" spans="1:16">
      <c r="A157" s="230" t="s">
        <v>802</v>
      </c>
      <c r="B157" s="147">
        <v>-1.1200000000000002E-2</v>
      </c>
      <c r="C157" s="147">
        <v>-5.0000000000000001E-4</v>
      </c>
      <c r="D157" s="147">
        <v>1.6899999999999998E-2</v>
      </c>
      <c r="E157" s="147">
        <v>-8.9999999999999998E-4</v>
      </c>
      <c r="F157" s="147">
        <v>5.6999999999999993E-3</v>
      </c>
      <c r="G157" s="147">
        <v>-1.26E-2</v>
      </c>
      <c r="I157" s="27">
        <f t="shared" si="14"/>
        <v>-6.0314898375308339E-3</v>
      </c>
      <c r="J157">
        <f t="shared" si="20"/>
        <v>-1.61E-2</v>
      </c>
      <c r="L157">
        <f t="shared" si="15"/>
        <v>-1.4700000000000001E-2</v>
      </c>
      <c r="M157">
        <f t="shared" si="16"/>
        <v>-5.0000000000000001E-4</v>
      </c>
      <c r="N157">
        <f t="shared" si="17"/>
        <v>1.6899999999999998E-2</v>
      </c>
      <c r="O157">
        <f t="shared" si="18"/>
        <v>-8.9999999999999998E-4</v>
      </c>
      <c r="P157">
        <f t="shared" si="19"/>
        <v>5.6999999999999993E-3</v>
      </c>
    </row>
    <row r="158" spans="1:16">
      <c r="A158" s="230" t="s">
        <v>803</v>
      </c>
      <c r="B158" s="147">
        <v>0.1263</v>
      </c>
      <c r="C158" s="147">
        <v>6.3399999999999998E-2</v>
      </c>
      <c r="D158" s="147">
        <v>8.6300000000000016E-2</v>
      </c>
      <c r="E158" s="147">
        <v>-1.7899999999999999E-2</v>
      </c>
      <c r="F158" s="147">
        <v>2.2799999999999997E-2</v>
      </c>
      <c r="G158" s="147">
        <v>0.18989999999999999</v>
      </c>
      <c r="I158" s="27">
        <f t="shared" si="14"/>
        <v>0.17054236162254119</v>
      </c>
      <c r="J158">
        <f t="shared" si="20"/>
        <v>0.18639999999999998</v>
      </c>
      <c r="L158">
        <f t="shared" si="15"/>
        <v>0.12279999999999999</v>
      </c>
      <c r="M158">
        <f t="shared" si="16"/>
        <v>6.3399999999999998E-2</v>
      </c>
      <c r="N158">
        <f t="shared" si="17"/>
        <v>8.6300000000000016E-2</v>
      </c>
      <c r="O158">
        <f t="shared" si="18"/>
        <v>-1.7899999999999999E-2</v>
      </c>
      <c r="P158">
        <f t="shared" si="19"/>
        <v>2.2799999999999997E-2</v>
      </c>
    </row>
    <row r="159" spans="1:16">
      <c r="A159" s="230" t="s">
        <v>804</v>
      </c>
      <c r="B159" s="147">
        <v>6.6E-3</v>
      </c>
      <c r="C159" s="147">
        <v>7.9899999999999999E-2</v>
      </c>
      <c r="D159" s="147">
        <v>5.8700000000000002E-2</v>
      </c>
      <c r="E159" s="147">
        <v>-2.6400000000000003E-2</v>
      </c>
      <c r="F159" s="147">
        <v>3.8700000000000005E-2</v>
      </c>
      <c r="G159" s="147">
        <v>5.2800000000000007E-2</v>
      </c>
      <c r="I159" s="27">
        <f t="shared" si="14"/>
        <v>9.1498946097564593E-2</v>
      </c>
      <c r="J159">
        <f t="shared" si="20"/>
        <v>4.9300000000000004E-2</v>
      </c>
      <c r="L159">
        <f t="shared" si="15"/>
        <v>3.0999999999999999E-3</v>
      </c>
      <c r="M159">
        <f t="shared" si="16"/>
        <v>7.9899999999999999E-2</v>
      </c>
      <c r="N159">
        <f t="shared" si="17"/>
        <v>5.8700000000000002E-2</v>
      </c>
      <c r="O159">
        <f t="shared" si="18"/>
        <v>-2.6400000000000003E-2</v>
      </c>
      <c r="P159">
        <f t="shared" si="19"/>
        <v>3.8700000000000005E-2</v>
      </c>
    </row>
    <row r="160" spans="1:16">
      <c r="A160" s="230" t="s">
        <v>805</v>
      </c>
      <c r="B160" s="147">
        <v>2.7199999999999998E-2</v>
      </c>
      <c r="C160" s="147">
        <v>-1.38E-2</v>
      </c>
      <c r="D160" s="147">
        <v>-1.1999999999999999E-3</v>
      </c>
      <c r="E160" s="147">
        <v>-3.3000000000000004E-3</v>
      </c>
      <c r="F160" s="147">
        <v>9.5999999999999992E-3</v>
      </c>
      <c r="G160" s="147">
        <v>8.199999999999999E-3</v>
      </c>
      <c r="I160" s="27">
        <f t="shared" si="14"/>
        <v>3.27441522876721E-2</v>
      </c>
      <c r="J160">
        <f t="shared" si="20"/>
        <v>4.6999999999999993E-3</v>
      </c>
      <c r="L160">
        <f t="shared" si="15"/>
        <v>2.3699999999999999E-2</v>
      </c>
      <c r="M160">
        <f t="shared" si="16"/>
        <v>-1.38E-2</v>
      </c>
      <c r="N160">
        <f t="shared" si="17"/>
        <v>-1.1999999999999999E-3</v>
      </c>
      <c r="O160">
        <f t="shared" si="18"/>
        <v>-3.3000000000000004E-3</v>
      </c>
      <c r="P160">
        <f t="shared" si="19"/>
        <v>9.5999999999999992E-3</v>
      </c>
    </row>
    <row r="161" spans="1:16">
      <c r="A161" s="230" t="s">
        <v>806</v>
      </c>
      <c r="B161" s="147">
        <v>-1.0700000000000001E-2</v>
      </c>
      <c r="C161" s="147">
        <v>8.0000000000000004E-4</v>
      </c>
      <c r="D161" s="147">
        <v>-1.6000000000000001E-3</v>
      </c>
      <c r="E161" s="147">
        <v>4.0000000000000001E-3</v>
      </c>
      <c r="F161" s="147">
        <v>-1.1000000000000001E-2</v>
      </c>
      <c r="G161" s="147">
        <v>-2.5700000000000001E-2</v>
      </c>
      <c r="I161" s="27">
        <f t="shared" si="14"/>
        <v>-3.3401720100381845E-2</v>
      </c>
      <c r="J161">
        <f t="shared" si="20"/>
        <v>-2.92E-2</v>
      </c>
      <c r="L161">
        <f t="shared" si="15"/>
        <v>-1.4200000000000001E-2</v>
      </c>
      <c r="M161">
        <f t="shared" si="16"/>
        <v>8.0000000000000004E-4</v>
      </c>
      <c r="N161">
        <f t="shared" si="17"/>
        <v>-1.6000000000000001E-3</v>
      </c>
      <c r="O161">
        <f t="shared" si="18"/>
        <v>4.0000000000000001E-3</v>
      </c>
      <c r="P161">
        <f t="shared" si="19"/>
        <v>-1.1000000000000001E-2</v>
      </c>
    </row>
    <row r="162" spans="1:16">
      <c r="A162" s="230" t="s">
        <v>807</v>
      </c>
      <c r="B162" s="147">
        <v>-9.7000000000000003E-3</v>
      </c>
      <c r="C162" s="147">
        <v>-1.1000000000000001E-2</v>
      </c>
      <c r="D162" s="147">
        <v>-1.3600000000000001E-2</v>
      </c>
      <c r="E162" s="147">
        <v>2.46E-2</v>
      </c>
      <c r="F162" s="147">
        <v>-1.41E-2</v>
      </c>
      <c r="G162" s="147">
        <v>-2.69E-2</v>
      </c>
      <c r="I162" s="27">
        <f t="shared" si="14"/>
        <v>-7.9360133906302387E-3</v>
      </c>
      <c r="J162">
        <f t="shared" si="20"/>
        <v>-3.04E-2</v>
      </c>
      <c r="L162">
        <f t="shared" si="15"/>
        <v>-1.32E-2</v>
      </c>
      <c r="M162">
        <f t="shared" si="16"/>
        <v>-1.1000000000000001E-2</v>
      </c>
      <c r="N162">
        <f t="shared" si="17"/>
        <v>-1.3600000000000001E-2</v>
      </c>
      <c r="O162">
        <f t="shared" si="18"/>
        <v>2.46E-2</v>
      </c>
      <c r="P162">
        <f t="shared" si="19"/>
        <v>-1.41E-2</v>
      </c>
    </row>
    <row r="163" spans="1:16">
      <c r="A163" s="230" t="s">
        <v>808</v>
      </c>
      <c r="B163" s="147">
        <v>4.48E-2</v>
      </c>
      <c r="C163" s="147">
        <v>-1.0700000000000001E-2</v>
      </c>
      <c r="D163" s="147">
        <v>7.0999999999999995E-3</v>
      </c>
      <c r="E163" s="147">
        <v>-6.8000000000000005E-3</v>
      </c>
      <c r="F163" s="147">
        <v>1.0200000000000001E-2</v>
      </c>
      <c r="G163" s="147">
        <v>4.58E-2</v>
      </c>
      <c r="I163" s="27">
        <f t="shared" si="14"/>
        <v>4.5781402300072618E-2</v>
      </c>
      <c r="J163">
        <f t="shared" si="20"/>
        <v>4.2299999999999997E-2</v>
      </c>
      <c r="L163">
        <f t="shared" si="15"/>
        <v>4.1299999999999996E-2</v>
      </c>
      <c r="M163">
        <f t="shared" si="16"/>
        <v>-1.0700000000000001E-2</v>
      </c>
      <c r="N163">
        <f t="shared" si="17"/>
        <v>7.0999999999999995E-3</v>
      </c>
      <c r="O163">
        <f t="shared" si="18"/>
        <v>-6.8000000000000005E-3</v>
      </c>
      <c r="P163">
        <f t="shared" si="19"/>
        <v>1.0200000000000001E-2</v>
      </c>
    </row>
    <row r="164" spans="1:16">
      <c r="A164" s="230" t="s">
        <v>809</v>
      </c>
      <c r="B164" s="147">
        <v>-6.000000000000001E-3</v>
      </c>
      <c r="C164" s="147">
        <v>6.3E-3</v>
      </c>
      <c r="D164" s="147">
        <v>1.7299999999999999E-2</v>
      </c>
      <c r="E164" s="147">
        <v>-1.0500000000000001E-2</v>
      </c>
      <c r="F164" s="147">
        <v>2.8000000000000004E-3</v>
      </c>
      <c r="G164" s="147">
        <v>-1.1200000000000002E-2</v>
      </c>
      <c r="I164" s="27">
        <f t="shared" si="14"/>
        <v>-2.1087326200164975E-2</v>
      </c>
      <c r="J164">
        <f t="shared" si="20"/>
        <v>-1.4700000000000001E-2</v>
      </c>
      <c r="L164">
        <f t="shared" si="15"/>
        <v>-9.5000000000000015E-3</v>
      </c>
      <c r="M164">
        <f t="shared" si="16"/>
        <v>6.3E-3</v>
      </c>
      <c r="N164">
        <f t="shared" si="17"/>
        <v>1.7299999999999999E-2</v>
      </c>
      <c r="O164">
        <f t="shared" si="18"/>
        <v>-1.0500000000000001E-2</v>
      </c>
      <c r="P164">
        <f t="shared" si="19"/>
        <v>2.8000000000000004E-3</v>
      </c>
    </row>
    <row r="165" spans="1:16">
      <c r="A165" s="230" t="s">
        <v>810</v>
      </c>
      <c r="B165" s="147">
        <v>-1.4000000000000011E-3</v>
      </c>
      <c r="C165" s="147">
        <v>-1.9800000000000002E-2</v>
      </c>
      <c r="D165" s="147">
        <v>8.1000000000000013E-3</v>
      </c>
      <c r="E165" s="147">
        <v>-4.1999999999999997E-3</v>
      </c>
      <c r="F165" s="147">
        <v>-5.5000000000000005E-3</v>
      </c>
      <c r="G165" s="147">
        <v>-2.2000000000000002E-2</v>
      </c>
      <c r="I165" s="27">
        <f t="shared" si="14"/>
        <v>-4.0880781397963653E-2</v>
      </c>
      <c r="J165">
        <f t="shared" si="20"/>
        <v>-2.5500000000000002E-2</v>
      </c>
      <c r="L165">
        <f t="shared" si="15"/>
        <v>-4.9000000000000016E-3</v>
      </c>
      <c r="M165">
        <f t="shared" si="16"/>
        <v>-1.9800000000000002E-2</v>
      </c>
      <c r="N165">
        <f t="shared" si="17"/>
        <v>8.1000000000000013E-3</v>
      </c>
      <c r="O165">
        <f t="shared" si="18"/>
        <v>-4.1999999999999997E-3</v>
      </c>
      <c r="P165">
        <f t="shared" si="19"/>
        <v>-5.5000000000000005E-3</v>
      </c>
    </row>
    <row r="166" spans="1:16">
      <c r="A166" s="230" t="s">
        <v>811</v>
      </c>
      <c r="B166" s="147">
        <v>2.5100000000000001E-2</v>
      </c>
      <c r="C166" s="147">
        <v>1E-3</v>
      </c>
      <c r="D166" s="147">
        <v>-2.8999999999999998E-3</v>
      </c>
      <c r="E166" s="147">
        <v>9.7999999999999997E-3</v>
      </c>
      <c r="F166" s="147">
        <v>-1.15E-2</v>
      </c>
      <c r="G166" s="147">
        <v>2.63E-2</v>
      </c>
      <c r="I166" s="27">
        <f t="shared" si="14"/>
        <v>1.2091543340560527E-2</v>
      </c>
      <c r="J166">
        <f t="shared" si="20"/>
        <v>2.2800000000000001E-2</v>
      </c>
      <c r="L166">
        <f t="shared" si="15"/>
        <v>2.1600000000000001E-2</v>
      </c>
      <c r="M166">
        <f t="shared" si="16"/>
        <v>1E-3</v>
      </c>
      <c r="N166">
        <f t="shared" si="17"/>
        <v>-2.8999999999999998E-3</v>
      </c>
      <c r="O166">
        <f t="shared" si="18"/>
        <v>9.7999999999999997E-3</v>
      </c>
      <c r="P166">
        <f t="shared" si="19"/>
        <v>-1.15E-2</v>
      </c>
    </row>
    <row r="167" spans="1:16">
      <c r="A167" s="230" t="s">
        <v>812</v>
      </c>
      <c r="B167" s="147">
        <v>-2.01E-2</v>
      </c>
      <c r="C167" s="147">
        <v>1.3000000000000002E-3</v>
      </c>
      <c r="D167" s="147">
        <v>-1.8E-3</v>
      </c>
      <c r="E167" s="147">
        <v>-1.9E-3</v>
      </c>
      <c r="F167" s="147">
        <v>-3.7000000000000002E-3</v>
      </c>
      <c r="G167" s="147">
        <v>-3.5700000000000003E-2</v>
      </c>
      <c r="I167" s="27">
        <f t="shared" si="14"/>
        <v>-3.5012095373847779E-2</v>
      </c>
      <c r="J167">
        <f t="shared" si="20"/>
        <v>-3.9200000000000006E-2</v>
      </c>
      <c r="L167">
        <f t="shared" si="15"/>
        <v>-2.3599999999999999E-2</v>
      </c>
      <c r="M167">
        <f t="shared" si="16"/>
        <v>1.3000000000000002E-3</v>
      </c>
      <c r="N167">
        <f t="shared" si="17"/>
        <v>-1.8E-3</v>
      </c>
      <c r="O167">
        <f t="shared" si="18"/>
        <v>-1.9E-3</v>
      </c>
      <c r="P167">
        <f t="shared" si="19"/>
        <v>-3.7000000000000002E-3</v>
      </c>
    </row>
    <row r="168" spans="1:16">
      <c r="A168" s="230" t="s">
        <v>813</v>
      </c>
      <c r="B168" s="147">
        <v>7.6E-3</v>
      </c>
      <c r="C168" s="147">
        <v>2.6600000000000002E-2</v>
      </c>
      <c r="D168" s="147">
        <v>1.5100000000000001E-2</v>
      </c>
      <c r="E168" s="147">
        <v>-1.41E-2</v>
      </c>
      <c r="F168" s="147">
        <v>8.9999999999999998E-4</v>
      </c>
      <c r="G168" s="147">
        <v>3.3399999999999999E-2</v>
      </c>
      <c r="I168" s="27">
        <f t="shared" si="14"/>
        <v>-4.9566562289194253E-3</v>
      </c>
      <c r="J168">
        <f t="shared" si="20"/>
        <v>2.9899999999999999E-2</v>
      </c>
      <c r="L168">
        <f t="shared" si="15"/>
        <v>4.0999999999999995E-3</v>
      </c>
      <c r="M168">
        <f t="shared" si="16"/>
        <v>2.6600000000000002E-2</v>
      </c>
      <c r="N168">
        <f t="shared" si="17"/>
        <v>1.5100000000000001E-2</v>
      </c>
      <c r="O168">
        <f t="shared" si="18"/>
        <v>-1.41E-2</v>
      </c>
      <c r="P168">
        <f t="shared" si="19"/>
        <v>8.9999999999999998E-4</v>
      </c>
    </row>
    <row r="169" spans="1:16">
      <c r="A169" s="230" t="s">
        <v>814</v>
      </c>
      <c r="B169" s="147">
        <v>6.0499999999999998E-2</v>
      </c>
      <c r="C169" s="147">
        <v>3.6400000000000002E-2</v>
      </c>
      <c r="D169" s="147">
        <v>2.2700000000000001E-2</v>
      </c>
      <c r="E169" s="147">
        <v>-6.1000000000000004E-3</v>
      </c>
      <c r="F169" s="147">
        <v>2.2799999999999997E-2</v>
      </c>
      <c r="G169" s="147">
        <v>8.2300000000000012E-2</v>
      </c>
      <c r="I169" s="27">
        <f t="shared" si="14"/>
        <v>0.12172029507338475</v>
      </c>
      <c r="J169">
        <f t="shared" si="20"/>
        <v>7.8800000000000009E-2</v>
      </c>
      <c r="L169">
        <f t="shared" si="15"/>
        <v>5.6999999999999995E-2</v>
      </c>
      <c r="M169">
        <f t="shared" si="16"/>
        <v>3.6400000000000002E-2</v>
      </c>
      <c r="N169">
        <f t="shared" si="17"/>
        <v>2.2700000000000001E-2</v>
      </c>
      <c r="O169">
        <f t="shared" si="18"/>
        <v>-6.1000000000000004E-3</v>
      </c>
      <c r="P169">
        <f t="shared" si="19"/>
        <v>2.2799999999999997E-2</v>
      </c>
    </row>
    <row r="170" spans="1:16">
      <c r="A170" s="230" t="s">
        <v>815</v>
      </c>
      <c r="B170" s="147">
        <v>-3.6900000000000002E-2</v>
      </c>
      <c r="C170" s="147">
        <v>5.9000000000000004E-2</v>
      </c>
      <c r="D170" s="147">
        <v>4.2699999999999995E-2</v>
      </c>
      <c r="E170" s="147">
        <v>-5.1000000000000004E-3</v>
      </c>
      <c r="F170" s="147">
        <v>1.9699999999999999E-2</v>
      </c>
      <c r="G170" s="147">
        <v>2.4300000000000002E-2</v>
      </c>
      <c r="I170" s="27">
        <f t="shared" si="14"/>
        <v>2.9099130471288693E-2</v>
      </c>
      <c r="J170">
        <f t="shared" si="20"/>
        <v>2.0800000000000003E-2</v>
      </c>
      <c r="L170">
        <f t="shared" si="15"/>
        <v>-4.0400000000000005E-2</v>
      </c>
      <c r="M170">
        <f t="shared" si="16"/>
        <v>5.9000000000000004E-2</v>
      </c>
      <c r="N170">
        <f t="shared" si="17"/>
        <v>4.2699999999999995E-2</v>
      </c>
      <c r="O170">
        <f t="shared" si="18"/>
        <v>-5.1000000000000004E-3</v>
      </c>
      <c r="P170">
        <f t="shared" si="19"/>
        <v>1.9699999999999999E-2</v>
      </c>
    </row>
    <row r="171" spans="1:16">
      <c r="A171" s="230" t="s">
        <v>816</v>
      </c>
      <c r="B171" s="147">
        <v>-1.5900000000000001E-2</v>
      </c>
      <c r="C171" s="147">
        <v>1.0700000000000001E-2</v>
      </c>
      <c r="D171" s="147">
        <v>4.7000000000000002E-3</v>
      </c>
      <c r="E171" s="147">
        <v>-1.6000000000000001E-3</v>
      </c>
      <c r="F171" s="147">
        <v>-2.2000000000000001E-3</v>
      </c>
      <c r="G171" s="147">
        <v>-1.8500000000000003E-2</v>
      </c>
      <c r="I171" s="27">
        <f t="shared" si="14"/>
        <v>-2.1726269873061477E-2</v>
      </c>
      <c r="J171">
        <f t="shared" si="20"/>
        <v>-2.2000000000000002E-2</v>
      </c>
      <c r="L171">
        <f t="shared" si="15"/>
        <v>-1.9400000000000001E-2</v>
      </c>
      <c r="M171">
        <f t="shared" si="16"/>
        <v>1.0700000000000001E-2</v>
      </c>
      <c r="N171">
        <f t="shared" si="17"/>
        <v>4.7000000000000002E-3</v>
      </c>
      <c r="O171">
        <f t="shared" si="18"/>
        <v>-1.6000000000000001E-3</v>
      </c>
      <c r="P171">
        <f t="shared" si="19"/>
        <v>-2.2000000000000001E-3</v>
      </c>
    </row>
    <row r="172" spans="1:16">
      <c r="A172" s="230" t="s">
        <v>817</v>
      </c>
      <c r="B172" s="147">
        <v>-9.9000000000000025E-3</v>
      </c>
      <c r="C172" s="147">
        <v>1.3100000000000001E-2</v>
      </c>
      <c r="D172" s="147">
        <v>1.0900000000000002E-2</v>
      </c>
      <c r="E172" s="147">
        <v>-3.0000000000000001E-3</v>
      </c>
      <c r="F172" s="147">
        <v>-5.9999999999999995E-4</v>
      </c>
      <c r="G172" s="147">
        <v>-6.3E-3</v>
      </c>
      <c r="I172" s="27">
        <f t="shared" si="14"/>
        <v>-1.4012622478870503E-2</v>
      </c>
      <c r="J172">
        <f t="shared" si="20"/>
        <v>-9.7999999999999997E-3</v>
      </c>
      <c r="L172">
        <f t="shared" si="15"/>
        <v>-1.3400000000000002E-2</v>
      </c>
      <c r="M172">
        <f t="shared" si="16"/>
        <v>1.3100000000000001E-2</v>
      </c>
      <c r="N172">
        <f t="shared" si="17"/>
        <v>1.0900000000000002E-2</v>
      </c>
      <c r="O172">
        <f t="shared" si="18"/>
        <v>-3.0000000000000001E-3</v>
      </c>
      <c r="P172">
        <f t="shared" si="19"/>
        <v>-5.9999999999999995E-4</v>
      </c>
    </row>
    <row r="173" spans="1:16">
      <c r="A173" s="230" t="s">
        <v>818</v>
      </c>
      <c r="B173" s="147">
        <v>5.3E-3</v>
      </c>
      <c r="C173" s="147">
        <v>6.1000000000000004E-3</v>
      </c>
      <c r="D173" s="147">
        <v>3.3799999999999997E-2</v>
      </c>
      <c r="E173" s="147">
        <v>-2.01E-2</v>
      </c>
      <c r="F173" s="147">
        <v>1.1399999999999999E-2</v>
      </c>
      <c r="G173" s="147">
        <v>3.95E-2</v>
      </c>
      <c r="I173" s="27">
        <f t="shared" si="14"/>
        <v>-9.4334023074985167E-3</v>
      </c>
      <c r="J173">
        <f t="shared" si="20"/>
        <v>3.5999999999999997E-2</v>
      </c>
      <c r="L173">
        <f t="shared" si="15"/>
        <v>1.8E-3</v>
      </c>
      <c r="M173">
        <f t="shared" si="16"/>
        <v>6.1000000000000004E-3</v>
      </c>
      <c r="N173">
        <f t="shared" si="17"/>
        <v>3.3799999999999997E-2</v>
      </c>
      <c r="O173">
        <f t="shared" si="18"/>
        <v>-2.01E-2</v>
      </c>
      <c r="P173">
        <f t="shared" si="19"/>
        <v>1.1399999999999999E-2</v>
      </c>
    </row>
    <row r="174" spans="1:16">
      <c r="A174" s="230" t="s">
        <v>819</v>
      </c>
      <c r="B174" s="147">
        <v>-1.0799999999999999E-2</v>
      </c>
      <c r="C174" s="147">
        <v>1.3100000000000001E-2</v>
      </c>
      <c r="D174" s="147">
        <v>8.5000000000000006E-3</v>
      </c>
      <c r="E174" s="147">
        <v>3.3000000000000004E-3</v>
      </c>
      <c r="F174" s="147">
        <v>1.9E-3</v>
      </c>
      <c r="G174" s="147">
        <v>5.2000000000000006E-3</v>
      </c>
      <c r="I174" s="27">
        <f t="shared" si="14"/>
        <v>3.2391808219079522E-3</v>
      </c>
      <c r="J174">
        <f t="shared" si="20"/>
        <v>1.7000000000000006E-3</v>
      </c>
      <c r="L174">
        <f t="shared" si="15"/>
        <v>-1.4299999999999998E-2</v>
      </c>
      <c r="M174">
        <f t="shared" si="16"/>
        <v>1.3100000000000001E-2</v>
      </c>
      <c r="N174">
        <f t="shared" si="17"/>
        <v>8.5000000000000006E-3</v>
      </c>
      <c r="O174">
        <f t="shared" si="18"/>
        <v>3.3000000000000004E-3</v>
      </c>
      <c r="P174">
        <f t="shared" si="19"/>
        <v>1.9E-3</v>
      </c>
    </row>
    <row r="175" spans="1:16">
      <c r="A175" s="230" t="s">
        <v>820</v>
      </c>
      <c r="B175" s="147">
        <v>5.1100000000000007E-2</v>
      </c>
      <c r="C175" s="147">
        <v>2.0800000000000003E-2</v>
      </c>
      <c r="D175" s="147">
        <v>-7.4000000000000003E-3</v>
      </c>
      <c r="E175" s="147">
        <v>9.1000000000000004E-3</v>
      </c>
      <c r="F175" s="147">
        <v>-1.2E-2</v>
      </c>
      <c r="G175" s="147">
        <v>6.9400000000000003E-2</v>
      </c>
      <c r="I175" s="27">
        <f t="shared" si="14"/>
        <v>4.9518082749598513E-2</v>
      </c>
      <c r="J175">
        <f t="shared" si="20"/>
        <v>6.59E-2</v>
      </c>
      <c r="L175">
        <f t="shared" si="15"/>
        <v>4.7600000000000003E-2</v>
      </c>
      <c r="M175">
        <f t="shared" si="16"/>
        <v>2.0800000000000003E-2</v>
      </c>
      <c r="N175">
        <f t="shared" si="17"/>
        <v>-7.4000000000000003E-3</v>
      </c>
      <c r="O175">
        <f t="shared" si="18"/>
        <v>9.1000000000000004E-3</v>
      </c>
      <c r="P175">
        <f t="shared" si="19"/>
        <v>-1.2E-2</v>
      </c>
    </row>
    <row r="176" spans="1:16">
      <c r="A176" s="230" t="s">
        <v>821</v>
      </c>
      <c r="B176" s="147">
        <v>-1.2699999999999999E-2</v>
      </c>
      <c r="C176" s="147">
        <v>1.8800000000000001E-2</v>
      </c>
      <c r="D176" s="147">
        <v>-5.6000000000000008E-3</v>
      </c>
      <c r="E176" s="147">
        <v>7.3000000000000001E-3</v>
      </c>
      <c r="F176" s="147">
        <v>8.9999999999999998E-4</v>
      </c>
      <c r="G176" s="147">
        <v>-1.0700000000000001E-2</v>
      </c>
      <c r="I176" s="27">
        <f t="shared" si="14"/>
        <v>1.280502371052912E-2</v>
      </c>
      <c r="J176">
        <f t="shared" si="20"/>
        <v>-1.4200000000000001E-2</v>
      </c>
      <c r="L176">
        <f t="shared" si="15"/>
        <v>-1.6199999999999999E-2</v>
      </c>
      <c r="M176">
        <f t="shared" si="16"/>
        <v>1.8800000000000001E-2</v>
      </c>
      <c r="N176">
        <f t="shared" si="17"/>
        <v>-5.6000000000000008E-3</v>
      </c>
      <c r="O176">
        <f t="shared" si="18"/>
        <v>7.3000000000000001E-3</v>
      </c>
      <c r="P176">
        <f t="shared" si="19"/>
        <v>8.9999999999999998E-4</v>
      </c>
    </row>
    <row r="177" spans="1:16">
      <c r="A177" s="230" t="s">
        <v>822</v>
      </c>
      <c r="B177" s="147">
        <v>-1.3100000000000001E-2</v>
      </c>
      <c r="C177" s="147">
        <v>8.6E-3</v>
      </c>
      <c r="D177" s="147">
        <v>-2.7000000000000003E-2</v>
      </c>
      <c r="E177" s="147">
        <v>9.7999999999999997E-3</v>
      </c>
      <c r="F177" s="147">
        <v>-6.6000000000000008E-3</v>
      </c>
      <c r="G177" s="147">
        <v>-1.9699999999999999E-2</v>
      </c>
      <c r="I177" s="27">
        <f t="shared" si="14"/>
        <v>-3.9152831946747367E-3</v>
      </c>
      <c r="J177">
        <f t="shared" si="20"/>
        <v>-2.3199999999999998E-2</v>
      </c>
      <c r="L177">
        <f t="shared" si="15"/>
        <v>-1.66E-2</v>
      </c>
      <c r="M177">
        <f t="shared" si="16"/>
        <v>8.6E-3</v>
      </c>
      <c r="N177">
        <f t="shared" si="17"/>
        <v>-2.7000000000000003E-2</v>
      </c>
      <c r="O177">
        <f t="shared" si="18"/>
        <v>9.7999999999999997E-3</v>
      </c>
      <c r="P177">
        <f t="shared" si="19"/>
        <v>-6.6000000000000008E-3</v>
      </c>
    </row>
    <row r="178" spans="1:16">
      <c r="A178" s="230" t="s">
        <v>823</v>
      </c>
      <c r="B178" s="147">
        <v>1.5999999999999999E-3</v>
      </c>
      <c r="C178" s="147">
        <v>1.43E-2</v>
      </c>
      <c r="D178" s="147">
        <v>-5.2000000000000006E-3</v>
      </c>
      <c r="E178" s="147">
        <v>1.43E-2</v>
      </c>
      <c r="F178" s="147">
        <v>-8.3999999999999995E-3</v>
      </c>
      <c r="G178" s="147">
        <v>1.3600000000000001E-2</v>
      </c>
      <c r="I178" s="27">
        <f t="shared" si="14"/>
        <v>1.3676722457856783E-2</v>
      </c>
      <c r="J178">
        <f t="shared" si="20"/>
        <v>1.0100000000000001E-2</v>
      </c>
      <c r="L178">
        <f t="shared" si="15"/>
        <v>-1.9000000000000002E-3</v>
      </c>
      <c r="M178">
        <f t="shared" si="16"/>
        <v>1.43E-2</v>
      </c>
      <c r="N178">
        <f t="shared" si="17"/>
        <v>-5.2000000000000006E-3</v>
      </c>
      <c r="O178">
        <f t="shared" si="18"/>
        <v>1.43E-2</v>
      </c>
      <c r="P178">
        <f t="shared" si="19"/>
        <v>-8.3999999999999995E-3</v>
      </c>
    </row>
    <row r="179" spans="1:16">
      <c r="A179" s="230" t="s">
        <v>824</v>
      </c>
      <c r="B179" s="147">
        <v>-3.8899999999999997E-2</v>
      </c>
      <c r="C179" s="147">
        <v>1.4800000000000001E-2</v>
      </c>
      <c r="D179" s="147">
        <v>1.7500000000000002E-2</v>
      </c>
      <c r="E179" s="147">
        <v>-2E-3</v>
      </c>
      <c r="F179" s="147">
        <v>-3.0000000000000001E-3</v>
      </c>
      <c r="G179" s="147">
        <v>-4.8300000000000003E-2</v>
      </c>
      <c r="I179" s="27">
        <f t="shared" si="14"/>
        <v>-4.7420086102872003E-2</v>
      </c>
      <c r="J179">
        <f t="shared" si="20"/>
        <v>-5.1800000000000006E-2</v>
      </c>
      <c r="L179">
        <f t="shared" si="15"/>
        <v>-4.24E-2</v>
      </c>
      <c r="M179">
        <f t="shared" si="16"/>
        <v>1.4800000000000001E-2</v>
      </c>
      <c r="N179">
        <f t="shared" si="17"/>
        <v>1.7500000000000002E-2</v>
      </c>
      <c r="O179">
        <f t="shared" si="18"/>
        <v>-2E-3</v>
      </c>
      <c r="P179">
        <f t="shared" si="19"/>
        <v>-3.0000000000000001E-3</v>
      </c>
    </row>
    <row r="180" spans="1:16">
      <c r="A180" s="230" t="s">
        <v>825</v>
      </c>
      <c r="B180" s="147">
        <v>4.4999999999999998E-2</v>
      </c>
      <c r="C180" s="147">
        <v>3.6400000000000002E-2</v>
      </c>
      <c r="D180" s="147">
        <v>2.6000000000000003E-3</v>
      </c>
      <c r="E180" s="147">
        <v>-1.3000000000000002E-3</v>
      </c>
      <c r="F180" s="147">
        <v>7.3000000000000001E-3</v>
      </c>
      <c r="G180" s="147">
        <v>8.5800000000000001E-2</v>
      </c>
      <c r="I180" s="27">
        <f t="shared" si="14"/>
        <v>8.0629825154755794E-2</v>
      </c>
      <c r="J180">
        <f t="shared" si="20"/>
        <v>8.2299999999999998E-2</v>
      </c>
      <c r="L180">
        <f t="shared" si="15"/>
        <v>4.1499999999999995E-2</v>
      </c>
      <c r="M180">
        <f t="shared" si="16"/>
        <v>3.6400000000000002E-2</v>
      </c>
      <c r="N180">
        <f t="shared" si="17"/>
        <v>2.6000000000000003E-3</v>
      </c>
      <c r="O180">
        <f t="shared" si="18"/>
        <v>-1.3000000000000002E-3</v>
      </c>
      <c r="P180">
        <f t="shared" si="19"/>
        <v>7.3000000000000001E-3</v>
      </c>
    </row>
    <row r="181" spans="1:16">
      <c r="A181" s="230" t="s">
        <v>826</v>
      </c>
      <c r="B181" s="147">
        <v>7.6E-3</v>
      </c>
      <c r="C181" s="147">
        <v>1.5900000000000001E-2</v>
      </c>
      <c r="D181" s="147">
        <v>-2.8999999999999998E-3</v>
      </c>
      <c r="E181" s="147">
        <v>9.1999999999999998E-3</v>
      </c>
      <c r="F181" s="147">
        <v>-6.8999999999999999E-3</v>
      </c>
      <c r="G181" s="147">
        <v>2.01E-2</v>
      </c>
      <c r="I181" s="27">
        <f t="shared" si="14"/>
        <v>1.4711798599893796E-2</v>
      </c>
      <c r="J181">
        <f t="shared" si="20"/>
        <v>1.66E-2</v>
      </c>
      <c r="L181">
        <f t="shared" si="15"/>
        <v>4.0999999999999995E-3</v>
      </c>
      <c r="M181">
        <f t="shared" si="16"/>
        <v>1.5900000000000001E-2</v>
      </c>
      <c r="N181">
        <f t="shared" si="17"/>
        <v>-2.8999999999999998E-3</v>
      </c>
      <c r="O181">
        <f t="shared" si="18"/>
        <v>9.1999999999999998E-3</v>
      </c>
      <c r="P181">
        <f t="shared" si="19"/>
        <v>-6.8999999999999999E-3</v>
      </c>
    </row>
    <row r="182" spans="1:16">
      <c r="A182" s="230" t="s">
        <v>827</v>
      </c>
      <c r="B182" s="147">
        <v>-5.5199999999999999E-2</v>
      </c>
      <c r="C182" s="147">
        <v>2.7200000000000002E-2</v>
      </c>
      <c r="D182" s="147">
        <v>3.3599999999999998E-2</v>
      </c>
      <c r="E182" s="147">
        <v>-1.72E-2</v>
      </c>
      <c r="F182" s="147">
        <v>1.52E-2</v>
      </c>
      <c r="G182" s="147">
        <v>-3.5200000000000002E-2</v>
      </c>
      <c r="I182" s="27">
        <f t="shared" si="14"/>
        <v>-4.1331971980528619E-2</v>
      </c>
      <c r="J182">
        <f t="shared" si="20"/>
        <v>-3.8700000000000005E-2</v>
      </c>
      <c r="L182">
        <f t="shared" si="15"/>
        <v>-5.8700000000000002E-2</v>
      </c>
      <c r="M182">
        <f t="shared" si="16"/>
        <v>2.7200000000000002E-2</v>
      </c>
      <c r="N182">
        <f t="shared" si="17"/>
        <v>3.3599999999999998E-2</v>
      </c>
      <c r="O182">
        <f t="shared" si="18"/>
        <v>-1.72E-2</v>
      </c>
      <c r="P182">
        <f t="shared" si="19"/>
        <v>1.52E-2</v>
      </c>
    </row>
    <row r="183" spans="1:16">
      <c r="A183" s="230" t="s">
        <v>828</v>
      </c>
      <c r="B183" s="147">
        <v>-9.1999999999999998E-3</v>
      </c>
      <c r="C183" s="147">
        <v>3.7000000000000005E-2</v>
      </c>
      <c r="D183" s="147">
        <v>8.3000000000000001E-3</v>
      </c>
      <c r="E183" s="147">
        <v>3.0000000000000001E-3</v>
      </c>
      <c r="F183" s="147">
        <v>1.01E-2</v>
      </c>
      <c r="G183" s="147">
        <v>1.52E-2</v>
      </c>
      <c r="I183" s="27">
        <f t="shared" si="14"/>
        <v>4.0397899298911924E-2</v>
      </c>
      <c r="J183">
        <f t="shared" si="20"/>
        <v>1.17E-2</v>
      </c>
      <c r="L183">
        <f t="shared" si="15"/>
        <v>-1.2699999999999999E-2</v>
      </c>
      <c r="M183">
        <f t="shared" si="16"/>
        <v>3.7000000000000005E-2</v>
      </c>
      <c r="N183">
        <f t="shared" si="17"/>
        <v>8.3000000000000001E-3</v>
      </c>
      <c r="O183">
        <f t="shared" si="18"/>
        <v>3.0000000000000001E-3</v>
      </c>
      <c r="P183">
        <f t="shared" si="19"/>
        <v>1.01E-2</v>
      </c>
    </row>
    <row r="184" spans="1:16">
      <c r="A184" s="230" t="s">
        <v>829</v>
      </c>
      <c r="B184" s="147">
        <v>3.3800000000000004E-2</v>
      </c>
      <c r="C184" s="147">
        <v>3.7100000000000001E-2</v>
      </c>
      <c r="D184" s="147">
        <v>1.18E-2</v>
      </c>
      <c r="E184" s="147">
        <v>-5.8999999999999999E-3</v>
      </c>
      <c r="F184" s="147">
        <v>1.89E-2</v>
      </c>
      <c r="G184" s="147">
        <v>6.3299999999999995E-2</v>
      </c>
      <c r="I184" s="27">
        <f t="shared" si="14"/>
        <v>8.8430695215740152E-2</v>
      </c>
      <c r="J184">
        <f t="shared" si="20"/>
        <v>5.9799999999999992E-2</v>
      </c>
      <c r="L184">
        <f t="shared" si="15"/>
        <v>3.0300000000000004E-2</v>
      </c>
      <c r="M184">
        <f t="shared" si="16"/>
        <v>3.7100000000000001E-2</v>
      </c>
      <c r="N184">
        <f t="shared" si="17"/>
        <v>1.18E-2</v>
      </c>
      <c r="O184">
        <f t="shared" si="18"/>
        <v>-5.8999999999999999E-3</v>
      </c>
      <c r="P184">
        <f t="shared" si="19"/>
        <v>1.89E-2</v>
      </c>
    </row>
    <row r="185" spans="1:16">
      <c r="A185" s="230" t="s">
        <v>830</v>
      </c>
      <c r="B185" s="147">
        <v>8.4199999999999997E-2</v>
      </c>
      <c r="C185" s="147">
        <v>-2.6000000000000003E-3</v>
      </c>
      <c r="D185" s="147">
        <v>-3.5400000000000001E-2</v>
      </c>
      <c r="E185" s="147">
        <v>2.81E-2</v>
      </c>
      <c r="F185" s="147">
        <v>-1.26E-2</v>
      </c>
      <c r="G185" s="147">
        <v>9.7100000000000006E-2</v>
      </c>
      <c r="I185" s="27">
        <f t="shared" si="14"/>
        <v>0.10611228268179318</v>
      </c>
      <c r="J185">
        <f t="shared" si="20"/>
        <v>9.3600000000000003E-2</v>
      </c>
      <c r="L185">
        <f t="shared" si="15"/>
        <v>8.0699999999999994E-2</v>
      </c>
      <c r="M185">
        <f t="shared" si="16"/>
        <v>-2.6000000000000003E-3</v>
      </c>
      <c r="N185">
        <f t="shared" si="17"/>
        <v>-3.5400000000000001E-2</v>
      </c>
      <c r="O185">
        <f t="shared" si="18"/>
        <v>2.81E-2</v>
      </c>
      <c r="P185">
        <f t="shared" si="19"/>
        <v>-1.26E-2</v>
      </c>
    </row>
    <row r="186" spans="1:16">
      <c r="A186" s="230" t="s">
        <v>831</v>
      </c>
      <c r="B186" s="147">
        <v>2.2700000000000001E-2</v>
      </c>
      <c r="C186" s="147">
        <v>4.58E-2</v>
      </c>
      <c r="D186" s="147">
        <v>-5.2000000000000006E-3</v>
      </c>
      <c r="E186" s="147">
        <v>2.2000000000000001E-3</v>
      </c>
      <c r="F186" s="147">
        <v>4.0999999999999995E-3</v>
      </c>
      <c r="G186" s="147">
        <v>8.7200000000000014E-2</v>
      </c>
      <c r="I186" s="27">
        <f t="shared" si="14"/>
        <v>6.453686571390202E-2</v>
      </c>
      <c r="J186">
        <f t="shared" si="20"/>
        <v>8.3700000000000011E-2</v>
      </c>
      <c r="L186">
        <f t="shared" si="15"/>
        <v>1.9200000000000002E-2</v>
      </c>
      <c r="M186">
        <f t="shared" si="16"/>
        <v>4.58E-2</v>
      </c>
      <c r="N186">
        <f t="shared" si="17"/>
        <v>-5.2000000000000006E-3</v>
      </c>
      <c r="O186">
        <f t="shared" si="18"/>
        <v>2.2000000000000001E-3</v>
      </c>
      <c r="P186">
        <f t="shared" si="19"/>
        <v>4.0999999999999995E-3</v>
      </c>
    </row>
    <row r="187" spans="1:16">
      <c r="A187" s="230" t="s">
        <v>832</v>
      </c>
      <c r="B187" s="147">
        <v>-1.1499999999999998E-2</v>
      </c>
      <c r="C187" s="147">
        <v>1.5600000000000001E-2</v>
      </c>
      <c r="D187" s="147">
        <v>5.6999999999999993E-3</v>
      </c>
      <c r="E187" s="147">
        <v>-1.3999999999999999E-2</v>
      </c>
      <c r="F187" s="147">
        <v>-7.000000000000001E-4</v>
      </c>
      <c r="G187" s="147">
        <v>2.23E-2</v>
      </c>
      <c r="I187" s="27">
        <f t="shared" si="14"/>
        <v>-3.3109625102883754E-2</v>
      </c>
      <c r="J187">
        <f t="shared" si="20"/>
        <v>1.8800000000000001E-2</v>
      </c>
      <c r="L187">
        <f t="shared" si="15"/>
        <v>-1.4999999999999998E-2</v>
      </c>
      <c r="M187">
        <f t="shared" si="16"/>
        <v>1.5600000000000001E-2</v>
      </c>
      <c r="N187">
        <f t="shared" si="17"/>
        <v>5.6999999999999993E-3</v>
      </c>
      <c r="O187">
        <f t="shared" si="18"/>
        <v>-1.3999999999999999E-2</v>
      </c>
      <c r="P187">
        <f t="shared" si="19"/>
        <v>-7.000000000000001E-4</v>
      </c>
    </row>
    <row r="188" spans="1:16">
      <c r="A188" s="230" t="s">
        <v>833</v>
      </c>
      <c r="B188" s="147">
        <v>5.6700000000000007E-2</v>
      </c>
      <c r="C188" s="147">
        <v>1.1999999999999999E-3</v>
      </c>
      <c r="D188" s="147">
        <v>-1.15E-2</v>
      </c>
      <c r="E188" s="147">
        <v>1.5500000000000002E-2</v>
      </c>
      <c r="F188" s="147">
        <v>-7.8000000000000005E-3</v>
      </c>
      <c r="G188" s="147">
        <v>9.7899999999999987E-2</v>
      </c>
      <c r="I188" s="27">
        <f t="shared" si="14"/>
        <v>6.5160303024438232E-2</v>
      </c>
      <c r="J188">
        <f t="shared" si="20"/>
        <v>9.4399999999999984E-2</v>
      </c>
      <c r="L188">
        <f t="shared" si="15"/>
        <v>5.3200000000000004E-2</v>
      </c>
      <c r="M188">
        <f t="shared" si="16"/>
        <v>1.1999999999999999E-3</v>
      </c>
      <c r="N188">
        <f t="shared" si="17"/>
        <v>-1.15E-2</v>
      </c>
      <c r="O188">
        <f t="shared" si="18"/>
        <v>1.5500000000000002E-2</v>
      </c>
      <c r="P188">
        <f t="shared" si="19"/>
        <v>-7.8000000000000005E-3</v>
      </c>
    </row>
    <row r="189" spans="1:16">
      <c r="A189" s="230" t="s">
        <v>834</v>
      </c>
      <c r="B189" s="147">
        <v>4.3099999999999999E-2</v>
      </c>
      <c r="C189" s="147">
        <v>4.9500000000000002E-2</v>
      </c>
      <c r="D189" s="147">
        <v>-5.1000000000000004E-3</v>
      </c>
      <c r="E189" s="147">
        <v>1.43E-2</v>
      </c>
      <c r="F189" s="147">
        <v>4.5999999999999999E-3</v>
      </c>
      <c r="G189" s="147">
        <v>0.1061</v>
      </c>
      <c r="I189" s="27">
        <f t="shared" si="14"/>
        <v>0.11056055615322601</v>
      </c>
      <c r="J189">
        <f t="shared" si="20"/>
        <v>0.1026</v>
      </c>
      <c r="L189">
        <f t="shared" si="15"/>
        <v>3.9599999999999996E-2</v>
      </c>
      <c r="M189">
        <f t="shared" si="16"/>
        <v>4.9500000000000002E-2</v>
      </c>
      <c r="N189">
        <f t="shared" si="17"/>
        <v>-5.1000000000000004E-3</v>
      </c>
      <c r="O189">
        <f t="shared" si="18"/>
        <v>1.43E-2</v>
      </c>
      <c r="P189">
        <f t="shared" si="19"/>
        <v>4.5999999999999999E-3</v>
      </c>
    </row>
    <row r="190" spans="1:16">
      <c r="A190" s="230" t="s">
        <v>835</v>
      </c>
      <c r="B190" s="147">
        <v>-8.0999999999999996E-3</v>
      </c>
      <c r="C190" s="147">
        <v>-3.2000000000000002E-3</v>
      </c>
      <c r="D190" s="147">
        <v>1.89E-2</v>
      </c>
      <c r="E190" s="147">
        <v>-6.7000000000000002E-3</v>
      </c>
      <c r="F190" s="147">
        <v>1.78E-2</v>
      </c>
      <c r="G190" s="147">
        <v>-4.6100000000000002E-2</v>
      </c>
      <c r="I190" s="27">
        <f t="shared" si="14"/>
        <v>1.440296934803963E-2</v>
      </c>
      <c r="J190">
        <f t="shared" si="20"/>
        <v>-4.9600000000000005E-2</v>
      </c>
      <c r="L190">
        <f t="shared" si="15"/>
        <v>-1.1599999999999999E-2</v>
      </c>
      <c r="M190">
        <f t="shared" si="16"/>
        <v>-3.2000000000000002E-3</v>
      </c>
      <c r="N190">
        <f t="shared" si="17"/>
        <v>1.89E-2</v>
      </c>
      <c r="O190">
        <f t="shared" si="18"/>
        <v>-6.7000000000000002E-3</v>
      </c>
      <c r="P190">
        <f t="shared" si="19"/>
        <v>1.78E-2</v>
      </c>
    </row>
    <row r="191" spans="1:16">
      <c r="A191" s="230" t="s">
        <v>836</v>
      </c>
      <c r="B191" s="147">
        <v>-0.1123</v>
      </c>
      <c r="C191" s="147">
        <v>-0.1002</v>
      </c>
      <c r="D191" s="147">
        <v>1.38E-2</v>
      </c>
      <c r="E191" s="147">
        <v>1.1999999999999999E-3</v>
      </c>
      <c r="F191" s="147">
        <v>9.4000000000000004E-3</v>
      </c>
      <c r="G191" s="147">
        <v>-0.23230000000000001</v>
      </c>
      <c r="I191" s="27">
        <f t="shared" si="14"/>
        <v>-0.15894094284598503</v>
      </c>
      <c r="J191">
        <f t="shared" si="20"/>
        <v>-0.23580000000000001</v>
      </c>
      <c r="L191">
        <f t="shared" si="15"/>
        <v>-0.1158</v>
      </c>
      <c r="M191">
        <f t="shared" si="16"/>
        <v>-0.1002</v>
      </c>
      <c r="N191">
        <f t="shared" si="17"/>
        <v>1.38E-2</v>
      </c>
      <c r="O191">
        <f t="shared" si="18"/>
        <v>1.1999999999999999E-3</v>
      </c>
      <c r="P191">
        <f t="shared" si="19"/>
        <v>9.4000000000000004E-3</v>
      </c>
    </row>
    <row r="192" spans="1:16">
      <c r="A192" s="230" t="s">
        <v>837</v>
      </c>
      <c r="B192" s="147">
        <v>3.4099999999999998E-2</v>
      </c>
      <c r="C192" s="147">
        <v>2.81E-2</v>
      </c>
      <c r="D192" s="147">
        <v>-2.1499999999999998E-2</v>
      </c>
      <c r="E192" s="147">
        <v>1.1299999999999999E-2</v>
      </c>
      <c r="F192" s="147">
        <v>-1.17E-2</v>
      </c>
      <c r="G192" s="147">
        <v>0.1104</v>
      </c>
      <c r="I192" s="27">
        <f t="shared" si="14"/>
        <v>4.4995022474970059E-2</v>
      </c>
      <c r="J192">
        <f t="shared" si="20"/>
        <v>0.1069</v>
      </c>
      <c r="L192">
        <f t="shared" si="15"/>
        <v>3.0599999999999999E-2</v>
      </c>
      <c r="M192">
        <f t="shared" si="16"/>
        <v>2.81E-2</v>
      </c>
      <c r="N192">
        <f t="shared" si="17"/>
        <v>-2.1499999999999998E-2</v>
      </c>
      <c r="O192">
        <f t="shared" si="18"/>
        <v>1.1299999999999999E-2</v>
      </c>
      <c r="P192">
        <f t="shared" si="19"/>
        <v>-1.17E-2</v>
      </c>
    </row>
    <row r="193" spans="1:16">
      <c r="A193" s="230" t="s">
        <v>838</v>
      </c>
      <c r="B193" s="147">
        <v>1.66E-2</v>
      </c>
      <c r="C193" s="147">
        <v>1.1299999999999999E-2</v>
      </c>
      <c r="D193" s="147">
        <v>-2.1299999999999999E-2</v>
      </c>
      <c r="E193" s="147">
        <v>2.01E-2</v>
      </c>
      <c r="F193" s="147">
        <v>-1.3200000000000002E-2</v>
      </c>
      <c r="G193" s="147">
        <v>3.4000000000000002E-2</v>
      </c>
      <c r="I193" s="27">
        <f t="shared" si="14"/>
        <v>2.8677063515975727E-2</v>
      </c>
      <c r="J193">
        <f t="shared" si="20"/>
        <v>3.0500000000000003E-2</v>
      </c>
      <c r="L193">
        <f t="shared" si="15"/>
        <v>1.3100000000000001E-2</v>
      </c>
      <c r="M193">
        <f t="shared" si="16"/>
        <v>1.1299999999999999E-2</v>
      </c>
      <c r="N193">
        <f t="shared" si="17"/>
        <v>-2.1299999999999999E-2</v>
      </c>
      <c r="O193">
        <f t="shared" si="18"/>
        <v>2.01E-2</v>
      </c>
      <c r="P193">
        <f t="shared" si="19"/>
        <v>-1.3200000000000002E-2</v>
      </c>
    </row>
    <row r="194" spans="1:16">
      <c r="A194" s="230" t="s">
        <v>839</v>
      </c>
      <c r="B194" s="147">
        <v>0.05</v>
      </c>
      <c r="C194" s="147">
        <v>3.78E-2</v>
      </c>
      <c r="D194" s="147">
        <v>2.1899999999999999E-2</v>
      </c>
      <c r="E194" s="147">
        <v>-2.4700000000000003E-2</v>
      </c>
      <c r="F194" s="147">
        <v>1.52E-2</v>
      </c>
      <c r="G194" s="147">
        <v>6.4899999999999999E-2</v>
      </c>
      <c r="I194" s="27">
        <f t="shared" si="14"/>
        <v>5.9650577857196962E-2</v>
      </c>
      <c r="J194">
        <f t="shared" si="20"/>
        <v>6.1399999999999996E-2</v>
      </c>
      <c r="L194">
        <f t="shared" si="15"/>
        <v>4.65E-2</v>
      </c>
      <c r="M194">
        <f t="shared" si="16"/>
        <v>3.78E-2</v>
      </c>
      <c r="N194">
        <f t="shared" si="17"/>
        <v>2.1899999999999999E-2</v>
      </c>
      <c r="O194">
        <f t="shared" si="18"/>
        <v>-2.4700000000000003E-2</v>
      </c>
      <c r="P194">
        <f t="shared" si="19"/>
        <v>1.52E-2</v>
      </c>
    </row>
    <row r="195" spans="1:16">
      <c r="A195" s="230" t="s">
        <v>840</v>
      </c>
      <c r="B195" s="147">
        <v>-2.8299999999999999E-2</v>
      </c>
      <c r="C195" s="147">
        <v>5.4000000000000003E-3</v>
      </c>
      <c r="D195" s="147">
        <v>1.17E-2</v>
      </c>
      <c r="E195" s="147">
        <v>-1.1200000000000002E-2</v>
      </c>
      <c r="F195" s="147">
        <v>9.4000000000000004E-3</v>
      </c>
      <c r="G195" s="147">
        <v>-4.1700000000000001E-2</v>
      </c>
      <c r="I195" s="27">
        <f t="shared" si="14"/>
        <v>-2.7685439598845014E-2</v>
      </c>
      <c r="J195">
        <f t="shared" si="20"/>
        <v>-4.5200000000000004E-2</v>
      </c>
      <c r="L195">
        <f t="shared" si="15"/>
        <v>-3.1800000000000002E-2</v>
      </c>
      <c r="M195">
        <f t="shared" si="16"/>
        <v>5.4000000000000003E-3</v>
      </c>
      <c r="N195">
        <f t="shared" si="17"/>
        <v>1.17E-2</v>
      </c>
      <c r="O195">
        <f t="shared" si="18"/>
        <v>-1.1200000000000002E-2</v>
      </c>
      <c r="P195">
        <f t="shared" si="19"/>
        <v>9.4000000000000004E-3</v>
      </c>
    </row>
    <row r="196" spans="1:16">
      <c r="A196" s="230" t="s">
        <v>841</v>
      </c>
      <c r="B196" s="147">
        <v>6.4899999999999999E-2</v>
      </c>
      <c r="C196" s="147">
        <v>3.2400000000000005E-2</v>
      </c>
      <c r="D196" s="147">
        <v>-7.0999999999999995E-3</v>
      </c>
      <c r="E196" s="147">
        <v>5.3E-3</v>
      </c>
      <c r="F196" s="147">
        <v>3.2000000000000002E-3</v>
      </c>
      <c r="G196" s="147">
        <v>0.10300000000000001</v>
      </c>
      <c r="I196" s="27">
        <f t="shared" si="14"/>
        <v>0.10172913397572035</v>
      </c>
      <c r="J196">
        <f t="shared" si="20"/>
        <v>9.9500000000000005E-2</v>
      </c>
      <c r="L196">
        <f t="shared" si="15"/>
        <v>6.1399999999999996E-2</v>
      </c>
      <c r="M196">
        <f t="shared" si="16"/>
        <v>3.2400000000000005E-2</v>
      </c>
      <c r="N196">
        <f t="shared" si="17"/>
        <v>-7.0999999999999995E-3</v>
      </c>
      <c r="O196">
        <f t="shared" si="18"/>
        <v>5.3E-3</v>
      </c>
      <c r="P196">
        <f t="shared" si="19"/>
        <v>3.2000000000000002E-3</v>
      </c>
    </row>
    <row r="197" spans="1:16">
      <c r="A197" s="230" t="s">
        <v>842</v>
      </c>
      <c r="B197" s="147">
        <v>7.4000000000000003E-3</v>
      </c>
      <c r="C197" s="147">
        <v>2.3700000000000002E-2</v>
      </c>
      <c r="D197" s="147">
        <v>1.1200000000000002E-2</v>
      </c>
      <c r="E197" s="147">
        <v>1.0800000000000001E-2</v>
      </c>
      <c r="F197" s="147">
        <v>1.7000000000000001E-3</v>
      </c>
      <c r="G197" s="147">
        <v>1.5900000000000001E-2</v>
      </c>
      <c r="I197" s="27">
        <f t="shared" si="14"/>
        <v>4.0958213313113112E-2</v>
      </c>
      <c r="J197">
        <f t="shared" si="20"/>
        <v>1.2400000000000001E-2</v>
      </c>
      <c r="L197">
        <f t="shared" si="15"/>
        <v>3.9000000000000003E-3</v>
      </c>
      <c r="M197">
        <f t="shared" si="16"/>
        <v>2.3700000000000002E-2</v>
      </c>
      <c r="N197">
        <f t="shared" si="17"/>
        <v>1.1200000000000002E-2</v>
      </c>
      <c r="O197">
        <f t="shared" si="18"/>
        <v>1.0800000000000001E-2</v>
      </c>
      <c r="P197">
        <f t="shared" si="19"/>
        <v>1.7000000000000001E-3</v>
      </c>
    </row>
    <row r="198" spans="1:16">
      <c r="A198" s="230" t="s">
        <v>843</v>
      </c>
      <c r="B198" s="147">
        <v>-1.3900000000000003E-2</v>
      </c>
      <c r="C198" s="147">
        <v>1.8E-3</v>
      </c>
      <c r="D198" s="147">
        <v>1.3100000000000001E-2</v>
      </c>
      <c r="E198" s="147">
        <v>-1.54E-2</v>
      </c>
      <c r="F198" s="147">
        <v>-2.7000000000000001E-3</v>
      </c>
      <c r="G198" s="147">
        <v>-1.3700000000000002E-2</v>
      </c>
      <c r="I198" s="27">
        <f t="shared" si="14"/>
        <v>-5.3625804395923168E-2</v>
      </c>
      <c r="J198">
        <f t="shared" si="20"/>
        <v>-1.7200000000000003E-2</v>
      </c>
      <c r="L198">
        <f t="shared" si="15"/>
        <v>-1.7400000000000002E-2</v>
      </c>
      <c r="M198">
        <f t="shared" si="16"/>
        <v>1.8E-3</v>
      </c>
      <c r="N198">
        <f t="shared" si="17"/>
        <v>1.3100000000000001E-2</v>
      </c>
      <c r="O198">
        <f t="shared" si="18"/>
        <v>-1.54E-2</v>
      </c>
      <c r="P198">
        <f t="shared" si="19"/>
        <v>-2.7000000000000001E-3</v>
      </c>
    </row>
    <row r="199" spans="1:16">
      <c r="A199" s="230" t="s">
        <v>844</v>
      </c>
      <c r="B199" s="147">
        <v>4.6600000000000003E-2</v>
      </c>
      <c r="C199" s="147">
        <v>0.01</v>
      </c>
      <c r="D199" s="147">
        <v>1.44E-2</v>
      </c>
      <c r="E199" s="147">
        <v>-1.66E-2</v>
      </c>
      <c r="F199" s="147">
        <v>-5.2000000000000006E-3</v>
      </c>
      <c r="G199" s="147">
        <v>6.5799999999999997E-2</v>
      </c>
      <c r="I199" s="27">
        <f t="shared" si="14"/>
        <v>3.5974238017815632E-3</v>
      </c>
      <c r="J199">
        <f t="shared" si="20"/>
        <v>6.2299999999999994E-2</v>
      </c>
      <c r="L199">
        <f t="shared" si="15"/>
        <v>4.3099999999999999E-2</v>
      </c>
      <c r="M199">
        <f t="shared" si="16"/>
        <v>0.01</v>
      </c>
      <c r="N199">
        <f t="shared" si="17"/>
        <v>1.44E-2</v>
      </c>
      <c r="O199">
        <f t="shared" si="18"/>
        <v>-1.66E-2</v>
      </c>
      <c r="P199">
        <f t="shared" si="19"/>
        <v>-5.2000000000000006E-3</v>
      </c>
    </row>
    <row r="200" spans="1:16">
      <c r="A200" s="230" t="s">
        <v>845</v>
      </c>
      <c r="B200" s="147">
        <v>1.5899999999999997E-2</v>
      </c>
      <c r="C200" s="147">
        <v>1.2700000000000001E-2</v>
      </c>
      <c r="D200" s="147">
        <v>1.8600000000000002E-2</v>
      </c>
      <c r="E200" s="147">
        <v>-2.8999999999999998E-3</v>
      </c>
      <c r="F200" s="147">
        <v>7.0999999999999995E-3</v>
      </c>
      <c r="G200" s="147">
        <v>1.95E-2</v>
      </c>
      <c r="I200" s="27">
        <f t="shared" ref="I200:I263" si="21">SUMPRODUCT(B200:F200,$B$4:$F$4)-0.0035</f>
        <v>2.9226278416746024E-2</v>
      </c>
      <c r="J200">
        <f t="shared" si="20"/>
        <v>1.6E-2</v>
      </c>
      <c r="L200">
        <f t="shared" ref="L200:L263" si="22">B200-0.0035</f>
        <v>1.2399999999999998E-2</v>
      </c>
      <c r="M200">
        <f t="shared" ref="M200:M263" si="23">C200</f>
        <v>1.2700000000000001E-2</v>
      </c>
      <c r="N200">
        <f t="shared" ref="N200:N263" si="24">D200</f>
        <v>1.8600000000000002E-2</v>
      </c>
      <c r="O200">
        <f t="shared" ref="O200:O263" si="25">E200</f>
        <v>-2.8999999999999998E-3</v>
      </c>
      <c r="P200">
        <f t="shared" ref="P200:P263" si="26">F200</f>
        <v>7.0999999999999995E-3</v>
      </c>
    </row>
    <row r="201" spans="1:16">
      <c r="A201" s="230" t="s">
        <v>846</v>
      </c>
      <c r="B201" s="147">
        <v>6.3E-2</v>
      </c>
      <c r="C201" s="147">
        <v>1.9199999999999998E-2</v>
      </c>
      <c r="D201" s="147">
        <v>-1.5800000000000002E-2</v>
      </c>
      <c r="E201" s="147">
        <v>1.6200000000000003E-2</v>
      </c>
      <c r="F201" s="147">
        <v>-1.4800000000000001E-2</v>
      </c>
      <c r="G201" s="147">
        <v>7.2999999999999995E-2</v>
      </c>
      <c r="I201" s="27">
        <f t="shared" si="21"/>
        <v>6.8059082396495926E-2</v>
      </c>
      <c r="J201">
        <f t="shared" ref="J201:J264" si="27">G201-0.0035</f>
        <v>6.9499999999999992E-2</v>
      </c>
      <c r="L201">
        <f t="shared" si="22"/>
        <v>5.9499999999999997E-2</v>
      </c>
      <c r="M201">
        <f t="shared" si="23"/>
        <v>1.9199999999999998E-2</v>
      </c>
      <c r="N201">
        <f t="shared" si="24"/>
        <v>-1.5800000000000002E-2</v>
      </c>
      <c r="O201">
        <f t="shared" si="25"/>
        <v>1.6200000000000003E-2</v>
      </c>
      <c r="P201">
        <f t="shared" si="26"/>
        <v>-1.4800000000000001E-2</v>
      </c>
    </row>
    <row r="202" spans="1:16">
      <c r="A202" s="230" t="s">
        <v>847</v>
      </c>
      <c r="B202" s="147">
        <v>1.0000000000000113E-4</v>
      </c>
      <c r="C202" s="147">
        <v>-3.2000000000000002E-3</v>
      </c>
      <c r="D202" s="147">
        <v>-9.0000000000000011E-3</v>
      </c>
      <c r="E202" s="147">
        <v>1.01E-2</v>
      </c>
      <c r="F202" s="147">
        <v>3.2000000000000002E-3</v>
      </c>
      <c r="G202" s="147">
        <v>4.3700000000000003E-2</v>
      </c>
      <c r="I202" s="27">
        <f t="shared" si="21"/>
        <v>2.2668091184928098E-2</v>
      </c>
      <c r="J202">
        <f t="shared" si="27"/>
        <v>4.02E-2</v>
      </c>
      <c r="L202">
        <f t="shared" si="22"/>
        <v>-3.3999999999999989E-3</v>
      </c>
      <c r="M202">
        <f t="shared" si="23"/>
        <v>-3.2000000000000002E-3</v>
      </c>
      <c r="N202">
        <f t="shared" si="24"/>
        <v>-9.0000000000000011E-3</v>
      </c>
      <c r="O202">
        <f t="shared" si="25"/>
        <v>1.01E-2</v>
      </c>
      <c r="P202">
        <f t="shared" si="26"/>
        <v>3.2000000000000002E-3</v>
      </c>
    </row>
    <row r="203" spans="1:16">
      <c r="A203" s="230" t="s">
        <v>848</v>
      </c>
      <c r="B203" s="147">
        <v>-7.2300000000000003E-2</v>
      </c>
      <c r="C203" s="147">
        <v>-3.5000000000000003E-2</v>
      </c>
      <c r="D203" s="147">
        <v>-1.84E-2</v>
      </c>
      <c r="E203" s="147">
        <v>1.01E-2</v>
      </c>
      <c r="F203" s="147">
        <v>7.000000000000001E-4</v>
      </c>
      <c r="G203" s="147">
        <v>-6.4299999999999996E-2</v>
      </c>
      <c r="I203" s="27">
        <f t="shared" si="21"/>
        <v>-7.4859051831061049E-2</v>
      </c>
      <c r="J203">
        <f t="shared" si="27"/>
        <v>-6.7799999999999999E-2</v>
      </c>
      <c r="L203">
        <f t="shared" si="22"/>
        <v>-7.5800000000000006E-2</v>
      </c>
      <c r="M203">
        <f t="shared" si="23"/>
        <v>-3.5000000000000003E-2</v>
      </c>
      <c r="N203">
        <f t="shared" si="24"/>
        <v>-1.84E-2</v>
      </c>
      <c r="O203">
        <f t="shared" si="25"/>
        <v>1.01E-2</v>
      </c>
      <c r="P203">
        <f t="shared" si="26"/>
        <v>7.000000000000001E-4</v>
      </c>
    </row>
    <row r="204" spans="1:16">
      <c r="A204" s="230" t="s">
        <v>849</v>
      </c>
      <c r="B204" s="147">
        <v>6.2E-2</v>
      </c>
      <c r="C204" s="147">
        <v>2.53E-2</v>
      </c>
      <c r="D204" s="147">
        <v>-3.2899999999999999E-2</v>
      </c>
      <c r="E204" s="147">
        <v>5.9999999999999995E-4</v>
      </c>
      <c r="F204" s="147">
        <v>-2.12E-2</v>
      </c>
      <c r="G204" s="147">
        <v>0.1229</v>
      </c>
      <c r="I204" s="27">
        <f t="shared" si="21"/>
        <v>3.0406910508421304E-2</v>
      </c>
      <c r="J204">
        <f t="shared" si="27"/>
        <v>0.11939999999999999</v>
      </c>
      <c r="L204">
        <f t="shared" si="22"/>
        <v>5.8499999999999996E-2</v>
      </c>
      <c r="M204">
        <f t="shared" si="23"/>
        <v>2.53E-2</v>
      </c>
      <c r="N204">
        <f t="shared" si="24"/>
        <v>-3.2899999999999999E-2</v>
      </c>
      <c r="O204">
        <f t="shared" si="25"/>
        <v>5.9999999999999995E-4</v>
      </c>
      <c r="P204">
        <f t="shared" si="26"/>
        <v>-2.12E-2</v>
      </c>
    </row>
    <row r="205" spans="1:16">
      <c r="A205" s="230" t="s">
        <v>850</v>
      </c>
      <c r="B205" s="147">
        <v>2.7400000000000001E-2</v>
      </c>
      <c r="C205" s="147">
        <v>4.3200000000000002E-2</v>
      </c>
      <c r="D205" s="147">
        <v>-2.1000000000000001E-2</v>
      </c>
      <c r="E205" s="147">
        <v>-6.9999999999999993E-3</v>
      </c>
      <c r="F205" s="147">
        <v>-9.1999999999999998E-3</v>
      </c>
      <c r="G205" s="147">
        <v>8.6099999999999996E-2</v>
      </c>
      <c r="I205" s="27">
        <f t="shared" si="21"/>
        <v>2.1083071736377981E-2</v>
      </c>
      <c r="J205">
        <f t="shared" si="27"/>
        <v>8.2599999999999993E-2</v>
      </c>
      <c r="L205">
        <f t="shared" si="22"/>
        <v>2.3900000000000001E-2</v>
      </c>
      <c r="M205">
        <f t="shared" si="23"/>
        <v>4.3200000000000002E-2</v>
      </c>
      <c r="N205">
        <f t="shared" si="24"/>
        <v>-2.1000000000000001E-2</v>
      </c>
      <c r="O205">
        <f t="shared" si="25"/>
        <v>-6.9999999999999993E-3</v>
      </c>
      <c r="P205">
        <f t="shared" si="26"/>
        <v>-9.1999999999999998E-3</v>
      </c>
    </row>
    <row r="206" spans="1:16">
      <c r="A206" s="230" t="s">
        <v>851</v>
      </c>
      <c r="B206" s="147">
        <v>6.3099999999999989E-2</v>
      </c>
      <c r="C206" s="147">
        <v>1.83E-2</v>
      </c>
      <c r="D206" s="147">
        <v>1.7500000000000002E-2</v>
      </c>
      <c r="E206" s="147">
        <v>-1.7000000000000001E-2</v>
      </c>
      <c r="F206" s="147">
        <v>1.6399999999999998E-2</v>
      </c>
      <c r="G206" s="147">
        <v>0.1298</v>
      </c>
      <c r="I206" s="27">
        <f t="shared" si="21"/>
        <v>7.7829603490627675E-2</v>
      </c>
      <c r="J206">
        <f t="shared" si="27"/>
        <v>0.1263</v>
      </c>
      <c r="L206">
        <f t="shared" si="22"/>
        <v>5.9599999999999986E-2</v>
      </c>
      <c r="M206">
        <f t="shared" si="23"/>
        <v>1.83E-2</v>
      </c>
      <c r="N206">
        <f t="shared" si="24"/>
        <v>1.7500000000000002E-2</v>
      </c>
      <c r="O206">
        <f t="shared" si="25"/>
        <v>-1.7000000000000001E-2</v>
      </c>
      <c r="P206">
        <f t="shared" si="26"/>
        <v>1.6399999999999998E-2</v>
      </c>
    </row>
    <row r="207" spans="1:16">
      <c r="A207" s="230" t="s">
        <v>852</v>
      </c>
      <c r="B207" s="147">
        <v>-3.3000000000000008E-3</v>
      </c>
      <c r="C207" s="147">
        <v>-1.5700000000000002E-2</v>
      </c>
      <c r="D207" s="147">
        <v>6.1000000000000004E-3</v>
      </c>
      <c r="E207" s="147">
        <v>4.0000000000000002E-4</v>
      </c>
      <c r="F207" s="147">
        <v>2.6800000000000001E-2</v>
      </c>
      <c r="G207" s="147">
        <v>5.0700000000000002E-2</v>
      </c>
      <c r="I207" s="27">
        <f t="shared" si="21"/>
        <v>4.8917904318758754E-2</v>
      </c>
      <c r="J207">
        <f t="shared" si="27"/>
        <v>4.7199999999999999E-2</v>
      </c>
      <c r="L207">
        <f t="shared" si="22"/>
        <v>-6.8000000000000005E-3</v>
      </c>
      <c r="M207">
        <f t="shared" si="23"/>
        <v>-1.5700000000000002E-2</v>
      </c>
      <c r="N207">
        <f t="shared" si="24"/>
        <v>6.1000000000000004E-3</v>
      </c>
      <c r="O207">
        <f t="shared" si="25"/>
        <v>4.0000000000000002E-4</v>
      </c>
      <c r="P207">
        <f t="shared" si="26"/>
        <v>2.6800000000000001E-2</v>
      </c>
    </row>
    <row r="208" spans="1:16">
      <c r="A208" s="230" t="s">
        <v>853</v>
      </c>
      <c r="B208" s="147">
        <v>-0.1169</v>
      </c>
      <c r="C208" s="147">
        <v>-6.93E-2</v>
      </c>
      <c r="D208" s="147">
        <v>-1.01E-2</v>
      </c>
      <c r="E208" s="147">
        <v>1.46E-2</v>
      </c>
      <c r="F208" s="147">
        <v>-1.1899999999999999E-2</v>
      </c>
      <c r="G208" s="147">
        <v>-0.21239999999999998</v>
      </c>
      <c r="I208" s="27">
        <f t="shared" si="21"/>
        <v>-0.16684008980831044</v>
      </c>
      <c r="J208">
        <f t="shared" si="27"/>
        <v>-0.21589999999999998</v>
      </c>
      <c r="L208">
        <f t="shared" si="22"/>
        <v>-0.12040000000000001</v>
      </c>
      <c r="M208">
        <f t="shared" si="23"/>
        <v>-6.93E-2</v>
      </c>
      <c r="N208">
        <f t="shared" si="24"/>
        <v>-1.01E-2</v>
      </c>
      <c r="O208">
        <f t="shared" si="25"/>
        <v>1.46E-2</v>
      </c>
      <c r="P208">
        <f t="shared" si="26"/>
        <v>-1.1899999999999999E-2</v>
      </c>
    </row>
    <row r="209" spans="1:16">
      <c r="A209" s="230" t="s">
        <v>854</v>
      </c>
      <c r="B209" s="147">
        <v>5.2300000000000006E-2</v>
      </c>
      <c r="C209" s="147">
        <v>1.0500000000000001E-2</v>
      </c>
      <c r="D209" s="147">
        <v>1.06E-2</v>
      </c>
      <c r="E209" s="147">
        <v>-2.1000000000000001E-2</v>
      </c>
      <c r="F209" s="147">
        <v>2.8999999999999998E-3</v>
      </c>
      <c r="G209" s="147">
        <v>6.88E-2</v>
      </c>
      <c r="I209" s="27">
        <f t="shared" si="21"/>
        <v>2.2549801824260005E-2</v>
      </c>
      <c r="J209">
        <f t="shared" si="27"/>
        <v>6.5299999999999997E-2</v>
      </c>
      <c r="L209">
        <f t="shared" si="22"/>
        <v>4.8800000000000003E-2</v>
      </c>
      <c r="M209">
        <f t="shared" si="23"/>
        <v>1.0500000000000001E-2</v>
      </c>
      <c r="N209">
        <f t="shared" si="24"/>
        <v>1.06E-2</v>
      </c>
      <c r="O209">
        <f t="shared" si="25"/>
        <v>-2.1000000000000001E-2</v>
      </c>
      <c r="P209">
        <f t="shared" si="26"/>
        <v>2.8999999999999998E-3</v>
      </c>
    </row>
    <row r="210" spans="1:16">
      <c r="A210" s="230" t="s">
        <v>855</v>
      </c>
      <c r="B210" s="147">
        <v>6.0700000000000004E-2</v>
      </c>
      <c r="C210" s="147">
        <v>2.1100000000000001E-2</v>
      </c>
      <c r="D210" s="147">
        <v>3.8E-3</v>
      </c>
      <c r="E210" s="147">
        <v>3.4000000000000002E-3</v>
      </c>
      <c r="F210" s="147">
        <v>-3.0999999999999999E-3</v>
      </c>
      <c r="G210" s="147">
        <v>3.95E-2</v>
      </c>
      <c r="I210" s="27">
        <f t="shared" si="21"/>
        <v>6.8734222590249944E-2</v>
      </c>
      <c r="J210">
        <f t="shared" si="27"/>
        <v>3.5999999999999997E-2</v>
      </c>
      <c r="L210">
        <f t="shared" si="22"/>
        <v>5.7200000000000001E-2</v>
      </c>
      <c r="M210">
        <f t="shared" si="23"/>
        <v>2.1100000000000001E-2</v>
      </c>
      <c r="N210">
        <f t="shared" si="24"/>
        <v>3.8E-3</v>
      </c>
      <c r="O210">
        <f t="shared" si="25"/>
        <v>3.4000000000000002E-3</v>
      </c>
      <c r="P210">
        <f t="shared" si="26"/>
        <v>-3.0999999999999999E-3</v>
      </c>
    </row>
    <row r="211" spans="1:16">
      <c r="A211" s="230" t="s">
        <v>856</v>
      </c>
      <c r="B211" s="147">
        <v>3.6700000000000003E-2</v>
      </c>
      <c r="C211" s="147">
        <v>1.41E-2</v>
      </c>
      <c r="D211" s="147">
        <v>-7.6E-3</v>
      </c>
      <c r="E211" s="147">
        <v>-1.5E-3</v>
      </c>
      <c r="F211" s="147">
        <v>-1.26E-2</v>
      </c>
      <c r="G211" s="147">
        <v>6.2899999999999998E-2</v>
      </c>
      <c r="I211" s="27">
        <f t="shared" si="21"/>
        <v>1.0021061616164759E-2</v>
      </c>
      <c r="J211">
        <f t="shared" si="27"/>
        <v>5.9399999999999994E-2</v>
      </c>
      <c r="L211">
        <f t="shared" si="22"/>
        <v>3.32E-2</v>
      </c>
      <c r="M211">
        <f t="shared" si="23"/>
        <v>1.41E-2</v>
      </c>
      <c r="N211">
        <f t="shared" si="24"/>
        <v>-7.6E-3</v>
      </c>
      <c r="O211">
        <f t="shared" si="25"/>
        <v>-1.5E-3</v>
      </c>
      <c r="P211">
        <f t="shared" si="26"/>
        <v>-1.26E-2</v>
      </c>
    </row>
    <row r="212" spans="1:16">
      <c r="A212" s="230" t="s">
        <v>857</v>
      </c>
      <c r="B212" s="147">
        <v>7.0199999999999999E-2</v>
      </c>
      <c r="C212" s="147">
        <v>3.8199999999999998E-2</v>
      </c>
      <c r="D212" s="147">
        <v>-6.4100000000000004E-2</v>
      </c>
      <c r="E212" s="147">
        <v>4.0599999999999997E-2</v>
      </c>
      <c r="F212" s="147">
        <v>-2.4300000000000002E-2</v>
      </c>
      <c r="G212" s="147">
        <v>6.3399999999999998E-2</v>
      </c>
      <c r="I212" s="27">
        <f t="shared" si="21"/>
        <v>0.11852814171275854</v>
      </c>
      <c r="J212">
        <f t="shared" si="27"/>
        <v>5.9899999999999995E-2</v>
      </c>
      <c r="L212">
        <f t="shared" si="22"/>
        <v>6.6699999999999995E-2</v>
      </c>
      <c r="M212">
        <f t="shared" si="23"/>
        <v>3.8199999999999998E-2</v>
      </c>
      <c r="N212">
        <f t="shared" si="24"/>
        <v>-6.4100000000000004E-2</v>
      </c>
      <c r="O212">
        <f t="shared" si="25"/>
        <v>4.0599999999999997E-2</v>
      </c>
      <c r="P212">
        <f t="shared" si="26"/>
        <v>-2.4300000000000002E-2</v>
      </c>
    </row>
    <row r="213" spans="1:16">
      <c r="A213" s="230" t="s">
        <v>858</v>
      </c>
      <c r="B213" s="147">
        <v>2.4400000000000002E-2</v>
      </c>
      <c r="C213" s="147">
        <v>4.2500000000000003E-2</v>
      </c>
      <c r="D213" s="147">
        <v>-2.6000000000000002E-2</v>
      </c>
      <c r="E213" s="147">
        <v>2.06E-2</v>
      </c>
      <c r="F213" s="147">
        <v>-8.6E-3</v>
      </c>
      <c r="G213" s="147">
        <v>5.1200000000000002E-2</v>
      </c>
      <c r="I213" s="27">
        <f t="shared" si="21"/>
        <v>7.0278349222775496E-2</v>
      </c>
      <c r="J213">
        <f t="shared" si="27"/>
        <v>4.7699999999999999E-2</v>
      </c>
      <c r="L213">
        <f t="shared" si="22"/>
        <v>2.0900000000000002E-2</v>
      </c>
      <c r="M213">
        <f t="shared" si="23"/>
        <v>4.2500000000000003E-2</v>
      </c>
      <c r="N213">
        <f t="shared" si="24"/>
        <v>-2.6000000000000002E-2</v>
      </c>
      <c r="O213">
        <f t="shared" si="25"/>
        <v>2.06E-2</v>
      </c>
      <c r="P213">
        <f t="shared" si="26"/>
        <v>-8.6E-3</v>
      </c>
    </row>
    <row r="214" spans="1:16">
      <c r="A214" s="230" t="s">
        <v>859</v>
      </c>
      <c r="B214" s="147">
        <v>2.9399999999999999E-2</v>
      </c>
      <c r="C214" s="147">
        <v>6.7000000000000002E-3</v>
      </c>
      <c r="D214" s="147">
        <v>-4.5899999999999996E-2</v>
      </c>
      <c r="E214" s="147">
        <v>1.9099999999999999E-2</v>
      </c>
      <c r="F214" s="147">
        <v>-2.76E-2</v>
      </c>
      <c r="G214" s="147">
        <v>8.320000000000001E-2</v>
      </c>
      <c r="I214" s="27">
        <f t="shared" si="21"/>
        <v>6.0056359568514441E-3</v>
      </c>
      <c r="J214">
        <f t="shared" si="27"/>
        <v>7.9700000000000007E-2</v>
      </c>
      <c r="L214">
        <f t="shared" si="22"/>
        <v>2.5899999999999999E-2</v>
      </c>
      <c r="M214">
        <f t="shared" si="23"/>
        <v>6.7000000000000002E-3</v>
      </c>
      <c r="N214">
        <f t="shared" si="24"/>
        <v>-4.5899999999999996E-2</v>
      </c>
      <c r="O214">
        <f t="shared" si="25"/>
        <v>1.9099999999999999E-2</v>
      </c>
      <c r="P214">
        <f t="shared" si="26"/>
        <v>-2.76E-2</v>
      </c>
    </row>
    <row r="215" spans="1:16">
      <c r="A215" s="230" t="s">
        <v>860</v>
      </c>
      <c r="B215" s="147">
        <v>2.01E-2</v>
      </c>
      <c r="C215" s="147">
        <v>2.3300000000000001E-2</v>
      </c>
      <c r="D215" s="147">
        <v>-2.76E-2</v>
      </c>
      <c r="E215" s="147">
        <v>1.6500000000000001E-2</v>
      </c>
      <c r="F215" s="147">
        <v>-1.15E-2</v>
      </c>
      <c r="G215" s="147">
        <v>5.2000000000000005E-2</v>
      </c>
      <c r="I215" s="27">
        <f t="shared" si="21"/>
        <v>3.9056709442617923E-2</v>
      </c>
      <c r="J215">
        <f t="shared" si="27"/>
        <v>4.8500000000000001E-2</v>
      </c>
      <c r="L215">
        <f t="shared" si="22"/>
        <v>1.66E-2</v>
      </c>
      <c r="M215">
        <f t="shared" si="23"/>
        <v>2.3300000000000001E-2</v>
      </c>
      <c r="N215">
        <f t="shared" si="24"/>
        <v>-2.76E-2</v>
      </c>
      <c r="O215">
        <f t="shared" si="25"/>
        <v>1.6500000000000001E-2</v>
      </c>
      <c r="P215">
        <f t="shared" si="26"/>
        <v>-1.15E-2</v>
      </c>
    </row>
    <row r="216" spans="1:16">
      <c r="A216" s="230" t="s">
        <v>861</v>
      </c>
      <c r="B216" s="147">
        <v>0.1055</v>
      </c>
      <c r="C216" s="147">
        <v>-3.3100000000000004E-2</v>
      </c>
      <c r="D216" s="147">
        <v>-8.3299999999999999E-2</v>
      </c>
      <c r="E216" s="147">
        <v>4.4999999999999998E-2</v>
      </c>
      <c r="F216" s="147">
        <v>-5.6600000000000004E-2</v>
      </c>
      <c r="G216" s="147">
        <v>0.17079999999999998</v>
      </c>
      <c r="I216" s="27">
        <f t="shared" si="21"/>
        <v>3.8776579089811747E-2</v>
      </c>
      <c r="J216">
        <f t="shared" si="27"/>
        <v>0.16729999999999998</v>
      </c>
      <c r="L216">
        <f t="shared" si="22"/>
        <v>0.10199999999999999</v>
      </c>
      <c r="M216">
        <f t="shared" si="23"/>
        <v>-3.3100000000000004E-2</v>
      </c>
      <c r="N216">
        <f t="shared" si="24"/>
        <v>-8.3299999999999999E-2</v>
      </c>
      <c r="O216">
        <f t="shared" si="25"/>
        <v>4.4999999999999998E-2</v>
      </c>
      <c r="P216">
        <f t="shared" si="26"/>
        <v>-5.6600000000000004E-2</v>
      </c>
    </row>
    <row r="217" spans="1:16">
      <c r="A217" s="230" t="s">
        <v>862</v>
      </c>
      <c r="B217" s="147">
        <v>-3.2099999999999997E-2</v>
      </c>
      <c r="C217" s="147">
        <v>-2.8999999999999998E-3</v>
      </c>
      <c r="D217" s="147">
        <v>2.7900000000000001E-2</v>
      </c>
      <c r="E217" s="147">
        <v>-1.29E-2</v>
      </c>
      <c r="F217" s="147">
        <v>1.24E-2</v>
      </c>
      <c r="G217" s="147">
        <v>-7.2900000000000006E-2</v>
      </c>
      <c r="I217" s="27">
        <f t="shared" si="21"/>
        <v>-3.5951920038493679E-2</v>
      </c>
      <c r="J217">
        <f t="shared" si="27"/>
        <v>-7.640000000000001E-2</v>
      </c>
      <c r="L217">
        <f t="shared" si="22"/>
        <v>-3.56E-2</v>
      </c>
      <c r="M217">
        <f t="shared" si="23"/>
        <v>-2.8999999999999998E-3</v>
      </c>
      <c r="N217">
        <f t="shared" si="24"/>
        <v>2.7900000000000001E-2</v>
      </c>
      <c r="O217">
        <f t="shared" si="25"/>
        <v>-1.29E-2</v>
      </c>
      <c r="P217">
        <f t="shared" si="26"/>
        <v>1.24E-2</v>
      </c>
    </row>
    <row r="218" spans="1:16">
      <c r="A218" s="230" t="s">
        <v>863</v>
      </c>
      <c r="B218" s="147">
        <v>-0.04</v>
      </c>
      <c r="C218" s="147">
        <v>3.2899999999999999E-2</v>
      </c>
      <c r="D218" s="147">
        <v>6.7199999999999996E-2</v>
      </c>
      <c r="E218" s="147">
        <v>-3.5099999999999999E-2</v>
      </c>
      <c r="F218" s="147">
        <v>4.3299999999999998E-2</v>
      </c>
      <c r="G218" s="147">
        <v>-0.1124</v>
      </c>
      <c r="I218" s="27">
        <f t="shared" si="21"/>
        <v>7.8929796142952653E-3</v>
      </c>
      <c r="J218">
        <f t="shared" si="27"/>
        <v>-0.1159</v>
      </c>
      <c r="L218">
        <f t="shared" si="22"/>
        <v>-4.3500000000000004E-2</v>
      </c>
      <c r="M218">
        <f t="shared" si="23"/>
        <v>3.2899999999999999E-2</v>
      </c>
      <c r="N218">
        <f t="shared" si="24"/>
        <v>6.7199999999999996E-2</v>
      </c>
      <c r="O218">
        <f t="shared" si="25"/>
        <v>-3.5099999999999999E-2</v>
      </c>
      <c r="P218">
        <f t="shared" si="26"/>
        <v>4.3299999999999998E-2</v>
      </c>
    </row>
    <row r="219" spans="1:16">
      <c r="A219" s="230" t="s">
        <v>864</v>
      </c>
      <c r="B219" s="147">
        <v>1.6400000000000001E-2</v>
      </c>
      <c r="C219" s="147">
        <v>-5.0000000000000001E-3</v>
      </c>
      <c r="D219" s="147">
        <v>1.0200000000000001E-2</v>
      </c>
      <c r="E219" s="147">
        <v>2.0999999999999999E-3</v>
      </c>
      <c r="F219" s="147">
        <v>2.2200000000000001E-2</v>
      </c>
      <c r="G219" s="147">
        <v>5.0000000000000001E-4</v>
      </c>
      <c r="I219" s="27">
        <f t="shared" si="21"/>
        <v>6.6447786878352191E-2</v>
      </c>
      <c r="J219">
        <f t="shared" si="27"/>
        <v>-3.0000000000000001E-3</v>
      </c>
      <c r="L219">
        <f t="shared" si="22"/>
        <v>1.2900000000000002E-2</v>
      </c>
      <c r="M219">
        <f t="shared" si="23"/>
        <v>-5.0000000000000001E-3</v>
      </c>
      <c r="N219">
        <f t="shared" si="24"/>
        <v>1.0200000000000001E-2</v>
      </c>
      <c r="O219">
        <f t="shared" si="25"/>
        <v>2.0999999999999999E-3</v>
      </c>
      <c r="P219">
        <f t="shared" si="26"/>
        <v>2.2200000000000001E-2</v>
      </c>
    </row>
    <row r="220" spans="1:16">
      <c r="A220" s="230" t="s">
        <v>865</v>
      </c>
      <c r="B220" s="147">
        <v>4.7699999999999999E-2</v>
      </c>
      <c r="C220" s="147">
        <v>3.0200000000000001E-2</v>
      </c>
      <c r="D220" s="147">
        <v>6.4000000000000003E-3</v>
      </c>
      <c r="E220" s="147">
        <v>-2.2400000000000003E-2</v>
      </c>
      <c r="F220" s="147">
        <v>-5.4000000000000003E-3</v>
      </c>
      <c r="G220" s="147">
        <v>8.4900000000000003E-2</v>
      </c>
      <c r="I220" s="27">
        <f t="shared" si="21"/>
        <v>8.6010663690584167E-3</v>
      </c>
      <c r="J220">
        <f t="shared" si="27"/>
        <v>8.14E-2</v>
      </c>
      <c r="L220">
        <f t="shared" si="22"/>
        <v>4.4199999999999996E-2</v>
      </c>
      <c r="M220">
        <f t="shared" si="23"/>
        <v>3.0200000000000001E-2</v>
      </c>
      <c r="N220">
        <f t="shared" si="24"/>
        <v>6.4000000000000003E-3</v>
      </c>
      <c r="O220">
        <f t="shared" si="25"/>
        <v>-2.2400000000000003E-2</v>
      </c>
      <c r="P220">
        <f t="shared" si="26"/>
        <v>-5.4000000000000003E-3</v>
      </c>
    </row>
    <row r="221" spans="1:16">
      <c r="A221" s="230" t="s">
        <v>866</v>
      </c>
      <c r="B221" s="147">
        <v>-1.03E-2</v>
      </c>
      <c r="C221" s="147">
        <v>4.5899999999999996E-2</v>
      </c>
      <c r="D221" s="147">
        <v>2.2799999999999997E-2</v>
      </c>
      <c r="E221" s="147">
        <v>8.3000000000000001E-3</v>
      </c>
      <c r="F221" s="147">
        <v>1.24E-2</v>
      </c>
      <c r="G221" s="147">
        <v>-3.9000000000000003E-3</v>
      </c>
      <c r="I221" s="27">
        <f t="shared" si="21"/>
        <v>5.7452424242935604E-2</v>
      </c>
      <c r="J221">
        <f t="shared" si="27"/>
        <v>-7.4000000000000003E-3</v>
      </c>
      <c r="L221">
        <f t="shared" si="22"/>
        <v>-1.38E-2</v>
      </c>
      <c r="M221">
        <f t="shared" si="23"/>
        <v>4.5899999999999996E-2</v>
      </c>
      <c r="N221">
        <f t="shared" si="24"/>
        <v>2.2799999999999997E-2</v>
      </c>
      <c r="O221">
        <f t="shared" si="25"/>
        <v>8.3000000000000001E-3</v>
      </c>
      <c r="P221">
        <f t="shared" si="26"/>
        <v>1.24E-2</v>
      </c>
    </row>
    <row r="222" spans="1:16">
      <c r="A222" s="230" t="s">
        <v>867</v>
      </c>
      <c r="B222" s="147">
        <v>1.26E-2</v>
      </c>
      <c r="C222" s="147">
        <v>2.4500000000000001E-2</v>
      </c>
      <c r="D222" s="147">
        <v>-4.1999999999999997E-3</v>
      </c>
      <c r="E222" s="147">
        <v>3.0000000000000001E-3</v>
      </c>
      <c r="F222" s="147">
        <v>-1.5300000000000001E-2</v>
      </c>
      <c r="G222" s="147">
        <v>5.7599999999999998E-2</v>
      </c>
      <c r="I222" s="27">
        <f t="shared" si="21"/>
        <v>-6.4954464176948841E-3</v>
      </c>
      <c r="J222">
        <f t="shared" si="27"/>
        <v>5.4099999999999995E-2</v>
      </c>
      <c r="L222">
        <f t="shared" si="22"/>
        <v>9.1000000000000004E-3</v>
      </c>
      <c r="M222">
        <f t="shared" si="23"/>
        <v>2.4500000000000001E-2</v>
      </c>
      <c r="N222">
        <f t="shared" si="24"/>
        <v>-4.1999999999999997E-3</v>
      </c>
      <c r="O222">
        <f t="shared" si="25"/>
        <v>3.0000000000000001E-3</v>
      </c>
      <c r="P222">
        <f t="shared" si="26"/>
        <v>-1.5300000000000001E-2</v>
      </c>
    </row>
    <row r="223" spans="1:16">
      <c r="A223" s="230" t="s">
        <v>868</v>
      </c>
      <c r="B223" s="147">
        <v>-1.0099999999999998E-2</v>
      </c>
      <c r="C223" s="147">
        <v>-9.5999999999999992E-3</v>
      </c>
      <c r="D223" s="147">
        <v>5.1299999999999998E-2</v>
      </c>
      <c r="E223" s="147">
        <v>-1.3700000000000002E-2</v>
      </c>
      <c r="F223" s="147">
        <v>2.6600000000000002E-2</v>
      </c>
      <c r="G223" s="147">
        <v>-7.9500000000000001E-2</v>
      </c>
      <c r="I223" s="27">
        <f t="shared" si="21"/>
        <v>1.0585092313027924E-2</v>
      </c>
      <c r="J223">
        <f t="shared" si="27"/>
        <v>-8.3000000000000004E-2</v>
      </c>
      <c r="L223">
        <f t="shared" si="22"/>
        <v>-1.3599999999999998E-2</v>
      </c>
      <c r="M223">
        <f t="shared" si="23"/>
        <v>-9.5999999999999992E-3</v>
      </c>
      <c r="N223">
        <f t="shared" si="24"/>
        <v>5.1299999999999998E-2</v>
      </c>
      <c r="O223">
        <f t="shared" si="25"/>
        <v>-1.3700000000000002E-2</v>
      </c>
      <c r="P223">
        <f t="shared" si="26"/>
        <v>2.6600000000000002E-2</v>
      </c>
    </row>
    <row r="224" spans="1:16">
      <c r="A224" s="230" t="s">
        <v>869</v>
      </c>
      <c r="B224" s="147">
        <v>-3.0000000000000009E-3</v>
      </c>
      <c r="C224" s="147">
        <v>-2.0499999999999997E-2</v>
      </c>
      <c r="D224" s="147">
        <v>-5.0000000000000001E-3</v>
      </c>
      <c r="E224" s="147">
        <v>1.26E-2</v>
      </c>
      <c r="F224" s="147">
        <v>-2.5400000000000002E-2</v>
      </c>
      <c r="G224" s="147">
        <v>-2.4799999999999999E-2</v>
      </c>
      <c r="I224" s="27">
        <f t="shared" si="21"/>
        <v>-5.9130561339504471E-2</v>
      </c>
      <c r="J224">
        <f t="shared" si="27"/>
        <v>-2.8299999999999999E-2</v>
      </c>
      <c r="L224">
        <f t="shared" si="22"/>
        <v>-6.5000000000000006E-3</v>
      </c>
      <c r="M224">
        <f t="shared" si="23"/>
        <v>-2.0499999999999997E-2</v>
      </c>
      <c r="N224">
        <f t="shared" si="24"/>
        <v>-5.0000000000000001E-3</v>
      </c>
      <c r="O224">
        <f t="shared" si="25"/>
        <v>1.26E-2</v>
      </c>
      <c r="P224">
        <f t="shared" si="26"/>
        <v>-2.5400000000000002E-2</v>
      </c>
    </row>
    <row r="225" spans="1:16">
      <c r="A225" s="230" t="s">
        <v>870</v>
      </c>
      <c r="B225" s="147">
        <v>-5.7600000000000005E-2</v>
      </c>
      <c r="C225" s="147">
        <v>-1.8100000000000002E-2</v>
      </c>
      <c r="D225" s="147">
        <v>4.7599999999999996E-2</v>
      </c>
      <c r="E225" s="147">
        <v>-3.2000000000000002E-3</v>
      </c>
      <c r="F225" s="147">
        <v>1.41E-2</v>
      </c>
      <c r="G225" s="147">
        <v>-8.3800000000000013E-2</v>
      </c>
      <c r="I225" s="27">
        <f t="shared" si="21"/>
        <v>-5.3706787562507505E-2</v>
      </c>
      <c r="J225">
        <f t="shared" si="27"/>
        <v>-8.7300000000000016E-2</v>
      </c>
      <c r="L225">
        <f t="shared" si="22"/>
        <v>-6.1100000000000008E-2</v>
      </c>
      <c r="M225">
        <f t="shared" si="23"/>
        <v>-1.8100000000000002E-2</v>
      </c>
      <c r="N225">
        <f t="shared" si="24"/>
        <v>4.7599999999999996E-2</v>
      </c>
      <c r="O225">
        <f t="shared" si="25"/>
        <v>-3.2000000000000002E-3</v>
      </c>
      <c r="P225">
        <f t="shared" si="26"/>
        <v>1.41E-2</v>
      </c>
    </row>
    <row r="226" spans="1:16">
      <c r="A226" s="230" t="s">
        <v>871</v>
      </c>
      <c r="B226" s="147">
        <v>-5.9299999999999999E-2</v>
      </c>
      <c r="C226" s="147">
        <v>-2.4500000000000001E-2</v>
      </c>
      <c r="D226" s="147">
        <v>5.1700000000000003E-2</v>
      </c>
      <c r="E226" s="147">
        <v>8.0000000000000004E-4</v>
      </c>
      <c r="F226" s="147">
        <v>2.63E-2</v>
      </c>
      <c r="G226" s="147">
        <v>-8.1400000000000014E-2</v>
      </c>
      <c r="I226" s="27">
        <f t="shared" si="21"/>
        <v>-2.2895219671810765E-2</v>
      </c>
      <c r="J226">
        <f t="shared" si="27"/>
        <v>-8.4900000000000017E-2</v>
      </c>
      <c r="L226">
        <f t="shared" si="22"/>
        <v>-6.2799999999999995E-2</v>
      </c>
      <c r="M226">
        <f t="shared" si="23"/>
        <v>-2.4500000000000001E-2</v>
      </c>
      <c r="N226">
        <f t="shared" si="24"/>
        <v>5.1700000000000003E-2</v>
      </c>
      <c r="O226">
        <f t="shared" si="25"/>
        <v>8.0000000000000004E-4</v>
      </c>
      <c r="P226">
        <f t="shared" si="26"/>
        <v>2.63E-2</v>
      </c>
    </row>
    <row r="227" spans="1:16">
      <c r="A227" s="230" t="s">
        <v>872</v>
      </c>
      <c r="B227" s="147">
        <v>6.13E-2</v>
      </c>
      <c r="C227" s="147">
        <v>2.3700000000000002E-2</v>
      </c>
      <c r="D227" s="147">
        <v>-4.2099999999999999E-2</v>
      </c>
      <c r="E227" s="147">
        <v>3.15E-2</v>
      </c>
      <c r="F227" s="147">
        <v>-3.0099999999999998E-2</v>
      </c>
      <c r="G227" s="147">
        <v>0.11</v>
      </c>
      <c r="I227" s="27">
        <f t="shared" si="21"/>
        <v>6.4582002143139181E-2</v>
      </c>
      <c r="J227">
        <f t="shared" si="27"/>
        <v>0.1065</v>
      </c>
      <c r="L227">
        <f t="shared" si="22"/>
        <v>5.7799999999999997E-2</v>
      </c>
      <c r="M227">
        <f t="shared" si="23"/>
        <v>2.3700000000000002E-2</v>
      </c>
      <c r="N227">
        <f t="shared" si="24"/>
        <v>-4.2099999999999999E-2</v>
      </c>
      <c r="O227">
        <f t="shared" si="25"/>
        <v>3.15E-2</v>
      </c>
      <c r="P227">
        <f t="shared" si="26"/>
        <v>-3.0099999999999998E-2</v>
      </c>
    </row>
    <row r="228" spans="1:16">
      <c r="A228" s="230" t="s">
        <v>873</v>
      </c>
      <c r="B228" s="147">
        <v>4.4299999999999999E-2</v>
      </c>
      <c r="C228" s="147">
        <v>-1.5100000000000001E-2</v>
      </c>
      <c r="D228" s="147">
        <v>1.83E-2</v>
      </c>
      <c r="E228" s="147">
        <v>8.0000000000000004E-4</v>
      </c>
      <c r="F228" s="147">
        <v>9.4999999999999998E-3</v>
      </c>
      <c r="G228" s="147">
        <v>2.7799999999999998E-2</v>
      </c>
      <c r="I228" s="27">
        <f t="shared" si="21"/>
        <v>5.2116783773886982E-2</v>
      </c>
      <c r="J228">
        <f t="shared" si="27"/>
        <v>2.4299999999999999E-2</v>
      </c>
      <c r="L228">
        <f t="shared" si="22"/>
        <v>4.0799999999999996E-2</v>
      </c>
      <c r="M228">
        <f t="shared" si="23"/>
        <v>-1.5100000000000001E-2</v>
      </c>
      <c r="N228">
        <f t="shared" si="24"/>
        <v>1.83E-2</v>
      </c>
      <c r="O228">
        <f t="shared" si="25"/>
        <v>8.0000000000000004E-4</v>
      </c>
      <c r="P228">
        <f t="shared" si="26"/>
        <v>9.4999999999999998E-3</v>
      </c>
    </row>
    <row r="229" spans="1:16">
      <c r="A229" s="230" t="s">
        <v>874</v>
      </c>
      <c r="B229" s="147">
        <v>-2.7799999999999998E-2</v>
      </c>
      <c r="C229" s="147">
        <v>1.2E-2</v>
      </c>
      <c r="D229" s="147">
        <v>8.1000000000000013E-3</v>
      </c>
      <c r="E229" s="147">
        <v>2.2000000000000001E-3</v>
      </c>
      <c r="F229" s="147">
        <v>2.5000000000000001E-2</v>
      </c>
      <c r="G229" s="147">
        <v>-2.6099999999999998E-2</v>
      </c>
      <c r="I229" s="27">
        <f t="shared" si="21"/>
        <v>4.0985098677711093E-2</v>
      </c>
      <c r="J229">
        <f t="shared" si="27"/>
        <v>-2.9599999999999998E-2</v>
      </c>
      <c r="L229">
        <f t="shared" si="22"/>
        <v>-3.1300000000000001E-2</v>
      </c>
      <c r="M229">
        <f t="shared" si="23"/>
        <v>1.2E-2</v>
      </c>
      <c r="N229">
        <f t="shared" si="24"/>
        <v>8.1000000000000013E-3</v>
      </c>
      <c r="O229">
        <f t="shared" si="25"/>
        <v>2.2000000000000001E-3</v>
      </c>
      <c r="P229">
        <f t="shared" si="26"/>
        <v>2.5000000000000001E-2</v>
      </c>
    </row>
    <row r="230" spans="1:16">
      <c r="A230" s="230" t="s">
        <v>875</v>
      </c>
      <c r="B230" s="147">
        <v>-2.4400000000000005E-2</v>
      </c>
      <c r="C230" s="147">
        <v>-1.1399999999999999E-2</v>
      </c>
      <c r="D230" s="147">
        <v>3.1899999999999998E-2</v>
      </c>
      <c r="E230" s="147">
        <v>-1.49E-2</v>
      </c>
      <c r="F230" s="147">
        <v>1.9199999999999998E-2</v>
      </c>
      <c r="G230" s="147">
        <v>-3.5200000000000002E-2</v>
      </c>
      <c r="I230" s="27">
        <f t="shared" si="21"/>
        <v>-2.1408111089824333E-2</v>
      </c>
      <c r="J230">
        <f t="shared" si="27"/>
        <v>-3.8700000000000005E-2</v>
      </c>
      <c r="L230">
        <f t="shared" si="22"/>
        <v>-2.7900000000000005E-2</v>
      </c>
      <c r="M230">
        <f t="shared" si="23"/>
        <v>-1.1399999999999999E-2</v>
      </c>
      <c r="N230">
        <f t="shared" si="24"/>
        <v>3.1899999999999998E-2</v>
      </c>
      <c r="O230">
        <f t="shared" si="25"/>
        <v>-1.49E-2</v>
      </c>
      <c r="P230">
        <f t="shared" si="26"/>
        <v>1.9199999999999998E-2</v>
      </c>
    </row>
    <row r="231" spans="1:16">
      <c r="A231" s="230" t="s">
        <v>876</v>
      </c>
      <c r="B231" s="147">
        <v>-4.9400000000000006E-2</v>
      </c>
      <c r="C231" s="147">
        <v>3.4999999999999996E-3</v>
      </c>
      <c r="D231" s="147">
        <v>6.0499999999999998E-2</v>
      </c>
      <c r="E231" s="147">
        <v>-3.4799999999999998E-2</v>
      </c>
      <c r="F231" s="147">
        <v>4.5599999999999995E-2</v>
      </c>
      <c r="G231" s="147">
        <v>-4.7699999999999999E-2</v>
      </c>
      <c r="I231" s="27">
        <f t="shared" si="21"/>
        <v>-1.3153657433991283E-2</v>
      </c>
      <c r="J231">
        <f t="shared" si="27"/>
        <v>-5.1200000000000002E-2</v>
      </c>
      <c r="L231">
        <f t="shared" si="22"/>
        <v>-5.290000000000001E-2</v>
      </c>
      <c r="M231">
        <f t="shared" si="23"/>
        <v>3.4999999999999996E-3</v>
      </c>
      <c r="N231">
        <f t="shared" si="24"/>
        <v>6.0499999999999998E-2</v>
      </c>
      <c r="O231">
        <f t="shared" si="25"/>
        <v>-3.4799999999999998E-2</v>
      </c>
      <c r="P231">
        <f t="shared" si="26"/>
        <v>4.5599999999999995E-2</v>
      </c>
    </row>
    <row r="232" spans="1:16">
      <c r="A232" s="230" t="s">
        <v>877</v>
      </c>
      <c r="B232" s="147">
        <v>-8.9000000000000017E-3</v>
      </c>
      <c r="C232" s="147">
        <v>-5.0000000000000001E-4</v>
      </c>
      <c r="D232" s="147">
        <v>3.8100000000000002E-2</v>
      </c>
      <c r="E232" s="147">
        <v>-1.38E-2</v>
      </c>
      <c r="F232" s="147">
        <v>2.4900000000000002E-2</v>
      </c>
      <c r="G232" s="147">
        <v>-5.2000000000000006E-3</v>
      </c>
      <c r="I232" s="27">
        <f t="shared" si="21"/>
        <v>1.6111117854993671E-2</v>
      </c>
      <c r="J232">
        <f t="shared" si="27"/>
        <v>-8.7000000000000011E-3</v>
      </c>
      <c r="L232">
        <f t="shared" si="22"/>
        <v>-1.2400000000000001E-2</v>
      </c>
      <c r="M232">
        <f t="shared" si="23"/>
        <v>-5.0000000000000001E-4</v>
      </c>
      <c r="N232">
        <f t="shared" si="24"/>
        <v>3.8100000000000002E-2</v>
      </c>
      <c r="O232">
        <f t="shared" si="25"/>
        <v>-1.38E-2</v>
      </c>
      <c r="P232">
        <f t="shared" si="26"/>
        <v>2.4900000000000002E-2</v>
      </c>
    </row>
    <row r="233" spans="1:16">
      <c r="A233" s="230" t="s">
        <v>878</v>
      </c>
      <c r="B233" s="147">
        <v>4.3999999999999997E-2</v>
      </c>
      <c r="C233" s="147">
        <v>1.0900000000000002E-2</v>
      </c>
      <c r="D233" s="147">
        <v>-2.7000000000000003E-2</v>
      </c>
      <c r="E233" s="147">
        <v>1.5700000000000002E-2</v>
      </c>
      <c r="F233" s="147">
        <v>-1E-4</v>
      </c>
      <c r="G233" s="147">
        <v>4.4000000000000004E-2</v>
      </c>
      <c r="I233" s="27">
        <f t="shared" si="21"/>
        <v>8.1555558294029287E-2</v>
      </c>
      <c r="J233">
        <f t="shared" si="27"/>
        <v>4.0500000000000001E-2</v>
      </c>
      <c r="L233">
        <f t="shared" si="22"/>
        <v>4.0499999999999994E-2</v>
      </c>
      <c r="M233">
        <f t="shared" si="23"/>
        <v>1.0900000000000002E-2</v>
      </c>
      <c r="N233">
        <f t="shared" si="24"/>
        <v>-2.7000000000000003E-2</v>
      </c>
      <c r="O233">
        <f t="shared" si="25"/>
        <v>1.5700000000000002E-2</v>
      </c>
      <c r="P233">
        <f t="shared" si="26"/>
        <v>-1E-4</v>
      </c>
    </row>
    <row r="234" spans="1:16">
      <c r="A234" s="230" t="s">
        <v>879</v>
      </c>
      <c r="B234" s="147">
        <v>-2.9300000000000007E-2</v>
      </c>
      <c r="C234" s="147">
        <v>6.4000000000000003E-3</v>
      </c>
      <c r="D234" s="147">
        <v>1.7500000000000002E-2</v>
      </c>
      <c r="E234" s="147">
        <v>8.6999999999999994E-3</v>
      </c>
      <c r="F234" s="147">
        <v>-3.0000000000000001E-3</v>
      </c>
      <c r="G234" s="147">
        <v>-1.1200000000000002E-2</v>
      </c>
      <c r="I234" s="27">
        <f t="shared" si="21"/>
        <v>-2.3904552411352115E-2</v>
      </c>
      <c r="J234">
        <f t="shared" si="27"/>
        <v>-1.4700000000000001E-2</v>
      </c>
      <c r="L234">
        <f t="shared" si="22"/>
        <v>-3.280000000000001E-2</v>
      </c>
      <c r="M234">
        <f t="shared" si="23"/>
        <v>6.4000000000000003E-3</v>
      </c>
      <c r="N234">
        <f t="shared" si="24"/>
        <v>1.7500000000000002E-2</v>
      </c>
      <c r="O234">
        <f t="shared" si="25"/>
        <v>8.6999999999999994E-3</v>
      </c>
      <c r="P234">
        <f t="shared" si="26"/>
        <v>-3.0000000000000001E-3</v>
      </c>
    </row>
    <row r="235" spans="1:16">
      <c r="A235" s="230" t="s">
        <v>880</v>
      </c>
      <c r="B235" s="147">
        <v>-2.1299999999999999E-2</v>
      </c>
      <c r="C235" s="147">
        <v>-5.2000000000000006E-3</v>
      </c>
      <c r="D235" s="147">
        <v>1.5300000000000001E-2</v>
      </c>
      <c r="E235" s="147">
        <v>1E-4</v>
      </c>
      <c r="F235" s="147">
        <v>2.7200000000000002E-2</v>
      </c>
      <c r="G235" s="147">
        <v>1.0800000000000001E-2</v>
      </c>
      <c r="I235" s="27">
        <f t="shared" si="21"/>
        <v>3.634024734810952E-2</v>
      </c>
      <c r="J235">
        <f t="shared" si="27"/>
        <v>7.3000000000000009E-3</v>
      </c>
      <c r="L235">
        <f t="shared" si="22"/>
        <v>-2.4799999999999999E-2</v>
      </c>
      <c r="M235">
        <f t="shared" si="23"/>
        <v>-5.2000000000000006E-3</v>
      </c>
      <c r="N235">
        <f t="shared" si="24"/>
        <v>1.5300000000000001E-2</v>
      </c>
      <c r="O235">
        <f t="shared" si="25"/>
        <v>1E-4</v>
      </c>
      <c r="P235">
        <f t="shared" si="26"/>
        <v>2.7200000000000002E-2</v>
      </c>
    </row>
    <row r="236" spans="1:16">
      <c r="A236" s="230" t="s">
        <v>881</v>
      </c>
      <c r="B236" s="147">
        <v>-2.1399999999999995E-2</v>
      </c>
      <c r="C236" s="147">
        <v>9.4999999999999998E-3</v>
      </c>
      <c r="D236" s="147">
        <v>8.9999999999999998E-4</v>
      </c>
      <c r="E236" s="147">
        <v>1.0400000000000001E-2</v>
      </c>
      <c r="F236" s="147">
        <v>1.5500000000000002E-2</v>
      </c>
      <c r="G236" s="147">
        <v>-1.5600000000000001E-2</v>
      </c>
      <c r="I236" s="27">
        <f t="shared" si="21"/>
        <v>3.8538894977875673E-2</v>
      </c>
      <c r="J236">
        <f t="shared" si="27"/>
        <v>-1.9100000000000002E-2</v>
      </c>
      <c r="L236">
        <f t="shared" si="22"/>
        <v>-2.4899999999999995E-2</v>
      </c>
      <c r="M236">
        <f t="shared" si="23"/>
        <v>9.4999999999999998E-3</v>
      </c>
      <c r="N236">
        <f t="shared" si="24"/>
        <v>8.9999999999999998E-4</v>
      </c>
      <c r="O236">
        <f t="shared" si="25"/>
        <v>1.0400000000000001E-2</v>
      </c>
      <c r="P236">
        <f t="shared" si="26"/>
        <v>1.5500000000000002E-2</v>
      </c>
    </row>
    <row r="237" spans="1:16">
      <c r="A237" s="230" t="s">
        <v>882</v>
      </c>
      <c r="B237" s="147">
        <v>0.11900000000000001</v>
      </c>
      <c r="C237" s="147">
        <v>-4.3499999999999997E-2</v>
      </c>
      <c r="D237" s="147">
        <v>9.4999999999999998E-3</v>
      </c>
      <c r="E237" s="147">
        <v>-1.89E-2</v>
      </c>
      <c r="F237" s="147">
        <v>8.9999999999999998E-4</v>
      </c>
      <c r="G237" s="147">
        <v>9.5299999999999996E-2</v>
      </c>
      <c r="I237" s="27">
        <f t="shared" si="21"/>
        <v>5.2869377416407279E-2</v>
      </c>
      <c r="J237">
        <f t="shared" si="27"/>
        <v>9.1799999999999993E-2</v>
      </c>
      <c r="L237">
        <f t="shared" si="22"/>
        <v>0.11550000000000001</v>
      </c>
      <c r="M237">
        <f t="shared" si="23"/>
        <v>-4.3499999999999997E-2</v>
      </c>
      <c r="N237">
        <f t="shared" si="24"/>
        <v>9.4999999999999998E-3</v>
      </c>
      <c r="O237">
        <f t="shared" si="25"/>
        <v>-1.89E-2</v>
      </c>
      <c r="P237">
        <f t="shared" si="26"/>
        <v>8.9999999999999998E-4</v>
      </c>
    </row>
    <row r="238" spans="1:16">
      <c r="A238" s="230" t="s">
        <v>883</v>
      </c>
      <c r="B238" s="147">
        <v>1.8000000000000002E-2</v>
      </c>
      <c r="C238" s="147">
        <v>2.6099999999999998E-2</v>
      </c>
      <c r="D238" s="147">
        <v>2.8000000000000004E-3</v>
      </c>
      <c r="E238" s="147">
        <v>2.1400000000000002E-2</v>
      </c>
      <c r="F238" s="147">
        <v>-4.0000000000000002E-4</v>
      </c>
      <c r="G238" s="147">
        <v>4.6600000000000003E-2</v>
      </c>
      <c r="I238" s="27">
        <f t="shared" si="21"/>
        <v>6.8920272906413935E-2</v>
      </c>
      <c r="J238">
        <f t="shared" si="27"/>
        <v>4.3099999999999999E-2</v>
      </c>
      <c r="L238">
        <f t="shared" si="22"/>
        <v>1.4500000000000002E-2</v>
      </c>
      <c r="M238">
        <f t="shared" si="23"/>
        <v>2.6099999999999998E-2</v>
      </c>
      <c r="N238">
        <f t="shared" si="24"/>
        <v>2.8000000000000004E-3</v>
      </c>
      <c r="O238">
        <f t="shared" si="25"/>
        <v>2.1400000000000002E-2</v>
      </c>
      <c r="P238">
        <f t="shared" si="26"/>
        <v>-4.0000000000000002E-4</v>
      </c>
    </row>
    <row r="239" spans="1:16">
      <c r="A239" s="230" t="s">
        <v>884</v>
      </c>
      <c r="B239" s="147">
        <v>0.11890000000000001</v>
      </c>
      <c r="C239" s="147">
        <v>1.9199999999999998E-2</v>
      </c>
      <c r="D239" s="147">
        <v>-3.6600000000000001E-2</v>
      </c>
      <c r="E239" s="147">
        <v>2.8999999999999998E-3</v>
      </c>
      <c r="F239" s="147">
        <v>-3.4000000000000002E-3</v>
      </c>
      <c r="G239" s="147">
        <v>0.13880000000000001</v>
      </c>
      <c r="I239" s="27">
        <f t="shared" si="21"/>
        <v>0.13246749661631299</v>
      </c>
      <c r="J239">
        <f t="shared" si="27"/>
        <v>0.1353</v>
      </c>
      <c r="L239">
        <f t="shared" si="22"/>
        <v>0.1154</v>
      </c>
      <c r="M239">
        <f t="shared" si="23"/>
        <v>1.9199999999999998E-2</v>
      </c>
      <c r="N239">
        <f t="shared" si="24"/>
        <v>-3.6600000000000001E-2</v>
      </c>
      <c r="O239">
        <f t="shared" si="25"/>
        <v>2.8999999999999998E-3</v>
      </c>
      <c r="P239">
        <f t="shared" si="26"/>
        <v>-3.4000000000000002E-3</v>
      </c>
    </row>
    <row r="240" spans="1:16">
      <c r="A240" s="230" t="s">
        <v>885</v>
      </c>
      <c r="B240" s="147">
        <v>5.2999999999999999E-2</v>
      </c>
      <c r="C240" s="147">
        <v>4.4299999999999999E-2</v>
      </c>
      <c r="D240" s="147">
        <v>-1.8700000000000001E-2</v>
      </c>
      <c r="E240" s="147">
        <v>-9.7000000000000003E-3</v>
      </c>
      <c r="F240" s="147">
        <v>2.7000000000000001E-3</v>
      </c>
      <c r="G240" s="147">
        <v>9.9299999999999999E-2</v>
      </c>
      <c r="I240" s="27">
        <f t="shared" si="21"/>
        <v>7.158258924151055E-2</v>
      </c>
      <c r="J240">
        <f t="shared" si="27"/>
        <v>9.5799999999999996E-2</v>
      </c>
      <c r="L240">
        <f t="shared" si="22"/>
        <v>4.9499999999999995E-2</v>
      </c>
      <c r="M240">
        <f t="shared" si="23"/>
        <v>4.4299999999999999E-2</v>
      </c>
      <c r="N240">
        <f t="shared" si="24"/>
        <v>-1.8700000000000001E-2</v>
      </c>
      <c r="O240">
        <f t="shared" si="25"/>
        <v>-9.7000000000000003E-3</v>
      </c>
      <c r="P240">
        <f t="shared" si="26"/>
        <v>2.7000000000000001E-3</v>
      </c>
    </row>
    <row r="241" spans="1:16">
      <c r="A241" s="230" t="s">
        <v>886</v>
      </c>
      <c r="B241" s="147">
        <v>1.2200000000000001E-2</v>
      </c>
      <c r="C241" s="147">
        <v>-4.0000000000000002E-4</v>
      </c>
      <c r="D241" s="147">
        <v>-2.0000000000000001E-4</v>
      </c>
      <c r="E241" s="147">
        <v>-1E-4</v>
      </c>
      <c r="F241" s="147">
        <v>1.0200000000000001E-2</v>
      </c>
      <c r="G241" s="147">
        <v>5.9999999999999995E-4</v>
      </c>
      <c r="I241" s="27">
        <f t="shared" si="21"/>
        <v>3.3635124338478053E-2</v>
      </c>
      <c r="J241">
        <f t="shared" si="27"/>
        <v>-2.9000000000000002E-3</v>
      </c>
      <c r="L241">
        <f t="shared" si="22"/>
        <v>8.7000000000000011E-3</v>
      </c>
      <c r="M241">
        <f t="shared" si="23"/>
        <v>-4.0000000000000002E-4</v>
      </c>
      <c r="N241">
        <f t="shared" si="24"/>
        <v>-2.0000000000000001E-4</v>
      </c>
      <c r="O241">
        <f t="shared" si="25"/>
        <v>-1E-4</v>
      </c>
      <c r="P241">
        <f t="shared" si="26"/>
        <v>1.0200000000000001E-2</v>
      </c>
    </row>
    <row r="242" spans="1:16">
      <c r="A242" s="230" t="s">
        <v>887</v>
      </c>
      <c r="B242" s="147">
        <v>4.2900000000000008E-2</v>
      </c>
      <c r="C242" s="147">
        <v>3.3500000000000002E-2</v>
      </c>
      <c r="D242" s="147">
        <v>-7.4999999999999997E-3</v>
      </c>
      <c r="E242" s="147">
        <v>-1.5500000000000002E-2</v>
      </c>
      <c r="F242" s="147">
        <v>-5.7999999999999996E-3</v>
      </c>
      <c r="G242" s="147">
        <v>2.5700000000000001E-2</v>
      </c>
      <c r="I242" s="27">
        <f t="shared" si="21"/>
        <v>2.0406104860281292E-2</v>
      </c>
      <c r="J242">
        <f t="shared" si="27"/>
        <v>2.2200000000000001E-2</v>
      </c>
      <c r="L242">
        <f t="shared" si="22"/>
        <v>3.9400000000000004E-2</v>
      </c>
      <c r="M242">
        <f t="shared" si="23"/>
        <v>3.3500000000000002E-2</v>
      </c>
      <c r="N242">
        <f t="shared" si="24"/>
        <v>-7.4999999999999997E-3</v>
      </c>
      <c r="O242">
        <f t="shared" si="25"/>
        <v>-1.5500000000000002E-2</v>
      </c>
      <c r="P242">
        <f t="shared" si="26"/>
        <v>-5.7999999999999996E-3</v>
      </c>
    </row>
    <row r="243" spans="1:16">
      <c r="A243" s="230" t="s">
        <v>888</v>
      </c>
      <c r="B243" s="147">
        <v>3.2099999999999997E-2</v>
      </c>
      <c r="C243" s="147">
        <v>2.92E-2</v>
      </c>
      <c r="D243" s="147">
        <v>6.9999999999999993E-3</v>
      </c>
      <c r="E243" s="147">
        <v>-5.2000000000000006E-3</v>
      </c>
      <c r="F243" s="147">
        <v>1.0500000000000001E-2</v>
      </c>
      <c r="G243" s="147">
        <v>6.9000000000000006E-2</v>
      </c>
      <c r="I243" s="27">
        <f t="shared" si="21"/>
        <v>6.2950670124826275E-2</v>
      </c>
      <c r="J243">
        <f t="shared" si="27"/>
        <v>6.5500000000000003E-2</v>
      </c>
      <c r="L243">
        <f t="shared" si="22"/>
        <v>2.8599999999999997E-2</v>
      </c>
      <c r="M243">
        <f t="shared" si="23"/>
        <v>2.92E-2</v>
      </c>
      <c r="N243">
        <f t="shared" si="24"/>
        <v>6.9999999999999993E-3</v>
      </c>
      <c r="O243">
        <f t="shared" si="25"/>
        <v>-5.2000000000000006E-3</v>
      </c>
      <c r="P243">
        <f t="shared" si="26"/>
        <v>1.0500000000000001E-2</v>
      </c>
    </row>
    <row r="244" spans="1:16">
      <c r="A244" s="230" t="s">
        <v>889</v>
      </c>
      <c r="B244" s="147">
        <v>3.4500000000000003E-2</v>
      </c>
      <c r="C244" s="147">
        <v>1.3700000000000002E-2</v>
      </c>
      <c r="D244" s="147">
        <v>2.0199999999999999E-2</v>
      </c>
      <c r="E244" s="147">
        <v>-1.7000000000000001E-3</v>
      </c>
      <c r="F244" s="147">
        <v>2.7400000000000004E-2</v>
      </c>
      <c r="G244" s="147">
        <v>4.8899999999999999E-2</v>
      </c>
      <c r="I244" s="27">
        <f t="shared" si="21"/>
        <v>0.10075479358087744</v>
      </c>
      <c r="J244">
        <f t="shared" si="27"/>
        <v>4.5399999999999996E-2</v>
      </c>
      <c r="L244">
        <f t="shared" si="22"/>
        <v>3.1000000000000003E-2</v>
      </c>
      <c r="M244">
        <f t="shared" si="23"/>
        <v>1.3700000000000002E-2</v>
      </c>
      <c r="N244">
        <f t="shared" si="24"/>
        <v>2.0199999999999999E-2</v>
      </c>
      <c r="O244">
        <f t="shared" si="25"/>
        <v>-1.7000000000000001E-3</v>
      </c>
      <c r="P244">
        <f t="shared" si="26"/>
        <v>2.7400000000000004E-2</v>
      </c>
    </row>
    <row r="245" spans="1:16">
      <c r="A245" s="230" t="s">
        <v>890</v>
      </c>
      <c r="B245" s="147">
        <v>7.3799999999999991E-2</v>
      </c>
      <c r="C245" s="147">
        <v>4.7999999999999996E-3</v>
      </c>
      <c r="D245" s="147">
        <v>4.8999999999999998E-3</v>
      </c>
      <c r="E245" s="147">
        <v>-1.1000000000000001E-3</v>
      </c>
      <c r="F245" s="147">
        <v>1.4199999999999999E-2</v>
      </c>
      <c r="G245" s="147">
        <v>0.10630000000000001</v>
      </c>
      <c r="I245" s="27">
        <f t="shared" si="21"/>
        <v>0.10570501418116637</v>
      </c>
      <c r="J245">
        <f t="shared" si="27"/>
        <v>0.1028</v>
      </c>
      <c r="L245">
        <f t="shared" si="22"/>
        <v>7.0299999999999987E-2</v>
      </c>
      <c r="M245">
        <f t="shared" si="23"/>
        <v>4.7999999999999996E-3</v>
      </c>
      <c r="N245">
        <f t="shared" si="24"/>
        <v>4.8999999999999998E-3</v>
      </c>
      <c r="O245">
        <f t="shared" si="25"/>
        <v>-1.1000000000000001E-3</v>
      </c>
      <c r="P245">
        <f t="shared" si="26"/>
        <v>1.4199999999999999E-2</v>
      </c>
    </row>
    <row r="246" spans="1:16">
      <c r="A246" s="230" t="s">
        <v>891</v>
      </c>
      <c r="B246" s="147">
        <v>1.21E-2</v>
      </c>
      <c r="C246" s="147">
        <v>6.3E-2</v>
      </c>
      <c r="D246" s="147">
        <v>-1.3999999999999999E-2</v>
      </c>
      <c r="E246" s="147">
        <v>-1.84E-2</v>
      </c>
      <c r="F246" s="147">
        <v>-1.5100000000000001E-2</v>
      </c>
      <c r="G246" s="147">
        <v>4.7599999999999996E-2</v>
      </c>
      <c r="I246" s="27">
        <f t="shared" si="21"/>
        <v>-1.8035999396071912E-2</v>
      </c>
      <c r="J246">
        <f t="shared" si="27"/>
        <v>4.4099999999999993E-2</v>
      </c>
      <c r="L246">
        <f t="shared" si="22"/>
        <v>8.6E-3</v>
      </c>
      <c r="M246">
        <f t="shared" si="23"/>
        <v>6.3E-2</v>
      </c>
      <c r="N246">
        <f t="shared" si="24"/>
        <v>-1.3999999999999999E-2</v>
      </c>
      <c r="O246">
        <f t="shared" si="25"/>
        <v>-1.84E-2</v>
      </c>
      <c r="P246">
        <f t="shared" si="26"/>
        <v>-1.5100000000000001E-2</v>
      </c>
    </row>
    <row r="247" spans="1:16">
      <c r="A247" s="230" t="s">
        <v>892</v>
      </c>
      <c r="B247" s="147">
        <v>3.7399999999999996E-2</v>
      </c>
      <c r="C247" s="147">
        <v>1.18E-2</v>
      </c>
      <c r="D247" s="147">
        <v>-3.9E-2</v>
      </c>
      <c r="E247" s="147">
        <v>2.6000000000000002E-2</v>
      </c>
      <c r="F247" s="147">
        <v>-8.6999999999999994E-3</v>
      </c>
      <c r="G247" s="147">
        <v>5.7099999999999998E-2</v>
      </c>
      <c r="I247" s="27">
        <f t="shared" si="21"/>
        <v>7.5392988063959415E-2</v>
      </c>
      <c r="J247">
        <f t="shared" si="27"/>
        <v>5.3599999999999995E-2</v>
      </c>
      <c r="L247">
        <f t="shared" si="22"/>
        <v>3.3899999999999993E-2</v>
      </c>
      <c r="M247">
        <f t="shared" si="23"/>
        <v>1.18E-2</v>
      </c>
      <c r="N247">
        <f t="shared" si="24"/>
        <v>-3.9E-2</v>
      </c>
      <c r="O247">
        <f t="shared" si="25"/>
        <v>2.6000000000000002E-2</v>
      </c>
      <c r="P247">
        <f t="shared" si="26"/>
        <v>-8.6999999999999994E-3</v>
      </c>
    </row>
    <row r="248" spans="1:16">
      <c r="A248" s="230" t="s">
        <v>893</v>
      </c>
      <c r="B248" s="147">
        <v>-3.330000000000001E-2</v>
      </c>
      <c r="C248" s="147">
        <v>1.01E-2</v>
      </c>
      <c r="D248" s="147">
        <v>5.62E-2</v>
      </c>
      <c r="E248" s="147">
        <v>-1.4000000000000002E-3</v>
      </c>
      <c r="F248" s="147">
        <v>2.81E-2</v>
      </c>
      <c r="G248" s="147">
        <v>-7.8399999999999997E-2</v>
      </c>
      <c r="I248" s="27">
        <f t="shared" si="21"/>
        <v>2.5359309580138194E-2</v>
      </c>
      <c r="J248">
        <f t="shared" si="27"/>
        <v>-8.1900000000000001E-2</v>
      </c>
      <c r="L248">
        <f t="shared" si="22"/>
        <v>-3.6800000000000013E-2</v>
      </c>
      <c r="M248">
        <f t="shared" si="23"/>
        <v>1.01E-2</v>
      </c>
      <c r="N248">
        <f t="shared" si="24"/>
        <v>5.62E-2</v>
      </c>
      <c r="O248">
        <f t="shared" si="25"/>
        <v>-1.4000000000000002E-3</v>
      </c>
      <c r="P248">
        <f t="shared" si="26"/>
        <v>2.81E-2</v>
      </c>
    </row>
    <row r="249" spans="1:16">
      <c r="A249" s="230" t="s">
        <v>894</v>
      </c>
      <c r="B249" s="147">
        <v>2.5999999999999999E-3</v>
      </c>
      <c r="C249" s="147">
        <v>-4.3200000000000002E-2</v>
      </c>
      <c r="D249" s="147">
        <v>5.5400000000000005E-2</v>
      </c>
      <c r="E249" s="147">
        <v>5.1000000000000004E-3</v>
      </c>
      <c r="F249" s="147">
        <v>1.9E-2</v>
      </c>
      <c r="G249" s="147">
        <v>-4.5100000000000001E-2</v>
      </c>
      <c r="I249" s="27">
        <f t="shared" si="21"/>
        <v>1.5629151276765101E-2</v>
      </c>
      <c r="J249">
        <f t="shared" si="27"/>
        <v>-4.8600000000000004E-2</v>
      </c>
      <c r="L249">
        <f t="shared" si="22"/>
        <v>-9.0000000000000019E-4</v>
      </c>
      <c r="M249">
        <f t="shared" si="23"/>
        <v>-4.3200000000000002E-2</v>
      </c>
      <c r="N249">
        <f t="shared" si="24"/>
        <v>5.5400000000000005E-2</v>
      </c>
      <c r="O249">
        <f t="shared" si="25"/>
        <v>5.1000000000000004E-3</v>
      </c>
      <c r="P249">
        <f t="shared" si="26"/>
        <v>1.9E-2</v>
      </c>
    </row>
    <row r="250" spans="1:16">
      <c r="A250" s="230" t="s">
        <v>895</v>
      </c>
      <c r="B250" s="147">
        <v>1.67E-2</v>
      </c>
      <c r="C250" s="147">
        <v>3.0000000000000001E-3</v>
      </c>
      <c r="D250" s="147">
        <v>1.01E-2</v>
      </c>
      <c r="E250" s="147">
        <v>1.24E-2</v>
      </c>
      <c r="F250" s="147">
        <v>5.0000000000000001E-3</v>
      </c>
      <c r="G250" s="147">
        <v>1.17E-2</v>
      </c>
      <c r="I250" s="27">
        <f t="shared" si="21"/>
        <v>4.799960563829532E-2</v>
      </c>
      <c r="J250">
        <f t="shared" si="27"/>
        <v>8.2000000000000007E-3</v>
      </c>
      <c r="L250">
        <f t="shared" si="22"/>
        <v>1.32E-2</v>
      </c>
      <c r="M250">
        <f t="shared" si="23"/>
        <v>3.0000000000000001E-3</v>
      </c>
      <c r="N250">
        <f t="shared" si="24"/>
        <v>1.01E-2</v>
      </c>
      <c r="O250">
        <f t="shared" si="25"/>
        <v>1.24E-2</v>
      </c>
      <c r="P250">
        <f t="shared" si="26"/>
        <v>5.0000000000000001E-3</v>
      </c>
    </row>
    <row r="251" spans="1:16">
      <c r="A251" s="230" t="s">
        <v>896</v>
      </c>
      <c r="B251" s="147">
        <v>-2.6800000000000001E-2</v>
      </c>
      <c r="C251" s="147">
        <v>-3.7700000000000004E-2</v>
      </c>
      <c r="D251" s="147">
        <v>4.9700000000000001E-2</v>
      </c>
      <c r="E251" s="147">
        <v>-7.7000000000000002E-3</v>
      </c>
      <c r="F251" s="147">
        <v>2.9600000000000001E-2</v>
      </c>
      <c r="G251" s="147">
        <v>-9.3800000000000008E-2</v>
      </c>
      <c r="I251" s="27">
        <f t="shared" si="21"/>
        <v>-5.8828202105048986E-3</v>
      </c>
      <c r="J251">
        <f t="shared" si="27"/>
        <v>-9.7300000000000011E-2</v>
      </c>
      <c r="L251">
        <f t="shared" si="22"/>
        <v>-3.0300000000000001E-2</v>
      </c>
      <c r="M251">
        <f t="shared" si="23"/>
        <v>-3.7700000000000004E-2</v>
      </c>
      <c r="N251">
        <f t="shared" si="24"/>
        <v>4.9700000000000001E-2</v>
      </c>
      <c r="O251">
        <f t="shared" si="25"/>
        <v>-7.7000000000000002E-3</v>
      </c>
      <c r="P251">
        <f t="shared" si="26"/>
        <v>2.9600000000000001E-2</v>
      </c>
    </row>
    <row r="252" spans="1:16">
      <c r="A252" s="230" t="s">
        <v>897</v>
      </c>
      <c r="B252" s="147">
        <v>2.86E-2</v>
      </c>
      <c r="C252" s="147">
        <v>1.8700000000000001E-2</v>
      </c>
      <c r="D252" s="147">
        <v>-7.1999999999999998E-3</v>
      </c>
      <c r="E252" s="147">
        <v>-6.7000000000000002E-3</v>
      </c>
      <c r="F252" s="147">
        <v>6.6000000000000008E-3</v>
      </c>
      <c r="G252" s="147">
        <v>5.4100000000000002E-2</v>
      </c>
      <c r="I252" s="27">
        <f t="shared" si="21"/>
        <v>4.3109125710998432E-2</v>
      </c>
      <c r="J252">
        <f t="shared" si="27"/>
        <v>5.0599999999999999E-2</v>
      </c>
      <c r="L252">
        <f t="shared" si="22"/>
        <v>2.5100000000000001E-2</v>
      </c>
      <c r="M252">
        <f t="shared" si="23"/>
        <v>1.8700000000000001E-2</v>
      </c>
      <c r="N252">
        <f t="shared" si="24"/>
        <v>-7.1999999999999998E-3</v>
      </c>
      <c r="O252">
        <f t="shared" si="25"/>
        <v>-6.7000000000000002E-3</v>
      </c>
      <c r="P252">
        <f t="shared" si="26"/>
        <v>6.6000000000000008E-3</v>
      </c>
    </row>
    <row r="253" spans="1:16">
      <c r="A253" s="230" t="s">
        <v>898</v>
      </c>
      <c r="B253" s="147">
        <v>-1.0499999999999999E-2</v>
      </c>
      <c r="C253" s="147">
        <v>-4.5000000000000005E-3</v>
      </c>
      <c r="D253" s="147">
        <v>1.7299999999999999E-2</v>
      </c>
      <c r="E253" s="147">
        <v>1.6399999999999998E-2</v>
      </c>
      <c r="F253" s="147">
        <v>1.2700000000000001E-2</v>
      </c>
      <c r="G253" s="147">
        <v>-2.6000000000000002E-2</v>
      </c>
      <c r="I253" s="27">
        <f t="shared" si="21"/>
        <v>4.0763417485471909E-2</v>
      </c>
      <c r="J253">
        <f t="shared" si="27"/>
        <v>-2.9500000000000002E-2</v>
      </c>
      <c r="L253">
        <f t="shared" si="22"/>
        <v>-1.3999999999999999E-2</v>
      </c>
      <c r="M253">
        <f t="shared" si="23"/>
        <v>-4.5000000000000005E-3</v>
      </c>
      <c r="N253">
        <f t="shared" si="24"/>
        <v>1.7299999999999999E-2</v>
      </c>
      <c r="O253">
        <f t="shared" si="25"/>
        <v>1.6399999999999998E-2</v>
      </c>
      <c r="P253">
        <f t="shared" si="26"/>
        <v>1.2700000000000001E-2</v>
      </c>
    </row>
    <row r="254" spans="1:16">
      <c r="A254" s="230" t="s">
        <v>899</v>
      </c>
      <c r="B254" s="147">
        <v>-1.1599999999999999E-2</v>
      </c>
      <c r="C254" s="147">
        <v>-4.0000000000000002E-4</v>
      </c>
      <c r="D254" s="147">
        <v>7.5800000000000006E-2</v>
      </c>
      <c r="E254" s="147">
        <v>-8.8999999999999999E-3</v>
      </c>
      <c r="F254" s="147">
        <v>2.92E-2</v>
      </c>
      <c r="G254" s="147">
        <v>-6.6699999999999995E-2</v>
      </c>
      <c r="I254" s="27">
        <f t="shared" si="21"/>
        <v>2.5186212784555743E-2</v>
      </c>
      <c r="J254">
        <f t="shared" si="27"/>
        <v>-7.0199999999999999E-2</v>
      </c>
      <c r="L254">
        <f t="shared" si="22"/>
        <v>-1.5099999999999999E-2</v>
      </c>
      <c r="M254">
        <f t="shared" si="23"/>
        <v>-4.0000000000000002E-4</v>
      </c>
      <c r="N254">
        <f t="shared" si="24"/>
        <v>7.5800000000000006E-2</v>
      </c>
      <c r="O254">
        <f t="shared" si="25"/>
        <v>-8.8999999999999999E-3</v>
      </c>
      <c r="P254">
        <f t="shared" si="26"/>
        <v>2.92E-2</v>
      </c>
    </row>
    <row r="255" spans="1:16">
      <c r="A255" s="230" t="s">
        <v>900</v>
      </c>
      <c r="B255" s="147">
        <v>-4.1100000000000005E-2</v>
      </c>
      <c r="C255" s="147">
        <v>-1.5900000000000001E-2</v>
      </c>
      <c r="D255" s="147">
        <v>3.3300000000000003E-2</v>
      </c>
      <c r="E255" s="147">
        <v>9.0000000000000011E-3</v>
      </c>
      <c r="F255" s="147">
        <v>1.5800000000000002E-2</v>
      </c>
      <c r="G255" s="147">
        <v>-4.5999999999999999E-2</v>
      </c>
      <c r="I255" s="27">
        <f t="shared" si="21"/>
        <v>-6.399306288874692E-3</v>
      </c>
      <c r="J255">
        <f t="shared" si="27"/>
        <v>-4.9500000000000002E-2</v>
      </c>
      <c r="L255">
        <f t="shared" si="22"/>
        <v>-4.4600000000000008E-2</v>
      </c>
      <c r="M255">
        <f t="shared" si="23"/>
        <v>-1.5900000000000001E-2</v>
      </c>
      <c r="N255">
        <f t="shared" si="24"/>
        <v>3.3300000000000003E-2</v>
      </c>
      <c r="O255">
        <f t="shared" si="25"/>
        <v>9.0000000000000011E-3</v>
      </c>
      <c r="P255">
        <f t="shared" si="26"/>
        <v>1.5800000000000002E-2</v>
      </c>
    </row>
    <row r="256" spans="1:16">
      <c r="A256" s="230" t="s">
        <v>901</v>
      </c>
      <c r="B256" s="147">
        <v>1.3600000000000001E-2</v>
      </c>
      <c r="C256" s="147">
        <v>-2.8999999999999998E-3</v>
      </c>
      <c r="D256" s="147">
        <v>4.5999999999999999E-3</v>
      </c>
      <c r="E256" s="147">
        <v>-9.5999999999999992E-3</v>
      </c>
      <c r="F256" s="147">
        <v>1.17E-2</v>
      </c>
      <c r="G256" s="147">
        <v>2.3199999999999998E-2</v>
      </c>
      <c r="I256" s="27">
        <f t="shared" si="21"/>
        <v>1.886606395274611E-2</v>
      </c>
      <c r="J256">
        <f t="shared" si="27"/>
        <v>1.9699999999999999E-2</v>
      </c>
      <c r="L256">
        <f t="shared" si="22"/>
        <v>1.0100000000000001E-2</v>
      </c>
      <c r="M256">
        <f t="shared" si="23"/>
        <v>-2.8999999999999998E-3</v>
      </c>
      <c r="N256">
        <f t="shared" si="24"/>
        <v>4.5999999999999999E-3</v>
      </c>
      <c r="O256">
        <f t="shared" si="25"/>
        <v>-9.5999999999999992E-3</v>
      </c>
      <c r="P256">
        <f t="shared" si="26"/>
        <v>1.17E-2</v>
      </c>
    </row>
    <row r="257" spans="1:16">
      <c r="A257" s="230" t="s">
        <v>902</v>
      </c>
      <c r="B257" s="147">
        <v>3.0000000000000009E-3</v>
      </c>
      <c r="C257" s="147">
        <v>-9.4999999999999998E-3</v>
      </c>
      <c r="D257" s="147">
        <v>1.2E-2</v>
      </c>
      <c r="E257" s="147">
        <v>3.3399999999999999E-2</v>
      </c>
      <c r="F257" s="147">
        <v>7.6E-3</v>
      </c>
      <c r="G257" s="147">
        <v>1.6500000000000001E-2</v>
      </c>
      <c r="I257" s="27">
        <f t="shared" si="21"/>
        <v>7.0289546380785051E-2</v>
      </c>
      <c r="J257">
        <f t="shared" si="27"/>
        <v>1.3000000000000001E-2</v>
      </c>
      <c r="L257">
        <f t="shared" si="22"/>
        <v>-4.9999999999999914E-4</v>
      </c>
      <c r="M257">
        <f t="shared" si="23"/>
        <v>-9.4999999999999998E-3</v>
      </c>
      <c r="N257">
        <f t="shared" si="24"/>
        <v>1.2E-2</v>
      </c>
      <c r="O257">
        <f t="shared" si="25"/>
        <v>3.3399999999999999E-2</v>
      </c>
      <c r="P257">
        <f t="shared" si="26"/>
        <v>7.6E-3</v>
      </c>
    </row>
    <row r="258" spans="1:16">
      <c r="A258" s="230" t="s">
        <v>903</v>
      </c>
      <c r="B258" s="147">
        <v>-5.1899999999999995E-2</v>
      </c>
      <c r="C258" s="147">
        <v>1.3000000000000002E-3</v>
      </c>
      <c r="D258" s="147">
        <v>3.0999999999999999E-3</v>
      </c>
      <c r="E258" s="147">
        <v>2.3599999999999999E-2</v>
      </c>
      <c r="F258" s="147">
        <v>-4.5999999999999999E-3</v>
      </c>
      <c r="G258" s="147">
        <v>-5.5599999999999997E-2</v>
      </c>
      <c r="I258" s="27">
        <f t="shared" si="21"/>
        <v>-2.3763598358294637E-2</v>
      </c>
      <c r="J258">
        <f t="shared" si="27"/>
        <v>-5.91E-2</v>
      </c>
      <c r="L258">
        <f t="shared" si="22"/>
        <v>-5.5399999999999998E-2</v>
      </c>
      <c r="M258">
        <f t="shared" si="23"/>
        <v>1.3000000000000002E-3</v>
      </c>
      <c r="N258">
        <f t="shared" si="24"/>
        <v>3.0999999999999999E-3</v>
      </c>
      <c r="O258">
        <f t="shared" si="25"/>
        <v>2.3599999999999999E-2</v>
      </c>
      <c r="P258">
        <f t="shared" si="26"/>
        <v>-4.5999999999999999E-3</v>
      </c>
    </row>
    <row r="259" spans="1:16">
      <c r="A259" s="230" t="s">
        <v>904</v>
      </c>
      <c r="B259" s="147">
        <v>2.5700000000000001E-2</v>
      </c>
      <c r="C259" s="147">
        <v>1.1000000000000001E-3</v>
      </c>
      <c r="D259" s="147">
        <v>-2.6600000000000002E-2</v>
      </c>
      <c r="E259" s="147">
        <v>3.1699999999999999E-2</v>
      </c>
      <c r="F259" s="147">
        <v>-1.5600000000000001E-2</v>
      </c>
      <c r="G259" s="147">
        <v>1.4499999999999999E-2</v>
      </c>
      <c r="I259" s="27">
        <f t="shared" si="21"/>
        <v>4.7289768000912412E-2</v>
      </c>
      <c r="J259">
        <f t="shared" si="27"/>
        <v>1.0999999999999999E-2</v>
      </c>
      <c r="L259">
        <f t="shared" si="22"/>
        <v>2.2200000000000001E-2</v>
      </c>
      <c r="M259">
        <f t="shared" si="23"/>
        <v>1.1000000000000001E-3</v>
      </c>
      <c r="N259">
        <f t="shared" si="24"/>
        <v>-2.6600000000000002E-2</v>
      </c>
      <c r="O259">
        <f t="shared" si="25"/>
        <v>3.1699999999999999E-2</v>
      </c>
      <c r="P259">
        <f t="shared" si="26"/>
        <v>-1.5600000000000001E-2</v>
      </c>
    </row>
    <row r="260" spans="1:16">
      <c r="A260" s="230" t="s">
        <v>905</v>
      </c>
      <c r="B260" s="147">
        <v>-1.9200000000000005E-2</v>
      </c>
      <c r="C260" s="147">
        <v>-2.2200000000000001E-2</v>
      </c>
      <c r="D260" s="147">
        <v>3.5999999999999999E-3</v>
      </c>
      <c r="E260" s="147">
        <v>3.5499999999999997E-2</v>
      </c>
      <c r="F260" s="147">
        <v>-2.1499999999999998E-2</v>
      </c>
      <c r="G260" s="147">
        <v>-2.1400000000000002E-2</v>
      </c>
      <c r="I260" s="27">
        <f t="shared" si="21"/>
        <v>-2.6968604687423393E-2</v>
      </c>
      <c r="J260">
        <f t="shared" si="27"/>
        <v>-2.4900000000000002E-2</v>
      </c>
      <c r="L260">
        <f t="shared" si="22"/>
        <v>-2.2700000000000005E-2</v>
      </c>
      <c r="M260">
        <f t="shared" si="23"/>
        <v>-2.2200000000000001E-2</v>
      </c>
      <c r="N260">
        <f t="shared" si="24"/>
        <v>3.5999999999999999E-3</v>
      </c>
      <c r="O260">
        <f t="shared" si="25"/>
        <v>3.5499999999999997E-2</v>
      </c>
      <c r="P260">
        <f t="shared" si="26"/>
        <v>-2.1499999999999998E-2</v>
      </c>
    </row>
    <row r="261" spans="1:16">
      <c r="A261" s="230" t="s">
        <v>906</v>
      </c>
      <c r="B261" s="147">
        <v>0.1111</v>
      </c>
      <c r="C261" s="147">
        <v>-2.6000000000000003E-3</v>
      </c>
      <c r="D261" s="147">
        <v>-1.8200000000000001E-2</v>
      </c>
      <c r="E261" s="147">
        <v>-6.8000000000000005E-3</v>
      </c>
      <c r="F261" s="147">
        <v>-9.1999999999999998E-3</v>
      </c>
      <c r="G261" s="147">
        <v>8.6199999999999999E-2</v>
      </c>
      <c r="I261" s="27">
        <f t="shared" si="21"/>
        <v>7.4490272402626137E-2</v>
      </c>
      <c r="J261">
        <f t="shared" si="27"/>
        <v>8.2699999999999996E-2</v>
      </c>
      <c r="L261">
        <f t="shared" si="22"/>
        <v>0.1076</v>
      </c>
      <c r="M261">
        <f t="shared" si="23"/>
        <v>-2.6000000000000003E-3</v>
      </c>
      <c r="N261">
        <f t="shared" si="24"/>
        <v>-1.8200000000000001E-2</v>
      </c>
      <c r="O261">
        <f t="shared" si="25"/>
        <v>-6.8000000000000005E-3</v>
      </c>
      <c r="P261">
        <f t="shared" si="26"/>
        <v>-9.1999999999999998E-3</v>
      </c>
    </row>
    <row r="262" spans="1:16">
      <c r="A262" s="230" t="s">
        <v>907</v>
      </c>
      <c r="B262" s="147">
        <v>5.9999999999999984E-4</v>
      </c>
      <c r="C262" s="147">
        <v>-2.9999999999999997E-4</v>
      </c>
      <c r="D262" s="147">
        <v>5.2800000000000007E-2</v>
      </c>
      <c r="E262" s="147">
        <v>1.3700000000000002E-2</v>
      </c>
      <c r="F262" s="147">
        <v>2.4100000000000003E-2</v>
      </c>
      <c r="G262" s="147">
        <v>1.24E-2</v>
      </c>
      <c r="I262" s="27">
        <f t="shared" si="21"/>
        <v>7.0625400812545203E-2</v>
      </c>
      <c r="J262">
        <f t="shared" si="27"/>
        <v>8.8999999999999999E-3</v>
      </c>
      <c r="L262">
        <f t="shared" si="22"/>
        <v>-2.9000000000000002E-3</v>
      </c>
      <c r="M262">
        <f t="shared" si="23"/>
        <v>-2.9999999999999997E-4</v>
      </c>
      <c r="N262">
        <f t="shared" si="24"/>
        <v>5.2800000000000007E-2</v>
      </c>
      <c r="O262">
        <f t="shared" si="25"/>
        <v>1.3700000000000002E-2</v>
      </c>
      <c r="P262">
        <f t="shared" si="26"/>
        <v>2.4100000000000003E-2</v>
      </c>
    </row>
    <row r="263" spans="1:16">
      <c r="A263" s="230" t="s">
        <v>908</v>
      </c>
      <c r="B263" s="147">
        <v>1.6000000000000007E-3</v>
      </c>
      <c r="C263" s="147">
        <v>-1.44E-2</v>
      </c>
      <c r="D263" s="147">
        <v>4.5000000000000005E-3</v>
      </c>
      <c r="E263" s="147">
        <v>1.18E-2</v>
      </c>
      <c r="F263" s="147">
        <v>-1.0900000000000002E-2</v>
      </c>
      <c r="G263" s="147">
        <v>7.1999999999999998E-3</v>
      </c>
      <c r="I263" s="27">
        <f t="shared" si="21"/>
        <v>-1.7942282801423126E-2</v>
      </c>
      <c r="J263">
        <f t="shared" si="27"/>
        <v>3.6999999999999997E-3</v>
      </c>
      <c r="L263">
        <f t="shared" si="22"/>
        <v>-1.8999999999999993E-3</v>
      </c>
      <c r="M263">
        <f t="shared" si="23"/>
        <v>-1.44E-2</v>
      </c>
      <c r="N263">
        <f t="shared" si="24"/>
        <v>4.5000000000000005E-3</v>
      </c>
      <c r="O263">
        <f t="shared" si="25"/>
        <v>1.18E-2</v>
      </c>
      <c r="P263">
        <f t="shared" si="26"/>
        <v>-1.0900000000000002E-2</v>
      </c>
    </row>
    <row r="264" spans="1:16">
      <c r="A264" s="230" t="s">
        <v>909</v>
      </c>
      <c r="B264" s="147">
        <v>-1.03E-2</v>
      </c>
      <c r="C264" s="147">
        <v>-1.0200000000000001E-2</v>
      </c>
      <c r="D264" s="147">
        <v>4.0599999999999997E-2</v>
      </c>
      <c r="E264" s="147">
        <v>7.1999999999999998E-3</v>
      </c>
      <c r="F264" s="147">
        <v>2.06E-2</v>
      </c>
      <c r="G264" s="147">
        <v>-1.3200000000000002E-2</v>
      </c>
      <c r="I264" s="27">
        <f t="shared" ref="I264:I327" si="28">SUMPRODUCT(B264:F264,$B$4:$F$4)-0.0035</f>
        <v>3.5274089152386473E-2</v>
      </c>
      <c r="J264">
        <f t="shared" si="27"/>
        <v>-1.6700000000000003E-2</v>
      </c>
      <c r="L264">
        <f t="shared" ref="L264:L327" si="29">B264-0.0035</f>
        <v>-1.38E-2</v>
      </c>
      <c r="M264">
        <f t="shared" ref="M264:M327" si="30">C264</f>
        <v>-1.0200000000000001E-2</v>
      </c>
      <c r="N264">
        <f t="shared" ref="N264:N327" si="31">D264</f>
        <v>4.0599999999999997E-2</v>
      </c>
      <c r="O264">
        <f t="shared" ref="O264:O327" si="32">E264</f>
        <v>7.1999999999999998E-3</v>
      </c>
      <c r="P264">
        <f t="shared" ref="P264:P327" si="33">F264</f>
        <v>2.06E-2</v>
      </c>
    </row>
    <row r="265" spans="1:16">
      <c r="A265" s="230" t="s">
        <v>910</v>
      </c>
      <c r="B265" s="147">
        <v>2.4799999999999999E-2</v>
      </c>
      <c r="C265" s="147">
        <v>-6.5000000000000006E-3</v>
      </c>
      <c r="D265" s="147">
        <v>-2.6000000000000003E-3</v>
      </c>
      <c r="E265" s="147">
        <v>1.3100000000000001E-2</v>
      </c>
      <c r="F265" s="147">
        <v>-1.3600000000000001E-2</v>
      </c>
      <c r="G265" s="147">
        <v>2.6600000000000002E-2</v>
      </c>
      <c r="I265" s="27">
        <f t="shared" si="28"/>
        <v>7.5806680212975285E-3</v>
      </c>
      <c r="J265">
        <f t="shared" ref="J265:J328" si="34">G265-0.0035</f>
        <v>2.3100000000000002E-2</v>
      </c>
      <c r="L265">
        <f t="shared" si="29"/>
        <v>2.1299999999999999E-2</v>
      </c>
      <c r="M265">
        <f t="shared" si="30"/>
        <v>-6.5000000000000006E-3</v>
      </c>
      <c r="N265">
        <f t="shared" si="31"/>
        <v>-2.6000000000000003E-3</v>
      </c>
      <c r="O265">
        <f t="shared" si="32"/>
        <v>1.3100000000000001E-2</v>
      </c>
      <c r="P265">
        <f t="shared" si="33"/>
        <v>-1.3600000000000001E-2</v>
      </c>
    </row>
    <row r="266" spans="1:16">
      <c r="A266" s="230" t="s">
        <v>911</v>
      </c>
      <c r="B266" s="147">
        <v>8.6400000000000005E-2</v>
      </c>
      <c r="C266" s="147">
        <v>3.5099999999999999E-2</v>
      </c>
      <c r="D266" s="147">
        <v>-5.3499999999999999E-2</v>
      </c>
      <c r="E266" s="147">
        <v>-8.8999999999999999E-3</v>
      </c>
      <c r="F266" s="147">
        <v>-3.4100000000000005E-2</v>
      </c>
      <c r="G266" s="147">
        <v>6.5000000000000002E-2</v>
      </c>
      <c r="I266" s="27">
        <f t="shared" si="28"/>
        <v>1.6245633867057175E-2</v>
      </c>
      <c r="J266">
        <f t="shared" si="34"/>
        <v>6.1499999999999999E-2</v>
      </c>
      <c r="L266">
        <f t="shared" si="29"/>
        <v>8.2900000000000001E-2</v>
      </c>
      <c r="M266">
        <f t="shared" si="30"/>
        <v>3.5099999999999999E-2</v>
      </c>
      <c r="N266">
        <f t="shared" si="31"/>
        <v>-5.3499999999999999E-2</v>
      </c>
      <c r="O266">
        <f t="shared" si="32"/>
        <v>-8.8999999999999999E-3</v>
      </c>
      <c r="P266">
        <f t="shared" si="33"/>
        <v>-3.4100000000000005E-2</v>
      </c>
    </row>
    <row r="267" spans="1:16">
      <c r="A267" s="230" t="s">
        <v>912</v>
      </c>
      <c r="B267" s="147">
        <v>1.8000000000000002E-2</v>
      </c>
      <c r="C267" s="147">
        <v>1.0400000000000001E-2</v>
      </c>
      <c r="D267" s="147">
        <v>-1E-3</v>
      </c>
      <c r="E267" s="147">
        <v>1.29E-2</v>
      </c>
      <c r="F267" s="147">
        <v>1.06E-2</v>
      </c>
      <c r="G267" s="147">
        <v>2.92E-2</v>
      </c>
      <c r="I267" s="27">
        <f t="shared" si="28"/>
        <v>7.1294393707343168E-2</v>
      </c>
      <c r="J267">
        <f t="shared" si="34"/>
        <v>2.5700000000000001E-2</v>
      </c>
      <c r="L267">
        <f t="shared" si="29"/>
        <v>1.4500000000000002E-2</v>
      </c>
      <c r="M267">
        <f t="shared" si="30"/>
        <v>1.0400000000000001E-2</v>
      </c>
      <c r="N267">
        <f t="shared" si="31"/>
        <v>-1E-3</v>
      </c>
      <c r="O267">
        <f t="shared" si="32"/>
        <v>1.29E-2</v>
      </c>
      <c r="P267">
        <f t="shared" si="33"/>
        <v>1.06E-2</v>
      </c>
    </row>
    <row r="268" spans="1:16">
      <c r="A268" s="230" t="s">
        <v>913</v>
      </c>
      <c r="B268" s="147">
        <v>-2.1999999999999997E-3</v>
      </c>
      <c r="C268" s="147">
        <v>-1.3899999999999999E-2</v>
      </c>
      <c r="D268" s="147">
        <v>4.0700000000000007E-2</v>
      </c>
      <c r="E268" s="147">
        <v>1.23E-2</v>
      </c>
      <c r="F268" s="147">
        <v>2.8799999999999999E-2</v>
      </c>
      <c r="G268" s="147">
        <v>-5.3E-3</v>
      </c>
      <c r="I268" s="27">
        <f t="shared" si="28"/>
        <v>7.0554723766880392E-2</v>
      </c>
      <c r="J268">
        <f t="shared" si="34"/>
        <v>-8.8000000000000005E-3</v>
      </c>
      <c r="L268">
        <f t="shared" si="29"/>
        <v>-5.7000000000000002E-3</v>
      </c>
      <c r="M268">
        <f t="shared" si="30"/>
        <v>-1.3899999999999999E-2</v>
      </c>
      <c r="N268">
        <f t="shared" si="31"/>
        <v>4.0700000000000007E-2</v>
      </c>
      <c r="O268">
        <f t="shared" si="32"/>
        <v>1.23E-2</v>
      </c>
      <c r="P268">
        <f t="shared" si="33"/>
        <v>2.8799999999999999E-2</v>
      </c>
    </row>
    <row r="269" spans="1:16">
      <c r="A269" s="230" t="s">
        <v>914</v>
      </c>
      <c r="B269" s="147">
        <v>-2.3999999999999994E-3</v>
      </c>
      <c r="C269" s="147">
        <v>-1E-3</v>
      </c>
      <c r="D269" s="147">
        <v>3.7200000000000004E-2</v>
      </c>
      <c r="E269" s="147">
        <v>1.5500000000000002E-2</v>
      </c>
      <c r="F269" s="147">
        <v>7.0999999999999995E-3</v>
      </c>
      <c r="G269" s="147">
        <v>5.0000000000000001E-4</v>
      </c>
      <c r="I269" s="27">
        <f t="shared" si="28"/>
        <v>3.146188218490735E-2</v>
      </c>
      <c r="J269">
        <f t="shared" si="34"/>
        <v>-3.0000000000000001E-3</v>
      </c>
      <c r="L269">
        <f t="shared" si="29"/>
        <v>-5.899999999999999E-3</v>
      </c>
      <c r="M269">
        <f t="shared" si="30"/>
        <v>-1E-3</v>
      </c>
      <c r="N269">
        <f t="shared" si="31"/>
        <v>3.7200000000000004E-2</v>
      </c>
      <c r="O269">
        <f t="shared" si="32"/>
        <v>1.5500000000000002E-2</v>
      </c>
      <c r="P269">
        <f t="shared" si="33"/>
        <v>7.0999999999999995E-3</v>
      </c>
    </row>
    <row r="270" spans="1:16">
      <c r="A270" s="230" t="s">
        <v>915</v>
      </c>
      <c r="B270" s="147">
        <v>5.7500000000000002E-2</v>
      </c>
      <c r="C270" s="147">
        <v>-2.3100000000000002E-2</v>
      </c>
      <c r="D270" s="147">
        <v>-9.5999999999999992E-3</v>
      </c>
      <c r="E270" s="147">
        <v>1.3300000000000001E-2</v>
      </c>
      <c r="F270" s="147">
        <v>-1.49E-2</v>
      </c>
      <c r="G270" s="147">
        <v>7.4499999999999997E-2</v>
      </c>
      <c r="I270" s="27">
        <f t="shared" si="28"/>
        <v>2.7976630756474743E-2</v>
      </c>
      <c r="J270">
        <f t="shared" si="34"/>
        <v>7.0999999999999994E-2</v>
      </c>
      <c r="L270">
        <f t="shared" si="29"/>
        <v>5.3999999999999999E-2</v>
      </c>
      <c r="M270">
        <f t="shared" si="30"/>
        <v>-2.3100000000000002E-2</v>
      </c>
      <c r="N270">
        <f t="shared" si="31"/>
        <v>-9.5999999999999992E-3</v>
      </c>
      <c r="O270">
        <f t="shared" si="32"/>
        <v>1.3300000000000001E-2</v>
      </c>
      <c r="P270">
        <f t="shared" si="33"/>
        <v>-1.49E-2</v>
      </c>
    </row>
    <row r="271" spans="1:16">
      <c r="A271" s="230" t="s">
        <v>916</v>
      </c>
      <c r="B271" s="147">
        <v>1.8200000000000001E-2</v>
      </c>
      <c r="C271" s="147">
        <v>3.4999999999999996E-3</v>
      </c>
      <c r="D271" s="147">
        <v>3.8E-3</v>
      </c>
      <c r="E271" s="147">
        <v>1.7600000000000001E-2</v>
      </c>
      <c r="F271" s="147">
        <v>-7.7000000000000002E-3</v>
      </c>
      <c r="G271" s="147">
        <v>3.56E-2</v>
      </c>
      <c r="I271" s="27">
        <f t="shared" si="28"/>
        <v>2.9038316631538195E-2</v>
      </c>
      <c r="J271">
        <f t="shared" si="34"/>
        <v>3.2099999999999997E-2</v>
      </c>
      <c r="L271">
        <f t="shared" si="29"/>
        <v>1.4700000000000001E-2</v>
      </c>
      <c r="M271">
        <f t="shared" si="30"/>
        <v>3.4999999999999996E-3</v>
      </c>
      <c r="N271">
        <f t="shared" si="31"/>
        <v>3.8E-3</v>
      </c>
      <c r="O271">
        <f t="shared" si="32"/>
        <v>1.7600000000000001E-2</v>
      </c>
      <c r="P271">
        <f t="shared" si="33"/>
        <v>-7.7000000000000002E-3</v>
      </c>
    </row>
    <row r="272" spans="1:16">
      <c r="A272" s="230" t="s">
        <v>917</v>
      </c>
      <c r="B272" s="147">
        <v>-1.2000000000000005E-3</v>
      </c>
      <c r="C272" s="147">
        <v>2.8700000000000003E-2</v>
      </c>
      <c r="D272" s="147">
        <v>-1.6200000000000003E-2</v>
      </c>
      <c r="E272" s="147">
        <v>-4.1999999999999997E-3</v>
      </c>
      <c r="F272" s="147">
        <v>-3.8E-3</v>
      </c>
      <c r="G272" s="147">
        <v>-1.3500000000000002E-2</v>
      </c>
      <c r="I272" s="27">
        <f t="shared" si="28"/>
        <v>4.5929959326291734E-4</v>
      </c>
      <c r="J272">
        <f t="shared" si="34"/>
        <v>-1.7000000000000001E-2</v>
      </c>
      <c r="L272">
        <f t="shared" si="29"/>
        <v>-4.7000000000000011E-3</v>
      </c>
      <c r="M272">
        <f t="shared" si="30"/>
        <v>2.8700000000000003E-2</v>
      </c>
      <c r="N272">
        <f t="shared" si="31"/>
        <v>-1.6200000000000003E-2</v>
      </c>
      <c r="O272">
        <f t="shared" si="32"/>
        <v>-4.1999999999999997E-3</v>
      </c>
      <c r="P272">
        <f t="shared" si="33"/>
        <v>-3.8E-3</v>
      </c>
    </row>
    <row r="273" spans="1:16">
      <c r="A273" s="230" t="s">
        <v>918</v>
      </c>
      <c r="B273" s="147">
        <v>-4.7000000000000002E-3</v>
      </c>
      <c r="C273" s="147">
        <v>-2.8999999999999998E-3</v>
      </c>
      <c r="D273" s="147">
        <v>2.3199999999999998E-2</v>
      </c>
      <c r="E273" s="147">
        <v>-1E-3</v>
      </c>
      <c r="F273" s="147">
        <v>1.83E-2</v>
      </c>
      <c r="G273" s="147">
        <v>-9.0000000000000011E-3</v>
      </c>
      <c r="I273" s="27">
        <f t="shared" si="28"/>
        <v>2.869530571834546E-2</v>
      </c>
      <c r="J273">
        <f t="shared" si="34"/>
        <v>-1.2500000000000001E-2</v>
      </c>
      <c r="L273">
        <f t="shared" si="29"/>
        <v>-8.2000000000000007E-3</v>
      </c>
      <c r="M273">
        <f t="shared" si="30"/>
        <v>-2.8999999999999998E-3</v>
      </c>
      <c r="N273">
        <f t="shared" si="31"/>
        <v>2.3199999999999998E-2</v>
      </c>
      <c r="O273">
        <f t="shared" si="32"/>
        <v>-1E-3</v>
      </c>
      <c r="P273">
        <f t="shared" si="33"/>
        <v>1.83E-2</v>
      </c>
    </row>
    <row r="274" spans="1:16">
      <c r="A274" s="230" t="s">
        <v>919</v>
      </c>
      <c r="B274" s="147">
        <v>-3.9400000000000004E-2</v>
      </c>
      <c r="C274" s="147">
        <v>-1.8000000000000002E-2</v>
      </c>
      <c r="D274" s="147">
        <v>1.29E-2</v>
      </c>
      <c r="E274" s="147">
        <v>1.1399999999999999E-2</v>
      </c>
      <c r="F274" s="147">
        <v>1.6399999999999998E-2</v>
      </c>
      <c r="G274" s="147">
        <v>-4.7400000000000005E-2</v>
      </c>
      <c r="I274" s="27">
        <f t="shared" si="28"/>
        <v>4.0293793101347057E-3</v>
      </c>
      <c r="J274">
        <f t="shared" si="34"/>
        <v>-5.0900000000000008E-2</v>
      </c>
      <c r="L274">
        <f t="shared" si="29"/>
        <v>-4.2900000000000008E-2</v>
      </c>
      <c r="M274">
        <f t="shared" si="30"/>
        <v>-1.8000000000000002E-2</v>
      </c>
      <c r="N274">
        <f t="shared" si="31"/>
        <v>1.29E-2</v>
      </c>
      <c r="O274">
        <f t="shared" si="32"/>
        <v>1.1399999999999999E-2</v>
      </c>
      <c r="P274">
        <f t="shared" si="33"/>
        <v>1.6399999999999998E-2</v>
      </c>
    </row>
    <row r="275" spans="1:16">
      <c r="A275" s="230" t="s">
        <v>920</v>
      </c>
      <c r="B275" s="147">
        <v>4.6699999999999998E-2</v>
      </c>
      <c r="C275" s="147">
        <v>-1.4999999999999999E-2</v>
      </c>
      <c r="D275" s="147">
        <v>7.4999999999999997E-3</v>
      </c>
      <c r="E275" s="147">
        <v>8.8999999999999999E-3</v>
      </c>
      <c r="F275" s="147">
        <v>-1.06E-2</v>
      </c>
      <c r="G275" s="147">
        <v>7.3300000000000004E-2</v>
      </c>
      <c r="I275" s="27">
        <f t="shared" si="28"/>
        <v>2.1616407608757503E-2</v>
      </c>
      <c r="J275">
        <f t="shared" si="34"/>
        <v>6.9800000000000001E-2</v>
      </c>
      <c r="L275">
        <f t="shared" si="29"/>
        <v>4.3199999999999995E-2</v>
      </c>
      <c r="M275">
        <f t="shared" si="30"/>
        <v>-1.4999999999999999E-2</v>
      </c>
      <c r="N275">
        <f t="shared" si="31"/>
        <v>7.4999999999999997E-3</v>
      </c>
      <c r="O275">
        <f t="shared" si="32"/>
        <v>8.8999999999999999E-3</v>
      </c>
      <c r="P275">
        <f t="shared" si="33"/>
        <v>-1.06E-2</v>
      </c>
    </row>
    <row r="276" spans="1:16">
      <c r="A276" s="230" t="s">
        <v>921</v>
      </c>
      <c r="B276" s="147">
        <v>7.0900000000000005E-2</v>
      </c>
      <c r="C276" s="147">
        <v>2.0000000000000001E-4</v>
      </c>
      <c r="D276" s="147">
        <v>-2.8500000000000001E-2</v>
      </c>
      <c r="E276" s="147">
        <v>3.3000000000000004E-3</v>
      </c>
      <c r="F276" s="147">
        <v>-2.3199999999999998E-2</v>
      </c>
      <c r="G276" s="147">
        <v>7.400000000000001E-2</v>
      </c>
      <c r="I276" s="27">
        <f t="shared" si="28"/>
        <v>2.1843095513064518E-2</v>
      </c>
      <c r="J276">
        <f t="shared" si="34"/>
        <v>7.0500000000000007E-2</v>
      </c>
      <c r="L276">
        <f t="shared" si="29"/>
        <v>6.7400000000000002E-2</v>
      </c>
      <c r="M276">
        <f t="shared" si="30"/>
        <v>2.0000000000000001E-4</v>
      </c>
      <c r="N276">
        <f t="shared" si="31"/>
        <v>-2.8500000000000001E-2</v>
      </c>
      <c r="O276">
        <f t="shared" si="32"/>
        <v>3.3000000000000004E-3</v>
      </c>
      <c r="P276">
        <f t="shared" si="33"/>
        <v>-2.3199999999999998E-2</v>
      </c>
    </row>
    <row r="277" spans="1:16">
      <c r="A277" s="230" t="s">
        <v>922</v>
      </c>
      <c r="B277" s="147">
        <v>4.53E-2</v>
      </c>
      <c r="C277" s="147">
        <v>-4.0999999999999995E-3</v>
      </c>
      <c r="D277" s="147">
        <v>-1.54E-2</v>
      </c>
      <c r="E277" s="147">
        <v>9.9000000000000008E-3</v>
      </c>
      <c r="F277" s="147">
        <v>-1.8000000000000002E-2</v>
      </c>
      <c r="G277" s="147">
        <v>3.7499999999999999E-2</v>
      </c>
      <c r="I277" s="27">
        <f t="shared" si="28"/>
        <v>1.5587586031427788E-2</v>
      </c>
      <c r="J277">
        <f t="shared" si="34"/>
        <v>3.3999999999999996E-2</v>
      </c>
      <c r="L277">
        <f t="shared" si="29"/>
        <v>4.1799999999999997E-2</v>
      </c>
      <c r="M277">
        <f t="shared" si="30"/>
        <v>-4.0999999999999995E-3</v>
      </c>
      <c r="N277">
        <f t="shared" si="31"/>
        <v>-1.54E-2</v>
      </c>
      <c r="O277">
        <f t="shared" si="32"/>
        <v>9.9000000000000008E-3</v>
      </c>
      <c r="P277">
        <f t="shared" si="33"/>
        <v>-1.8000000000000002E-2</v>
      </c>
    </row>
    <row r="278" spans="1:16">
      <c r="A278" s="230" t="s">
        <v>923</v>
      </c>
      <c r="B278" s="147">
        <v>1.2100000000000001E-2</v>
      </c>
      <c r="C278" s="147">
        <v>1.01E-2</v>
      </c>
      <c r="D278" s="147">
        <v>4.4000000000000003E-3</v>
      </c>
      <c r="E278" s="147">
        <v>-0.02</v>
      </c>
      <c r="F278" s="147">
        <v>-2.0299999999999999E-2</v>
      </c>
      <c r="G278" s="147">
        <v>4.4500000000000005E-2</v>
      </c>
      <c r="I278" s="27">
        <f t="shared" si="28"/>
        <v>-7.2433164082446877E-2</v>
      </c>
      <c r="J278">
        <f t="shared" si="34"/>
        <v>4.1000000000000002E-2</v>
      </c>
      <c r="L278">
        <f t="shared" si="29"/>
        <v>8.6000000000000017E-3</v>
      </c>
      <c r="M278">
        <f t="shared" si="30"/>
        <v>1.01E-2</v>
      </c>
      <c r="N278">
        <f t="shared" si="31"/>
        <v>4.4000000000000003E-3</v>
      </c>
      <c r="O278">
        <f t="shared" si="32"/>
        <v>-0.02</v>
      </c>
      <c r="P278">
        <f t="shared" si="33"/>
        <v>-2.0299999999999999E-2</v>
      </c>
    </row>
    <row r="279" spans="1:16">
      <c r="A279" s="230" t="s">
        <v>924</v>
      </c>
      <c r="B279" s="147">
        <v>7.6600000000000001E-2</v>
      </c>
      <c r="C279" s="147">
        <v>-7.0999999999999995E-3</v>
      </c>
      <c r="D279" s="147">
        <v>-7.1999999999999998E-3</v>
      </c>
      <c r="E279" s="147">
        <v>1.06E-2</v>
      </c>
      <c r="F279" s="147">
        <v>-1.2E-2</v>
      </c>
      <c r="G279" s="147">
        <v>8.3100000000000007E-2</v>
      </c>
      <c r="I279" s="27">
        <f t="shared" si="28"/>
        <v>5.9381637865325812E-2</v>
      </c>
      <c r="J279">
        <f t="shared" si="34"/>
        <v>7.9600000000000004E-2</v>
      </c>
      <c r="L279">
        <f t="shared" si="29"/>
        <v>7.3099999999999998E-2</v>
      </c>
      <c r="M279">
        <f t="shared" si="30"/>
        <v>-7.0999999999999995E-3</v>
      </c>
      <c r="N279">
        <f t="shared" si="31"/>
        <v>-7.1999999999999998E-3</v>
      </c>
      <c r="O279">
        <f t="shared" si="32"/>
        <v>1.06E-2</v>
      </c>
      <c r="P279">
        <f t="shared" si="33"/>
        <v>-1.2E-2</v>
      </c>
    </row>
    <row r="280" spans="1:16">
      <c r="A280" s="230" t="s">
        <v>925</v>
      </c>
      <c r="B280" s="147">
        <v>5.4800000000000001E-2</v>
      </c>
      <c r="C280" s="147">
        <v>-6.6000000000000008E-3</v>
      </c>
      <c r="D280" s="147">
        <v>-3.9000000000000003E-3</v>
      </c>
      <c r="E280" s="147">
        <v>1.21E-2</v>
      </c>
      <c r="F280" s="147">
        <v>9.1999999999999998E-3</v>
      </c>
      <c r="G280" s="147">
        <v>5.7599999999999998E-2</v>
      </c>
      <c r="I280" s="27">
        <f t="shared" si="28"/>
        <v>9.2607426678672292E-2</v>
      </c>
      <c r="J280">
        <f t="shared" si="34"/>
        <v>5.4099999999999995E-2</v>
      </c>
      <c r="L280">
        <f t="shared" si="29"/>
        <v>5.1299999999999998E-2</v>
      </c>
      <c r="M280">
        <f t="shared" si="30"/>
        <v>-6.6000000000000008E-3</v>
      </c>
      <c r="N280">
        <f t="shared" si="31"/>
        <v>-3.9000000000000003E-3</v>
      </c>
      <c r="O280">
        <f t="shared" si="32"/>
        <v>1.21E-2</v>
      </c>
      <c r="P280">
        <f t="shared" si="33"/>
        <v>9.1999999999999998E-3</v>
      </c>
    </row>
    <row r="281" spans="1:16">
      <c r="A281" s="230" t="s">
        <v>926</v>
      </c>
      <c r="B281" s="147">
        <v>-7.9000000000000008E-3</v>
      </c>
      <c r="C281" s="147">
        <v>2.8399999999999998E-2</v>
      </c>
      <c r="D281" s="147">
        <v>-2.8700000000000003E-2</v>
      </c>
      <c r="E281" s="147">
        <v>2.9100000000000001E-2</v>
      </c>
      <c r="F281" s="147">
        <v>2.9999999999999997E-4</v>
      </c>
      <c r="G281" s="147">
        <v>1.6000000000000001E-3</v>
      </c>
      <c r="I281" s="27">
        <f t="shared" si="28"/>
        <v>6.6828199236166813E-2</v>
      </c>
      <c r="J281">
        <f t="shared" si="34"/>
        <v>-1.9E-3</v>
      </c>
      <c r="L281">
        <f t="shared" si="29"/>
        <v>-1.14E-2</v>
      </c>
      <c r="M281">
        <f t="shared" si="30"/>
        <v>2.8399999999999998E-2</v>
      </c>
      <c r="N281">
        <f t="shared" si="31"/>
        <v>-2.8700000000000003E-2</v>
      </c>
      <c r="O281">
        <f t="shared" si="32"/>
        <v>2.9100000000000001E-2</v>
      </c>
      <c r="P281">
        <f t="shared" si="33"/>
        <v>2.9999999999999997E-4</v>
      </c>
    </row>
    <row r="282" spans="1:16">
      <c r="A282" s="230" t="s">
        <v>927</v>
      </c>
      <c r="B282" s="147">
        <v>5.1100000000000007E-2</v>
      </c>
      <c r="C282" s="147">
        <v>-1.29E-2</v>
      </c>
      <c r="D282" s="147">
        <v>-2.0999999999999999E-3</v>
      </c>
      <c r="E282" s="147">
        <v>2.1299999999999999E-2</v>
      </c>
      <c r="F282" s="147">
        <v>1.0800000000000001E-2</v>
      </c>
      <c r="G282" s="147">
        <v>6.6200000000000009E-2</v>
      </c>
      <c r="I282" s="27">
        <f t="shared" si="28"/>
        <v>0.10507658958763137</v>
      </c>
      <c r="J282">
        <f t="shared" si="34"/>
        <v>6.2700000000000006E-2</v>
      </c>
      <c r="L282">
        <f t="shared" si="29"/>
        <v>4.7600000000000003E-2</v>
      </c>
      <c r="M282">
        <f t="shared" si="30"/>
        <v>-1.29E-2</v>
      </c>
      <c r="N282">
        <f t="shared" si="31"/>
        <v>-2.0999999999999999E-3</v>
      </c>
      <c r="O282">
        <f t="shared" si="32"/>
        <v>2.1299999999999999E-2</v>
      </c>
      <c r="P282">
        <f t="shared" si="33"/>
        <v>1.0800000000000001E-2</v>
      </c>
    </row>
    <row r="283" spans="1:16">
      <c r="A283" s="230" t="s">
        <v>928</v>
      </c>
      <c r="B283" s="147">
        <v>1.55E-2</v>
      </c>
      <c r="C283" s="147">
        <v>-8.8999999999999999E-3</v>
      </c>
      <c r="D283" s="147">
        <v>1.2800000000000001E-2</v>
      </c>
      <c r="E283" s="147">
        <v>1.8000000000000002E-2</v>
      </c>
      <c r="F283" s="147">
        <v>8.6999999999999994E-3</v>
      </c>
      <c r="G283" s="147">
        <v>3.04E-2</v>
      </c>
      <c r="I283" s="27">
        <f t="shared" si="28"/>
        <v>5.7783114941290833E-2</v>
      </c>
      <c r="J283">
        <f t="shared" si="34"/>
        <v>2.69E-2</v>
      </c>
      <c r="L283">
        <f t="shared" si="29"/>
        <v>1.2E-2</v>
      </c>
      <c r="M283">
        <f t="shared" si="30"/>
        <v>-8.8999999999999999E-3</v>
      </c>
      <c r="N283">
        <f t="shared" si="31"/>
        <v>1.2800000000000001E-2</v>
      </c>
      <c r="O283">
        <f t="shared" si="32"/>
        <v>1.8000000000000002E-2</v>
      </c>
      <c r="P283">
        <f t="shared" si="33"/>
        <v>8.6999999999999994E-3</v>
      </c>
    </row>
    <row r="284" spans="1:16">
      <c r="A284" s="230" t="s">
        <v>929</v>
      </c>
      <c r="B284" s="147">
        <v>-5.9299999999999999E-2</v>
      </c>
      <c r="C284" s="147">
        <v>-3.4599999999999999E-2</v>
      </c>
      <c r="D284" s="147">
        <v>4.7E-2</v>
      </c>
      <c r="E284" s="147">
        <v>-5.4000000000000003E-3</v>
      </c>
      <c r="F284" s="147">
        <v>8.3999999999999995E-3</v>
      </c>
      <c r="G284" s="147">
        <v>-7.5999999999999998E-2</v>
      </c>
      <c r="I284" s="27">
        <f t="shared" si="28"/>
        <v>-8.426950467578917E-2</v>
      </c>
      <c r="J284">
        <f t="shared" si="34"/>
        <v>-7.9500000000000001E-2</v>
      </c>
      <c r="L284">
        <f t="shared" si="29"/>
        <v>-6.2799999999999995E-2</v>
      </c>
      <c r="M284">
        <f t="shared" si="30"/>
        <v>-3.4599999999999999E-2</v>
      </c>
      <c r="N284">
        <f t="shared" si="31"/>
        <v>4.7E-2</v>
      </c>
      <c r="O284">
        <f t="shared" si="32"/>
        <v>-5.4000000000000003E-3</v>
      </c>
      <c r="P284">
        <f t="shared" si="33"/>
        <v>8.3999999999999995E-3</v>
      </c>
    </row>
    <row r="285" spans="1:16">
      <c r="A285" s="230" t="s">
        <v>930</v>
      </c>
      <c r="B285" s="147">
        <v>6.5299999999999997E-2</v>
      </c>
      <c r="C285" s="147">
        <v>-4.3499999999999997E-2</v>
      </c>
      <c r="D285" s="147">
        <v>3.5099999999999999E-2</v>
      </c>
      <c r="E285" s="147">
        <v>-1.66E-2</v>
      </c>
      <c r="F285" s="147">
        <v>3.2100000000000004E-2</v>
      </c>
      <c r="G285" s="147">
        <v>3.7100000000000001E-2</v>
      </c>
      <c r="I285" s="27">
        <f t="shared" si="28"/>
        <v>7.5505039330812082E-2</v>
      </c>
      <c r="J285">
        <f t="shared" si="34"/>
        <v>3.3599999999999998E-2</v>
      </c>
      <c r="L285">
        <f t="shared" si="29"/>
        <v>6.1799999999999994E-2</v>
      </c>
      <c r="M285">
        <f t="shared" si="30"/>
        <v>-4.3499999999999997E-2</v>
      </c>
      <c r="N285">
        <f t="shared" si="31"/>
        <v>3.5099999999999999E-2</v>
      </c>
      <c r="O285">
        <f t="shared" si="32"/>
        <v>-1.66E-2</v>
      </c>
      <c r="P285">
        <f t="shared" si="33"/>
        <v>3.2100000000000004E-2</v>
      </c>
    </row>
    <row r="286" spans="1:16">
      <c r="A286" s="230" t="s">
        <v>931</v>
      </c>
      <c r="B286" s="147">
        <v>-8.1499999999999989E-2</v>
      </c>
      <c r="C286" s="147">
        <v>2.0499999999999997E-2</v>
      </c>
      <c r="D286" s="147">
        <v>3.2199999999999999E-2</v>
      </c>
      <c r="E286" s="147">
        <v>-8.0000000000000004E-4</v>
      </c>
      <c r="F286" s="147">
        <v>3.7100000000000001E-2</v>
      </c>
      <c r="G286" s="147">
        <v>-0.11470000000000001</v>
      </c>
      <c r="I286" s="27">
        <f t="shared" si="28"/>
        <v>1.2444337554153088E-2</v>
      </c>
      <c r="J286">
        <f t="shared" si="34"/>
        <v>-0.11820000000000001</v>
      </c>
      <c r="L286">
        <f t="shared" si="29"/>
        <v>-8.4999999999999992E-2</v>
      </c>
      <c r="M286">
        <f t="shared" si="30"/>
        <v>2.0499999999999997E-2</v>
      </c>
      <c r="N286">
        <f t="shared" si="31"/>
        <v>3.2199999999999999E-2</v>
      </c>
      <c r="O286">
        <f t="shared" si="32"/>
        <v>-8.0000000000000004E-4</v>
      </c>
      <c r="P286">
        <f t="shared" si="33"/>
        <v>3.7100000000000001E-2</v>
      </c>
    </row>
    <row r="287" spans="1:16">
      <c r="A287" s="230" t="s">
        <v>932</v>
      </c>
      <c r="B287" s="147">
        <v>5.1200000000000002E-2</v>
      </c>
      <c r="C287" s="147">
        <v>-2.3300000000000001E-2</v>
      </c>
      <c r="D287" s="147">
        <v>-1.4199999999999999E-2</v>
      </c>
      <c r="E287" s="147">
        <v>-5.0000000000000001E-4</v>
      </c>
      <c r="F287" s="147">
        <v>0.01</v>
      </c>
      <c r="G287" s="147">
        <v>7.2400000000000006E-2</v>
      </c>
      <c r="I287" s="27">
        <f t="shared" si="28"/>
        <v>5.9298861795926139E-2</v>
      </c>
      <c r="J287">
        <f t="shared" si="34"/>
        <v>6.8900000000000003E-2</v>
      </c>
      <c r="L287">
        <f t="shared" si="29"/>
        <v>4.7699999999999999E-2</v>
      </c>
      <c r="M287">
        <f t="shared" si="30"/>
        <v>-2.3300000000000001E-2</v>
      </c>
      <c r="N287">
        <f t="shared" si="31"/>
        <v>-1.4199999999999999E-2</v>
      </c>
      <c r="O287">
        <f t="shared" si="32"/>
        <v>-5.0000000000000001E-4</v>
      </c>
      <c r="P287">
        <f t="shared" si="33"/>
        <v>0.01</v>
      </c>
    </row>
    <row r="288" spans="1:16">
      <c r="A288" s="230" t="s">
        <v>933</v>
      </c>
      <c r="B288" s="147">
        <v>1.5600000000000001E-2</v>
      </c>
      <c r="C288" s="147">
        <v>-1.8800000000000001E-2</v>
      </c>
      <c r="D288" s="147">
        <v>-7.000000000000001E-4</v>
      </c>
      <c r="E288" s="147">
        <v>1.0900000000000002E-2</v>
      </c>
      <c r="F288" s="147">
        <v>6.7000000000000002E-3</v>
      </c>
      <c r="G288" s="147">
        <v>4.3E-3</v>
      </c>
      <c r="I288" s="27">
        <f t="shared" si="28"/>
        <v>3.6339732883198653E-2</v>
      </c>
      <c r="J288">
        <f t="shared" si="34"/>
        <v>7.9999999999999993E-4</v>
      </c>
      <c r="L288">
        <f t="shared" si="29"/>
        <v>1.2100000000000001E-2</v>
      </c>
      <c r="M288">
        <f t="shared" si="30"/>
        <v>-1.8800000000000001E-2</v>
      </c>
      <c r="N288">
        <f t="shared" si="31"/>
        <v>-7.000000000000001E-4</v>
      </c>
      <c r="O288">
        <f t="shared" si="32"/>
        <v>1.0900000000000002E-2</v>
      </c>
      <c r="P288">
        <f t="shared" si="33"/>
        <v>6.7000000000000002E-3</v>
      </c>
    </row>
    <row r="289" spans="1:16">
      <c r="A289" s="230" t="s">
        <v>934</v>
      </c>
      <c r="B289" s="147">
        <v>-2.7799999999999998E-2</v>
      </c>
      <c r="C289" s="147">
        <v>1.1999999999999999E-3</v>
      </c>
      <c r="D289" s="147">
        <v>3.5999999999999999E-3</v>
      </c>
      <c r="E289" s="147">
        <v>7.9000000000000008E-3</v>
      </c>
      <c r="F289" s="147">
        <v>8.9999999999999998E-4</v>
      </c>
      <c r="G289" s="147">
        <v>-2.1299999999999999E-2</v>
      </c>
      <c r="I289" s="27">
        <f t="shared" si="28"/>
        <v>-1.4681852435393439E-2</v>
      </c>
      <c r="J289">
        <f t="shared" si="34"/>
        <v>-2.4799999999999999E-2</v>
      </c>
      <c r="L289">
        <f t="shared" si="29"/>
        <v>-3.1300000000000001E-2</v>
      </c>
      <c r="M289">
        <f t="shared" si="30"/>
        <v>1.1999999999999999E-3</v>
      </c>
      <c r="N289">
        <f t="shared" si="31"/>
        <v>3.5999999999999999E-3</v>
      </c>
      <c r="O289">
        <f t="shared" si="32"/>
        <v>7.9000000000000008E-3</v>
      </c>
      <c r="P289">
        <f t="shared" si="33"/>
        <v>8.9999999999999998E-4</v>
      </c>
    </row>
    <row r="290" spans="1:16">
      <c r="A290" s="230" t="s">
        <v>935</v>
      </c>
      <c r="B290" s="147">
        <v>0.12890000000000001</v>
      </c>
      <c r="C290" s="147">
        <v>-1.54E-2</v>
      </c>
      <c r="D290" s="147">
        <v>-3.1600000000000003E-2</v>
      </c>
      <c r="E290" s="147">
        <v>1.7000000000000001E-3</v>
      </c>
      <c r="F290" s="147">
        <v>-0.01</v>
      </c>
      <c r="G290" s="147">
        <v>0.18050000000000002</v>
      </c>
      <c r="I290" s="27">
        <f t="shared" si="28"/>
        <v>0.10013187083328437</v>
      </c>
      <c r="J290">
        <f t="shared" si="34"/>
        <v>0.17700000000000002</v>
      </c>
      <c r="L290">
        <f t="shared" si="29"/>
        <v>0.12540000000000001</v>
      </c>
      <c r="M290">
        <f t="shared" si="30"/>
        <v>-1.54E-2</v>
      </c>
      <c r="N290">
        <f t="shared" si="31"/>
        <v>-3.1600000000000003E-2</v>
      </c>
      <c r="O290">
        <f t="shared" si="32"/>
        <v>1.7000000000000001E-3</v>
      </c>
      <c r="P290">
        <f t="shared" si="33"/>
        <v>-0.01</v>
      </c>
    </row>
    <row r="291" spans="1:16">
      <c r="A291" s="230" t="s">
        <v>936</v>
      </c>
      <c r="B291" s="147">
        <v>4.8199999999999993E-2</v>
      </c>
      <c r="C291" s="147">
        <v>3.4000000000000002E-2</v>
      </c>
      <c r="D291" s="147">
        <v>-5.91E-2</v>
      </c>
      <c r="E291" s="147">
        <v>-7.6E-3</v>
      </c>
      <c r="F291" s="147">
        <v>-2.6600000000000002E-2</v>
      </c>
      <c r="G291" s="147">
        <v>5.2199999999999996E-2</v>
      </c>
      <c r="I291" s="27">
        <f t="shared" si="28"/>
        <v>-5.1619570654179133E-4</v>
      </c>
      <c r="J291">
        <f t="shared" si="34"/>
        <v>4.8699999999999993E-2</v>
      </c>
      <c r="L291">
        <f t="shared" si="29"/>
        <v>4.469999999999999E-2</v>
      </c>
      <c r="M291">
        <f t="shared" si="30"/>
        <v>3.4000000000000002E-2</v>
      </c>
      <c r="N291">
        <f t="shared" si="31"/>
        <v>-5.91E-2</v>
      </c>
      <c r="O291">
        <f t="shared" si="32"/>
        <v>-7.6E-3</v>
      </c>
      <c r="P291">
        <f t="shared" si="33"/>
        <v>-2.6600000000000002E-2</v>
      </c>
    </row>
    <row r="292" spans="1:16">
      <c r="A292" s="230" t="s">
        <v>937</v>
      </c>
      <c r="B292" s="147">
        <v>2.1099999999999997E-2</v>
      </c>
      <c r="C292" s="147">
        <v>2.8000000000000004E-3</v>
      </c>
      <c r="D292" s="147">
        <v>1.61E-2</v>
      </c>
      <c r="E292" s="147">
        <v>1.3600000000000001E-2</v>
      </c>
      <c r="F292" s="147">
        <v>4.1399999999999999E-2</v>
      </c>
      <c r="G292" s="147">
        <v>4.0899999999999999E-2</v>
      </c>
      <c r="I292" s="27">
        <f t="shared" si="28"/>
        <v>0.14361533410012595</v>
      </c>
      <c r="J292">
        <f t="shared" si="34"/>
        <v>3.7399999999999996E-2</v>
      </c>
      <c r="L292">
        <f t="shared" si="29"/>
        <v>1.7599999999999998E-2</v>
      </c>
      <c r="M292">
        <f t="shared" si="30"/>
        <v>2.8000000000000004E-3</v>
      </c>
      <c r="N292">
        <f t="shared" si="31"/>
        <v>1.61E-2</v>
      </c>
      <c r="O292">
        <f t="shared" si="32"/>
        <v>1.3600000000000001E-2</v>
      </c>
      <c r="P292">
        <f t="shared" si="33"/>
        <v>4.1399999999999999E-2</v>
      </c>
    </row>
    <row r="293" spans="1:16">
      <c r="A293" s="230" t="s">
        <v>938</v>
      </c>
      <c r="B293" s="147">
        <v>-1.67E-2</v>
      </c>
      <c r="C293" s="147">
        <v>-1.54E-2</v>
      </c>
      <c r="D293" s="147">
        <v>-3.9000000000000003E-3</v>
      </c>
      <c r="E293" s="147">
        <v>-4.8999999999999998E-3</v>
      </c>
      <c r="F293" s="147">
        <v>1.0500000000000001E-2</v>
      </c>
      <c r="G293" s="147">
        <v>4.4000000000000003E-3</v>
      </c>
      <c r="I293" s="27">
        <f t="shared" si="28"/>
        <v>-1.2312594479281059E-2</v>
      </c>
      <c r="J293">
        <f t="shared" si="34"/>
        <v>9.0000000000000019E-4</v>
      </c>
      <c r="L293">
        <f t="shared" si="29"/>
        <v>-2.0199999999999999E-2</v>
      </c>
      <c r="M293">
        <f t="shared" si="30"/>
        <v>-1.54E-2</v>
      </c>
      <c r="N293">
        <f t="shared" si="31"/>
        <v>-3.9000000000000003E-3</v>
      </c>
      <c r="O293">
        <f t="shared" si="32"/>
        <v>-4.8999999999999998E-3</v>
      </c>
      <c r="P293">
        <f t="shared" si="33"/>
        <v>1.0500000000000001E-2</v>
      </c>
    </row>
    <row r="294" spans="1:16">
      <c r="A294" s="230" t="s">
        <v>939</v>
      </c>
      <c r="B294" s="147">
        <v>4.8999999999999998E-3</v>
      </c>
      <c r="C294" s="147">
        <v>-5.6000000000000008E-3</v>
      </c>
      <c r="D294" s="147">
        <v>2.3E-3</v>
      </c>
      <c r="E294" s="147">
        <v>5.1000000000000004E-3</v>
      </c>
      <c r="F294" s="147">
        <v>1.1399999999999999E-2</v>
      </c>
      <c r="G294" s="147">
        <v>8.3999999999999995E-3</v>
      </c>
      <c r="I294" s="27">
        <f t="shared" si="28"/>
        <v>3.4822903597827068E-2</v>
      </c>
      <c r="J294">
        <f t="shared" si="34"/>
        <v>4.8999999999999998E-3</v>
      </c>
      <c r="L294">
        <f t="shared" si="29"/>
        <v>1.3999999999999998E-3</v>
      </c>
      <c r="M294">
        <f t="shared" si="30"/>
        <v>-5.6000000000000008E-3</v>
      </c>
      <c r="N294">
        <f t="shared" si="31"/>
        <v>2.3E-3</v>
      </c>
      <c r="O294">
        <f t="shared" si="32"/>
        <v>5.1000000000000004E-3</v>
      </c>
      <c r="P294">
        <f t="shared" si="33"/>
        <v>1.1399999999999999E-2</v>
      </c>
    </row>
    <row r="295" spans="1:16">
      <c r="A295" s="230" t="s">
        <v>940</v>
      </c>
      <c r="B295" s="147">
        <v>4.4199999999999996E-2</v>
      </c>
      <c r="C295" s="147">
        <v>-2.2100000000000002E-2</v>
      </c>
      <c r="D295" s="147">
        <v>1.0400000000000001E-2</v>
      </c>
      <c r="E295" s="147">
        <v>1.7000000000000001E-2</v>
      </c>
      <c r="F295" s="147">
        <v>8.3999999999999995E-3</v>
      </c>
      <c r="G295" s="147">
        <v>3.6700000000000003E-2</v>
      </c>
      <c r="I295" s="27">
        <f t="shared" si="28"/>
        <v>7.5756072202594268E-2</v>
      </c>
      <c r="J295">
        <f t="shared" si="34"/>
        <v>3.32E-2</v>
      </c>
      <c r="L295">
        <f t="shared" si="29"/>
        <v>4.0699999999999993E-2</v>
      </c>
      <c r="M295">
        <f t="shared" si="30"/>
        <v>-2.2100000000000002E-2</v>
      </c>
      <c r="N295">
        <f t="shared" si="31"/>
        <v>1.0400000000000001E-2</v>
      </c>
      <c r="O295">
        <f t="shared" si="32"/>
        <v>1.7000000000000001E-2</v>
      </c>
      <c r="P295">
        <f t="shared" si="33"/>
        <v>8.3999999999999995E-3</v>
      </c>
    </row>
    <row r="296" spans="1:16">
      <c r="A296" s="230" t="s">
        <v>941</v>
      </c>
      <c r="B296" s="147">
        <v>4.3099999999999999E-2</v>
      </c>
      <c r="C296" s="147">
        <v>-1.1399999999999999E-2</v>
      </c>
      <c r="D296" s="147">
        <v>6.8000000000000005E-3</v>
      </c>
      <c r="E296" s="147">
        <v>-6.1000000000000004E-3</v>
      </c>
      <c r="F296" s="147">
        <v>1.61E-2</v>
      </c>
      <c r="G296" s="147">
        <v>5.5400000000000005E-2</v>
      </c>
      <c r="I296" s="27">
        <f t="shared" si="28"/>
        <v>5.9611662261798287E-2</v>
      </c>
      <c r="J296">
        <f t="shared" si="34"/>
        <v>5.1900000000000002E-2</v>
      </c>
      <c r="L296">
        <f t="shared" si="29"/>
        <v>3.9599999999999996E-2</v>
      </c>
      <c r="M296">
        <f t="shared" si="30"/>
        <v>-1.1399999999999999E-2</v>
      </c>
      <c r="N296">
        <f t="shared" si="31"/>
        <v>6.8000000000000005E-3</v>
      </c>
      <c r="O296">
        <f t="shared" si="32"/>
        <v>-6.1000000000000004E-3</v>
      </c>
      <c r="P296">
        <f t="shared" si="33"/>
        <v>1.61E-2</v>
      </c>
    </row>
    <row r="297" spans="1:16">
      <c r="A297" s="230" t="s">
        <v>942</v>
      </c>
      <c r="B297" s="147">
        <v>3.9900000000000005E-2</v>
      </c>
      <c r="C297" s="147">
        <v>-9.4000000000000004E-3</v>
      </c>
      <c r="D297" s="147">
        <v>-9.300000000000001E-3</v>
      </c>
      <c r="E297" s="147">
        <v>2.0400000000000001E-2</v>
      </c>
      <c r="F297" s="147">
        <v>-1.61E-2</v>
      </c>
      <c r="G297" s="147">
        <v>4.0800000000000003E-2</v>
      </c>
      <c r="I297" s="27">
        <f t="shared" si="28"/>
        <v>2.9221632056211654E-2</v>
      </c>
      <c r="J297">
        <f t="shared" si="34"/>
        <v>3.73E-2</v>
      </c>
      <c r="L297">
        <f t="shared" si="29"/>
        <v>3.6400000000000002E-2</v>
      </c>
      <c r="M297">
        <f t="shared" si="30"/>
        <v>-9.4000000000000004E-3</v>
      </c>
      <c r="N297">
        <f t="shared" si="31"/>
        <v>-9.300000000000001E-3</v>
      </c>
      <c r="O297">
        <f t="shared" si="32"/>
        <v>2.0400000000000001E-2</v>
      </c>
      <c r="P297">
        <f t="shared" si="33"/>
        <v>-1.61E-2</v>
      </c>
    </row>
    <row r="298" spans="1:16">
      <c r="A298" s="230" t="s">
        <v>943</v>
      </c>
      <c r="B298" s="147">
        <v>-2.1399999999999999E-2</v>
      </c>
      <c r="C298" s="147">
        <v>3.8E-3</v>
      </c>
      <c r="D298" s="147">
        <v>2.7000000000000001E-3</v>
      </c>
      <c r="E298" s="147">
        <v>-9.7000000000000003E-3</v>
      </c>
      <c r="F298" s="147">
        <v>1.8700000000000001E-2</v>
      </c>
      <c r="G298" s="147">
        <v>8.0000000000000004E-4</v>
      </c>
      <c r="I298" s="27">
        <f t="shared" si="28"/>
        <v>5.868765036165683E-3</v>
      </c>
      <c r="J298">
        <f t="shared" si="34"/>
        <v>-2.7000000000000001E-3</v>
      </c>
      <c r="L298">
        <f t="shared" si="29"/>
        <v>-2.4899999999999999E-2</v>
      </c>
      <c r="M298">
        <f t="shared" si="30"/>
        <v>3.8E-3</v>
      </c>
      <c r="N298">
        <f t="shared" si="31"/>
        <v>2.7000000000000001E-3</v>
      </c>
      <c r="O298">
        <f t="shared" si="32"/>
        <v>-9.7000000000000003E-3</v>
      </c>
      <c r="P298">
        <f t="shared" si="33"/>
        <v>1.8700000000000001E-2</v>
      </c>
    </row>
    <row r="299" spans="1:16">
      <c r="A299" s="230" t="s">
        <v>944</v>
      </c>
      <c r="B299" s="147">
        <v>-0.22639999999999999</v>
      </c>
      <c r="C299" s="147">
        <v>-8.0700000000000008E-2</v>
      </c>
      <c r="D299" s="147">
        <v>4.24E-2</v>
      </c>
      <c r="E299" s="147">
        <v>2.0400000000000001E-2</v>
      </c>
      <c r="F299" s="147">
        <v>2.3400000000000001E-2</v>
      </c>
      <c r="G299" s="147">
        <v>-0.26629999999999998</v>
      </c>
      <c r="I299" s="27">
        <f t="shared" si="28"/>
        <v>-0.19656456321505564</v>
      </c>
      <c r="J299">
        <f t="shared" si="34"/>
        <v>-0.26979999999999998</v>
      </c>
      <c r="L299">
        <f t="shared" si="29"/>
        <v>-0.22989999999999999</v>
      </c>
      <c r="M299">
        <f t="shared" si="30"/>
        <v>-8.0700000000000008E-2</v>
      </c>
      <c r="N299">
        <f t="shared" si="31"/>
        <v>4.24E-2</v>
      </c>
      <c r="O299">
        <f t="shared" si="32"/>
        <v>2.0400000000000001E-2</v>
      </c>
      <c r="P299">
        <f t="shared" si="33"/>
        <v>2.3400000000000001E-2</v>
      </c>
    </row>
    <row r="300" spans="1:16">
      <c r="A300" s="230" t="s">
        <v>945</v>
      </c>
      <c r="B300" s="147">
        <v>-7.4199999999999988E-2</v>
      </c>
      <c r="C300" s="147">
        <v>2.8500000000000001E-2</v>
      </c>
      <c r="D300" s="147">
        <v>2.9500000000000002E-2</v>
      </c>
      <c r="E300" s="147">
        <v>-1.8800000000000001E-2</v>
      </c>
      <c r="F300" s="147">
        <v>6.8000000000000005E-3</v>
      </c>
      <c r="G300" s="147">
        <v>-6.1900000000000004E-2</v>
      </c>
      <c r="I300" s="27">
        <f t="shared" si="28"/>
        <v>-8.23942944576537E-2</v>
      </c>
      <c r="J300">
        <f t="shared" si="34"/>
        <v>-6.54E-2</v>
      </c>
      <c r="L300">
        <f t="shared" si="29"/>
        <v>-7.7699999999999991E-2</v>
      </c>
      <c r="M300">
        <f t="shared" si="30"/>
        <v>2.8500000000000001E-2</v>
      </c>
      <c r="N300">
        <f t="shared" si="31"/>
        <v>2.9500000000000002E-2</v>
      </c>
      <c r="O300">
        <f t="shared" si="32"/>
        <v>-1.8800000000000001E-2</v>
      </c>
      <c r="P300">
        <f t="shared" si="33"/>
        <v>6.8000000000000005E-3</v>
      </c>
    </row>
    <row r="301" spans="1:16">
      <c r="A301" s="230" t="s">
        <v>946</v>
      </c>
      <c r="B301" s="147">
        <v>7.1999999999999995E-2</v>
      </c>
      <c r="C301" s="147">
        <v>5.9999999999999995E-4</v>
      </c>
      <c r="D301" s="147">
        <v>-4.4299999999999999E-2</v>
      </c>
      <c r="E301" s="147">
        <v>2.9600000000000001E-2</v>
      </c>
      <c r="F301" s="147">
        <v>-2.4199999999999999E-2</v>
      </c>
      <c r="G301" s="147">
        <v>8.0199999999999994E-2</v>
      </c>
      <c r="I301" s="27">
        <f t="shared" si="28"/>
        <v>7.1779963280657999E-2</v>
      </c>
      <c r="J301">
        <f t="shared" si="34"/>
        <v>7.669999999999999E-2</v>
      </c>
      <c r="L301">
        <f t="shared" si="29"/>
        <v>6.8499999999999991E-2</v>
      </c>
      <c r="M301">
        <f t="shared" si="30"/>
        <v>5.9999999999999995E-4</v>
      </c>
      <c r="N301">
        <f t="shared" si="31"/>
        <v>-4.4299999999999999E-2</v>
      </c>
      <c r="O301">
        <f t="shared" si="32"/>
        <v>2.9600000000000001E-2</v>
      </c>
      <c r="P301">
        <f t="shared" si="33"/>
        <v>-2.4199999999999999E-2</v>
      </c>
    </row>
    <row r="302" spans="1:16">
      <c r="A302" s="230" t="s">
        <v>947</v>
      </c>
      <c r="B302" s="147">
        <v>4.4999999999999998E-2</v>
      </c>
      <c r="C302" s="147">
        <v>-5.1000000000000004E-3</v>
      </c>
      <c r="D302" s="147">
        <v>5.0099999999999999E-2</v>
      </c>
      <c r="E302" s="147">
        <v>-1.1399999999999999E-2</v>
      </c>
      <c r="F302" s="147">
        <v>2.1299999999999999E-2</v>
      </c>
      <c r="G302" s="147">
        <v>-2.0800000000000003E-2</v>
      </c>
      <c r="I302" s="27">
        <f t="shared" si="28"/>
        <v>5.990132868498603E-2</v>
      </c>
      <c r="J302">
        <f t="shared" si="34"/>
        <v>-2.4300000000000002E-2</v>
      </c>
      <c r="L302">
        <f t="shared" si="29"/>
        <v>4.1499999999999995E-2</v>
      </c>
      <c r="M302">
        <f t="shared" si="30"/>
        <v>-5.1000000000000004E-3</v>
      </c>
      <c r="N302">
        <f t="shared" si="31"/>
        <v>5.0099999999999999E-2</v>
      </c>
      <c r="O302">
        <f t="shared" si="32"/>
        <v>-1.1399999999999999E-2</v>
      </c>
      <c r="P302">
        <f t="shared" si="33"/>
        <v>2.1299999999999999E-2</v>
      </c>
    </row>
    <row r="303" spans="1:16">
      <c r="A303" s="230" t="s">
        <v>948</v>
      </c>
      <c r="B303" s="147">
        <v>5.21E-2</v>
      </c>
      <c r="C303" s="147">
        <v>3.32E-2</v>
      </c>
      <c r="D303" s="147">
        <v>-1.7100000000000001E-2</v>
      </c>
      <c r="E303" s="147">
        <v>1.5600000000000001E-2</v>
      </c>
      <c r="F303" s="147">
        <v>-1E-4</v>
      </c>
      <c r="G303" s="147">
        <v>7.5999999999999998E-2</v>
      </c>
      <c r="I303" s="27">
        <f t="shared" si="28"/>
        <v>0.10204899781322251</v>
      </c>
      <c r="J303">
        <f t="shared" si="34"/>
        <v>7.2499999999999995E-2</v>
      </c>
      <c r="L303">
        <f t="shared" si="29"/>
        <v>4.8599999999999997E-2</v>
      </c>
      <c r="M303">
        <f t="shared" si="30"/>
        <v>3.32E-2</v>
      </c>
      <c r="N303">
        <f t="shared" si="31"/>
        <v>-1.7100000000000001E-2</v>
      </c>
      <c r="O303">
        <f t="shared" si="32"/>
        <v>1.5600000000000001E-2</v>
      </c>
      <c r="P303">
        <f t="shared" si="33"/>
        <v>-1E-4</v>
      </c>
    </row>
    <row r="304" spans="1:16">
      <c r="A304" s="230" t="s">
        <v>949</v>
      </c>
      <c r="B304" s="147">
        <v>-1.83E-2</v>
      </c>
      <c r="C304" s="147">
        <v>6.25E-2</v>
      </c>
      <c r="D304" s="147">
        <v>7.3000000000000001E-3</v>
      </c>
      <c r="E304" s="147">
        <v>-2.5000000000000001E-3</v>
      </c>
      <c r="F304" s="147">
        <v>1.8000000000000002E-2</v>
      </c>
      <c r="G304" s="147">
        <v>4.0999999999999995E-3</v>
      </c>
      <c r="I304" s="27">
        <f t="shared" si="28"/>
        <v>5.7885918330813343E-2</v>
      </c>
      <c r="J304">
        <f t="shared" si="34"/>
        <v>5.9999999999999941E-4</v>
      </c>
      <c r="L304">
        <f t="shared" si="29"/>
        <v>-2.18E-2</v>
      </c>
      <c r="M304">
        <f t="shared" si="30"/>
        <v>6.25E-2</v>
      </c>
      <c r="N304">
        <f t="shared" si="31"/>
        <v>7.3000000000000001E-3</v>
      </c>
      <c r="O304">
        <f t="shared" si="32"/>
        <v>-2.5000000000000001E-3</v>
      </c>
      <c r="P304">
        <f t="shared" si="33"/>
        <v>1.8000000000000002E-2</v>
      </c>
    </row>
    <row r="305" spans="1:16">
      <c r="A305" s="230" t="s">
        <v>950</v>
      </c>
      <c r="B305" s="147">
        <v>1.0200000000000001E-2</v>
      </c>
      <c r="C305" s="147">
        <v>1.1599999999999999E-2</v>
      </c>
      <c r="D305" s="147">
        <v>1.67E-2</v>
      </c>
      <c r="E305" s="147">
        <v>-2E-3</v>
      </c>
      <c r="F305" s="147">
        <v>1.9199999999999998E-2</v>
      </c>
      <c r="G305" s="147">
        <v>1.6899999999999998E-2</v>
      </c>
      <c r="I305" s="27">
        <f t="shared" si="28"/>
        <v>5.4892404775932657E-2</v>
      </c>
      <c r="J305">
        <f t="shared" si="34"/>
        <v>1.3399999999999999E-2</v>
      </c>
      <c r="L305">
        <f t="shared" si="29"/>
        <v>6.7000000000000011E-3</v>
      </c>
      <c r="M305">
        <f t="shared" si="30"/>
        <v>1.1599999999999999E-2</v>
      </c>
      <c r="N305">
        <f t="shared" si="31"/>
        <v>1.67E-2</v>
      </c>
      <c r="O305">
        <f t="shared" si="32"/>
        <v>-2E-3</v>
      </c>
      <c r="P305">
        <f t="shared" si="33"/>
        <v>1.9199999999999998E-2</v>
      </c>
    </row>
    <row r="306" spans="1:16">
      <c r="A306" s="230" t="s">
        <v>951</v>
      </c>
      <c r="B306" s="147">
        <v>2.2000000000000006E-3</v>
      </c>
      <c r="C306" s="147">
        <v>-2.5600000000000001E-2</v>
      </c>
      <c r="D306" s="147">
        <v>2.4199999999999999E-2</v>
      </c>
      <c r="E306" s="147">
        <v>-7.4000000000000003E-3</v>
      </c>
      <c r="F306" s="147">
        <v>3.3000000000000004E-3</v>
      </c>
      <c r="G306" s="147">
        <v>-1.1299999999999999E-2</v>
      </c>
      <c r="I306" s="27">
        <f t="shared" si="28"/>
        <v>-2.8401222021187843E-2</v>
      </c>
      <c r="J306">
        <f t="shared" si="34"/>
        <v>-1.4799999999999999E-2</v>
      </c>
      <c r="L306">
        <f t="shared" si="29"/>
        <v>-1.2999999999999995E-3</v>
      </c>
      <c r="M306">
        <f t="shared" si="30"/>
        <v>-2.5600000000000001E-2</v>
      </c>
      <c r="N306">
        <f t="shared" si="31"/>
        <v>2.4199999999999999E-2</v>
      </c>
      <c r="O306">
        <f t="shared" si="32"/>
        <v>-7.4000000000000003E-3</v>
      </c>
      <c r="P306">
        <f t="shared" si="33"/>
        <v>3.3000000000000004E-3</v>
      </c>
    </row>
    <row r="307" spans="1:16">
      <c r="A307" s="230" t="s">
        <v>952</v>
      </c>
      <c r="B307" s="147">
        <v>5.28E-2</v>
      </c>
      <c r="C307" s="147">
        <v>2.1600000000000001E-2</v>
      </c>
      <c r="D307" s="147">
        <v>-1.24E-2</v>
      </c>
      <c r="E307" s="147">
        <v>1.47E-2</v>
      </c>
      <c r="F307" s="147">
        <v>-3.3700000000000001E-2</v>
      </c>
      <c r="G307" s="147">
        <v>3.5099999999999999E-2</v>
      </c>
      <c r="I307" s="27">
        <f t="shared" si="28"/>
        <v>9.0520566620212219E-3</v>
      </c>
      <c r="J307">
        <f t="shared" si="34"/>
        <v>3.1599999999999996E-2</v>
      </c>
      <c r="L307">
        <f t="shared" si="29"/>
        <v>4.9299999999999997E-2</v>
      </c>
      <c r="M307">
        <f t="shared" si="30"/>
        <v>2.1600000000000001E-2</v>
      </c>
      <c r="N307">
        <f t="shared" si="31"/>
        <v>-1.24E-2</v>
      </c>
      <c r="O307">
        <f t="shared" si="32"/>
        <v>1.47E-2</v>
      </c>
      <c r="P307">
        <f t="shared" si="33"/>
        <v>-3.3700000000000001E-2</v>
      </c>
    </row>
    <row r="308" spans="1:16">
      <c r="A308" s="230" t="s">
        <v>953</v>
      </c>
      <c r="B308" s="147">
        <v>-7.4000000000000003E-3</v>
      </c>
      <c r="C308" s="147">
        <v>-2.0999999999999999E-3</v>
      </c>
      <c r="D308" s="147">
        <v>2.2200000000000001E-2</v>
      </c>
      <c r="E308" s="147">
        <v>-5.7999999999999996E-3</v>
      </c>
      <c r="F308" s="147">
        <v>1.52E-2</v>
      </c>
      <c r="G308" s="147">
        <v>-1.0800000000000001E-2</v>
      </c>
      <c r="I308" s="27">
        <f t="shared" si="28"/>
        <v>1.0312058987038738E-2</v>
      </c>
      <c r="J308">
        <f t="shared" si="34"/>
        <v>-1.43E-2</v>
      </c>
      <c r="L308">
        <f t="shared" si="29"/>
        <v>-1.09E-2</v>
      </c>
      <c r="M308">
        <f t="shared" si="30"/>
        <v>-2.0999999999999999E-3</v>
      </c>
      <c r="N308">
        <f t="shared" si="31"/>
        <v>2.2200000000000001E-2</v>
      </c>
      <c r="O308">
        <f t="shared" si="32"/>
        <v>-5.7999999999999996E-3</v>
      </c>
      <c r="P308">
        <f t="shared" si="33"/>
        <v>1.52E-2</v>
      </c>
    </row>
    <row r="309" spans="1:16">
      <c r="A309" s="230" t="s">
        <v>954</v>
      </c>
      <c r="B309" s="147">
        <v>-2.7200000000000005E-2</v>
      </c>
      <c r="C309" s="147">
        <v>-2.9999999999999997E-4</v>
      </c>
      <c r="D309" s="147">
        <v>2.1499999999999998E-2</v>
      </c>
      <c r="E309" s="147">
        <v>-8.199999999999999E-3</v>
      </c>
      <c r="F309" s="147">
        <v>1.7600000000000001E-2</v>
      </c>
      <c r="G309" s="147">
        <v>-2.92E-2</v>
      </c>
      <c r="I309" s="27">
        <f t="shared" si="28"/>
        <v>-6.556486798394167E-3</v>
      </c>
      <c r="J309">
        <f t="shared" si="34"/>
        <v>-3.27E-2</v>
      </c>
      <c r="L309">
        <f t="shared" si="29"/>
        <v>-3.0700000000000005E-2</v>
      </c>
      <c r="M309">
        <f t="shared" si="30"/>
        <v>-2.9999999999999997E-4</v>
      </c>
      <c r="N309">
        <f t="shared" si="31"/>
        <v>2.1499999999999998E-2</v>
      </c>
      <c r="O309">
        <f t="shared" si="32"/>
        <v>-8.199999999999999E-3</v>
      </c>
      <c r="P309">
        <f t="shared" si="33"/>
        <v>1.7600000000000001E-2</v>
      </c>
    </row>
    <row r="310" spans="1:16">
      <c r="A310" s="230" t="s">
        <v>955</v>
      </c>
      <c r="B310" s="147">
        <v>3.9199999999999999E-2</v>
      </c>
      <c r="C310" s="147">
        <v>-1.3600000000000001E-2</v>
      </c>
      <c r="D310" s="147">
        <v>-7.4999999999999997E-3</v>
      </c>
      <c r="E310" s="147">
        <v>1.7600000000000001E-2</v>
      </c>
      <c r="F310" s="147">
        <v>-6.1000000000000004E-3</v>
      </c>
      <c r="G310" s="147">
        <v>4.2999999999999997E-2</v>
      </c>
      <c r="I310" s="27">
        <f t="shared" si="28"/>
        <v>4.5144299899537187E-2</v>
      </c>
      <c r="J310">
        <f t="shared" si="34"/>
        <v>3.9499999999999993E-2</v>
      </c>
      <c r="L310">
        <f t="shared" si="29"/>
        <v>3.5699999999999996E-2</v>
      </c>
      <c r="M310">
        <f t="shared" si="30"/>
        <v>-1.3600000000000001E-2</v>
      </c>
      <c r="N310">
        <f t="shared" si="31"/>
        <v>-7.4999999999999997E-3</v>
      </c>
      <c r="O310">
        <f t="shared" si="32"/>
        <v>1.7600000000000001E-2</v>
      </c>
      <c r="P310">
        <f t="shared" si="33"/>
        <v>-6.1000000000000004E-3</v>
      </c>
    </row>
    <row r="311" spans="1:16">
      <c r="A311" s="230" t="s">
        <v>956</v>
      </c>
      <c r="B311" s="147">
        <v>1.7600000000000001E-2</v>
      </c>
      <c r="C311" s="147">
        <v>-2.9500000000000002E-2</v>
      </c>
      <c r="D311" s="147">
        <v>2.0499999999999997E-2</v>
      </c>
      <c r="E311" s="147">
        <v>1.3000000000000001E-2</v>
      </c>
      <c r="F311" s="147">
        <v>1.03E-2</v>
      </c>
      <c r="G311" s="147">
        <v>1.7000000000000001E-2</v>
      </c>
      <c r="I311" s="27">
        <f t="shared" si="28"/>
        <v>3.9644758608628844E-2</v>
      </c>
      <c r="J311">
        <f t="shared" si="34"/>
        <v>1.3500000000000002E-2</v>
      </c>
      <c r="L311">
        <f t="shared" si="29"/>
        <v>1.4100000000000001E-2</v>
      </c>
      <c r="M311">
        <f t="shared" si="30"/>
        <v>-2.9500000000000002E-2</v>
      </c>
      <c r="N311">
        <f t="shared" si="31"/>
        <v>2.0499999999999997E-2</v>
      </c>
      <c r="O311">
        <f t="shared" si="32"/>
        <v>1.3000000000000001E-2</v>
      </c>
      <c r="P311">
        <f t="shared" si="33"/>
        <v>1.03E-2</v>
      </c>
    </row>
    <row r="312" spans="1:16">
      <c r="A312" s="230" t="s">
        <v>957</v>
      </c>
      <c r="B312" s="147">
        <v>-1.72E-2</v>
      </c>
      <c r="C312" s="147">
        <v>-1.6500000000000001E-2</v>
      </c>
      <c r="D312" s="147">
        <v>1.41E-2</v>
      </c>
      <c r="E312" s="147">
        <v>-2.8000000000000004E-3</v>
      </c>
      <c r="F312" s="147">
        <v>1.6200000000000003E-2</v>
      </c>
      <c r="G312" s="147">
        <v>-2.3E-2</v>
      </c>
      <c r="I312" s="27">
        <f t="shared" si="28"/>
        <v>6.8022252508914303E-4</v>
      </c>
      <c r="J312">
        <f t="shared" si="34"/>
        <v>-2.6499999999999999E-2</v>
      </c>
      <c r="L312">
        <f t="shared" si="29"/>
        <v>-2.07E-2</v>
      </c>
      <c r="M312">
        <f t="shared" si="30"/>
        <v>-1.6500000000000001E-2</v>
      </c>
      <c r="N312">
        <f t="shared" si="31"/>
        <v>1.41E-2</v>
      </c>
      <c r="O312">
        <f t="shared" si="32"/>
        <v>-2.8000000000000004E-3</v>
      </c>
      <c r="P312">
        <f t="shared" si="33"/>
        <v>1.6200000000000003E-2</v>
      </c>
    </row>
    <row r="313" spans="1:16">
      <c r="A313" s="230" t="s">
        <v>958</v>
      </c>
      <c r="B313" s="147">
        <v>2.12E-2</v>
      </c>
      <c r="C313" s="147">
        <v>2.01E-2</v>
      </c>
      <c r="D313" s="147">
        <v>-1.6899999999999998E-2</v>
      </c>
      <c r="E313" s="147">
        <v>6.8999999999999999E-3</v>
      </c>
      <c r="F313" s="147">
        <v>-3.8E-3</v>
      </c>
      <c r="G313" s="147">
        <v>1.9800000000000002E-2</v>
      </c>
      <c r="I313" s="27">
        <f t="shared" si="28"/>
        <v>3.7516036198907241E-2</v>
      </c>
      <c r="J313">
        <f t="shared" si="34"/>
        <v>1.6300000000000002E-2</v>
      </c>
      <c r="L313">
        <f t="shared" si="29"/>
        <v>1.77E-2</v>
      </c>
      <c r="M313">
        <f t="shared" si="30"/>
        <v>2.01E-2</v>
      </c>
      <c r="N313">
        <f t="shared" si="31"/>
        <v>-1.6899999999999998E-2</v>
      </c>
      <c r="O313">
        <f t="shared" si="32"/>
        <v>6.8999999999999999E-3</v>
      </c>
      <c r="P313">
        <f t="shared" si="33"/>
        <v>-3.8E-3</v>
      </c>
    </row>
    <row r="314" spans="1:16">
      <c r="A314" s="230" t="s">
        <v>959</v>
      </c>
      <c r="B314" s="147">
        <v>6.6500000000000004E-2</v>
      </c>
      <c r="C314" s="147">
        <v>-2.3100000000000002E-2</v>
      </c>
      <c r="D314" s="147">
        <v>6.0000000000000001E-3</v>
      </c>
      <c r="E314" s="147">
        <v>-9.4999999999999998E-3</v>
      </c>
      <c r="F314" s="147">
        <v>1.4000000000000002E-3</v>
      </c>
      <c r="G314" s="147">
        <v>6.4000000000000001E-2</v>
      </c>
      <c r="I314" s="27">
        <f t="shared" si="28"/>
        <v>3.2806426771774644E-2</v>
      </c>
      <c r="J314">
        <f t="shared" si="34"/>
        <v>6.0499999999999998E-2</v>
      </c>
      <c r="L314">
        <f t="shared" si="29"/>
        <v>6.3E-2</v>
      </c>
      <c r="M314">
        <f t="shared" si="30"/>
        <v>-2.3100000000000002E-2</v>
      </c>
      <c r="N314">
        <f t="shared" si="31"/>
        <v>6.0000000000000001E-3</v>
      </c>
      <c r="O314">
        <f t="shared" si="32"/>
        <v>-9.4999999999999998E-3</v>
      </c>
      <c r="P314">
        <f t="shared" si="33"/>
        <v>1.4000000000000002E-3</v>
      </c>
    </row>
    <row r="315" spans="1:16">
      <c r="A315" s="230" t="s">
        <v>960</v>
      </c>
      <c r="B315" s="147">
        <v>-1.6399999999999998E-2</v>
      </c>
      <c r="C315" s="147">
        <v>2.7099999999999999E-2</v>
      </c>
      <c r="D315" s="147">
        <v>1.01E-2</v>
      </c>
      <c r="E315" s="147">
        <v>-8.6999999999999994E-3</v>
      </c>
      <c r="F315" s="147">
        <v>1.8100000000000002E-2</v>
      </c>
      <c r="G315" s="147">
        <v>1.7500000000000002E-2</v>
      </c>
      <c r="I315" s="27">
        <f t="shared" si="28"/>
        <v>2.4947805805250776E-2</v>
      </c>
      <c r="J315">
        <f t="shared" si="34"/>
        <v>1.4000000000000002E-2</v>
      </c>
      <c r="L315">
        <f t="shared" si="29"/>
        <v>-1.9899999999999998E-2</v>
      </c>
      <c r="M315">
        <f t="shared" si="30"/>
        <v>2.7099999999999999E-2</v>
      </c>
      <c r="N315">
        <f t="shared" si="31"/>
        <v>1.01E-2</v>
      </c>
      <c r="O315">
        <f t="shared" si="32"/>
        <v>-8.6999999999999994E-3</v>
      </c>
      <c r="P315">
        <f t="shared" si="33"/>
        <v>1.8100000000000002E-2</v>
      </c>
    </row>
    <row r="316" spans="1:16">
      <c r="A316" s="230" t="s">
        <v>961</v>
      </c>
      <c r="B316" s="147">
        <v>2.2400000000000003E-2</v>
      </c>
      <c r="C316" s="147">
        <v>6.8000000000000005E-3</v>
      </c>
      <c r="D316" s="147">
        <v>5.7999999999999996E-3</v>
      </c>
      <c r="E316" s="147">
        <v>5.0000000000000001E-4</v>
      </c>
      <c r="F316" s="147">
        <v>7.1999999999999998E-3</v>
      </c>
      <c r="G316" s="147">
        <v>4.53E-2</v>
      </c>
      <c r="I316" s="27">
        <f t="shared" si="28"/>
        <v>4.0947286252749703E-2</v>
      </c>
      <c r="J316">
        <f t="shared" si="34"/>
        <v>4.1799999999999997E-2</v>
      </c>
      <c r="L316">
        <f t="shared" si="29"/>
        <v>1.8900000000000004E-2</v>
      </c>
      <c r="M316">
        <f t="shared" si="30"/>
        <v>6.8000000000000005E-3</v>
      </c>
      <c r="N316">
        <f t="shared" si="31"/>
        <v>5.7999999999999996E-3</v>
      </c>
      <c r="O316">
        <f t="shared" si="32"/>
        <v>5.0000000000000001E-4</v>
      </c>
      <c r="P316">
        <f t="shared" si="33"/>
        <v>7.1999999999999998E-3</v>
      </c>
    </row>
    <row r="317" spans="1:16">
      <c r="A317" s="230" t="s">
        <v>962</v>
      </c>
      <c r="B317" s="147">
        <v>4.9999999999999996E-2</v>
      </c>
      <c r="C317" s="147">
        <v>-7.8000000000000005E-3</v>
      </c>
      <c r="D317" s="147">
        <v>-1.4199999999999999E-2</v>
      </c>
      <c r="E317" s="147">
        <v>7.0999999999999995E-3</v>
      </c>
      <c r="F317" s="147">
        <v>-5.6999999999999993E-3</v>
      </c>
      <c r="G317" s="147">
        <v>5.5999999999999994E-2</v>
      </c>
      <c r="I317" s="27">
        <f t="shared" si="28"/>
        <v>4.3077182794941778E-2</v>
      </c>
      <c r="J317">
        <f t="shared" si="34"/>
        <v>5.2499999999999991E-2</v>
      </c>
      <c r="L317">
        <f t="shared" si="29"/>
        <v>4.6499999999999993E-2</v>
      </c>
      <c r="M317">
        <f t="shared" si="30"/>
        <v>-7.8000000000000005E-3</v>
      </c>
      <c r="N317">
        <f t="shared" si="31"/>
        <v>-1.4199999999999999E-2</v>
      </c>
      <c r="O317">
        <f t="shared" si="32"/>
        <v>7.0999999999999995E-3</v>
      </c>
      <c r="P317">
        <f t="shared" si="33"/>
        <v>-5.6999999999999993E-3</v>
      </c>
    </row>
    <row r="318" spans="1:16">
      <c r="A318" s="230" t="s">
        <v>963</v>
      </c>
      <c r="B318" s="147">
        <v>4.1400000000000006E-2</v>
      </c>
      <c r="C318" s="147">
        <v>-1E-4</v>
      </c>
      <c r="D318" s="147">
        <v>-8.8000000000000005E-3</v>
      </c>
      <c r="E318" s="147">
        <v>4.8999999999999998E-3</v>
      </c>
      <c r="F318" s="147">
        <v>-8.0000000000000004E-4</v>
      </c>
      <c r="G318" s="147">
        <v>4.7500000000000001E-2</v>
      </c>
      <c r="I318" s="27">
        <f t="shared" si="28"/>
        <v>4.6582412166612068E-2</v>
      </c>
      <c r="J318">
        <f t="shared" si="34"/>
        <v>4.3999999999999997E-2</v>
      </c>
      <c r="L318">
        <f t="shared" si="29"/>
        <v>3.7900000000000003E-2</v>
      </c>
      <c r="M318">
        <f t="shared" si="30"/>
        <v>-1E-4</v>
      </c>
      <c r="N318">
        <f t="shared" si="31"/>
        <v>-8.8000000000000005E-3</v>
      </c>
      <c r="O318">
        <f t="shared" si="32"/>
        <v>4.8999999999999998E-3</v>
      </c>
      <c r="P318">
        <f t="shared" si="33"/>
        <v>-8.0000000000000004E-4</v>
      </c>
    </row>
    <row r="319" spans="1:16">
      <c r="A319" s="230" t="s">
        <v>964</v>
      </c>
      <c r="B319" s="147">
        <v>-6.400000000000002E-3</v>
      </c>
      <c r="C319" s="147">
        <v>-1.0900000000000002E-2</v>
      </c>
      <c r="D319" s="147">
        <v>2.2499999999999999E-2</v>
      </c>
      <c r="E319" s="147">
        <v>2.7000000000000001E-3</v>
      </c>
      <c r="F319" s="147">
        <v>1.5600000000000001E-2</v>
      </c>
      <c r="G319" s="147">
        <v>-3.7000000000000002E-3</v>
      </c>
      <c r="I319" s="27">
        <f t="shared" si="28"/>
        <v>2.1900840170113161E-2</v>
      </c>
      <c r="J319">
        <f t="shared" si="34"/>
        <v>-7.1999999999999998E-3</v>
      </c>
      <c r="L319">
        <f t="shared" si="29"/>
        <v>-9.9000000000000025E-3</v>
      </c>
      <c r="M319">
        <f t="shared" si="30"/>
        <v>-1.0900000000000002E-2</v>
      </c>
      <c r="N319">
        <f t="shared" si="31"/>
        <v>2.2499999999999999E-2</v>
      </c>
      <c r="O319">
        <f t="shared" si="32"/>
        <v>2.7000000000000001E-3</v>
      </c>
      <c r="P319">
        <f t="shared" si="33"/>
        <v>1.5600000000000001E-2</v>
      </c>
    </row>
    <row r="320" spans="1:16">
      <c r="A320" s="230" t="s">
        <v>965</v>
      </c>
      <c r="B320" s="147">
        <v>7.9000000000000015E-2</v>
      </c>
      <c r="C320" s="147">
        <v>-4.1500000000000002E-2</v>
      </c>
      <c r="D320" s="147">
        <v>-2.7900000000000001E-2</v>
      </c>
      <c r="E320" s="147">
        <v>1.9800000000000002E-2</v>
      </c>
      <c r="F320" s="147">
        <v>-5.7999999999999996E-3</v>
      </c>
      <c r="G320" s="147">
        <v>9.06E-2</v>
      </c>
      <c r="I320" s="27">
        <f t="shared" si="28"/>
        <v>7.5624751682264957E-2</v>
      </c>
      <c r="J320">
        <f t="shared" si="34"/>
        <v>8.7099999999999997E-2</v>
      </c>
      <c r="L320">
        <f t="shared" si="29"/>
        <v>7.5500000000000012E-2</v>
      </c>
      <c r="M320">
        <f t="shared" si="30"/>
        <v>-4.1500000000000002E-2</v>
      </c>
      <c r="N320">
        <f t="shared" si="31"/>
        <v>-2.7900000000000001E-2</v>
      </c>
      <c r="O320">
        <f t="shared" si="32"/>
        <v>1.9800000000000002E-2</v>
      </c>
      <c r="P320">
        <f t="shared" si="33"/>
        <v>-5.7999999999999996E-3</v>
      </c>
    </row>
    <row r="321" spans="1:16">
      <c r="A321" s="230" t="s">
        <v>966</v>
      </c>
      <c r="B321" s="147">
        <v>2.18E-2</v>
      </c>
      <c r="C321" s="147">
        <v>4.7999999999999996E-3</v>
      </c>
      <c r="D321" s="147">
        <v>6.0000000000000001E-3</v>
      </c>
      <c r="E321" s="147">
        <v>3.9000000000000003E-3</v>
      </c>
      <c r="F321" s="147">
        <v>-5.7999999999999996E-3</v>
      </c>
      <c r="G321" s="147">
        <v>2.0199999999999999E-2</v>
      </c>
      <c r="I321" s="27">
        <f t="shared" si="28"/>
        <v>1.2873628751720122E-2</v>
      </c>
      <c r="J321">
        <f t="shared" si="34"/>
        <v>1.67E-2</v>
      </c>
      <c r="L321">
        <f t="shared" si="29"/>
        <v>1.83E-2</v>
      </c>
      <c r="M321">
        <f t="shared" si="30"/>
        <v>4.7999999999999996E-3</v>
      </c>
      <c r="N321">
        <f t="shared" si="31"/>
        <v>6.0000000000000001E-3</v>
      </c>
      <c r="O321">
        <f t="shared" si="32"/>
        <v>3.9000000000000003E-3</v>
      </c>
      <c r="P321">
        <f t="shared" si="33"/>
        <v>-5.7999999999999996E-3</v>
      </c>
    </row>
    <row r="322" spans="1:16">
      <c r="A322" s="230" t="s">
        <v>967</v>
      </c>
      <c r="B322" s="147">
        <v>-1.0999999999999994E-3</v>
      </c>
      <c r="C322" s="147">
        <v>4.8999999999999998E-3</v>
      </c>
      <c r="D322" s="147">
        <v>-1.2700000000000001E-2</v>
      </c>
      <c r="E322" s="147">
        <v>1.3999999999999999E-2</v>
      </c>
      <c r="F322" s="147">
        <v>5.0000000000000001E-3</v>
      </c>
      <c r="G322" s="147">
        <v>3.3799999999999997E-2</v>
      </c>
      <c r="I322" s="27">
        <f t="shared" si="28"/>
        <v>3.9112429417866842E-2</v>
      </c>
      <c r="J322">
        <f t="shared" si="34"/>
        <v>3.0299999999999997E-2</v>
      </c>
      <c r="L322">
        <f t="shared" si="29"/>
        <v>-4.5999999999999999E-3</v>
      </c>
      <c r="M322">
        <f t="shared" si="30"/>
        <v>4.8999999999999998E-3</v>
      </c>
      <c r="N322">
        <f t="shared" si="31"/>
        <v>-1.2700000000000001E-2</v>
      </c>
      <c r="O322">
        <f t="shared" si="32"/>
        <v>1.3999999999999999E-2</v>
      </c>
      <c r="P322">
        <f t="shared" si="33"/>
        <v>5.0000000000000001E-3</v>
      </c>
    </row>
    <row r="323" spans="1:16">
      <c r="A323" s="230" t="s">
        <v>968</v>
      </c>
      <c r="B323" s="147">
        <v>-2.9900000000000003E-2</v>
      </c>
      <c r="C323" s="147">
        <v>-3.3000000000000002E-2</v>
      </c>
      <c r="D323" s="147">
        <v>-1.11E-2</v>
      </c>
      <c r="E323" s="147">
        <v>1.1000000000000001E-3</v>
      </c>
      <c r="F323" s="147">
        <v>-4.0000000000000002E-4</v>
      </c>
      <c r="G323" s="147">
        <v>-4.1299999999999996E-2</v>
      </c>
      <c r="I323" s="27">
        <f t="shared" si="28"/>
        <v>-5.1746019840594536E-2</v>
      </c>
      <c r="J323">
        <f t="shared" si="34"/>
        <v>-4.48E-2</v>
      </c>
      <c r="L323">
        <f t="shared" si="29"/>
        <v>-3.3400000000000006E-2</v>
      </c>
      <c r="M323">
        <f t="shared" si="30"/>
        <v>-3.3000000000000002E-2</v>
      </c>
      <c r="N323">
        <f t="shared" si="31"/>
        <v>-1.11E-2</v>
      </c>
      <c r="O323">
        <f t="shared" si="32"/>
        <v>1.1000000000000001E-3</v>
      </c>
      <c r="P323">
        <f t="shared" si="33"/>
        <v>-4.0000000000000002E-4</v>
      </c>
    </row>
    <row r="324" spans="1:16">
      <c r="A324" s="230" t="s">
        <v>969</v>
      </c>
      <c r="B324" s="147">
        <v>1.72E-2</v>
      </c>
      <c r="C324" s="147">
        <v>-1.29E-2</v>
      </c>
      <c r="D324" s="147">
        <v>-1.0900000000000002E-2</v>
      </c>
      <c r="E324" s="147">
        <v>-8.6E-3</v>
      </c>
      <c r="F324" s="147">
        <v>1.41E-2</v>
      </c>
      <c r="G324" s="147">
        <v>1.2700000000000001E-2</v>
      </c>
      <c r="I324" s="27">
        <f t="shared" si="28"/>
        <v>2.6913808014672559E-2</v>
      </c>
      <c r="J324">
        <f t="shared" si="34"/>
        <v>9.2000000000000016E-3</v>
      </c>
      <c r="L324">
        <f t="shared" si="29"/>
        <v>1.37E-2</v>
      </c>
      <c r="M324">
        <f t="shared" si="30"/>
        <v>-1.29E-2</v>
      </c>
      <c r="N324">
        <f t="shared" si="31"/>
        <v>-1.0900000000000002E-2</v>
      </c>
      <c r="O324">
        <f t="shared" si="32"/>
        <v>-8.6E-3</v>
      </c>
      <c r="P324">
        <f t="shared" si="33"/>
        <v>1.41E-2</v>
      </c>
    </row>
    <row r="325" spans="1:16">
      <c r="A325" s="230" t="s">
        <v>970</v>
      </c>
      <c r="B325" s="147">
        <v>1.77E-2</v>
      </c>
      <c r="C325" s="147">
        <v>-2.2700000000000001E-2</v>
      </c>
      <c r="D325" s="147">
        <v>1.6000000000000001E-3</v>
      </c>
      <c r="E325" s="147">
        <v>-7.000000000000001E-4</v>
      </c>
      <c r="F325" s="147">
        <v>1.4199999999999999E-2</v>
      </c>
      <c r="G325" s="147">
        <v>-4.3E-3</v>
      </c>
      <c r="I325" s="27">
        <f t="shared" si="28"/>
        <v>3.296430797116684E-2</v>
      </c>
      <c r="J325">
        <f t="shared" si="34"/>
        <v>-7.7999999999999996E-3</v>
      </c>
      <c r="L325">
        <f t="shared" si="29"/>
        <v>1.4200000000000001E-2</v>
      </c>
      <c r="M325">
        <f t="shared" si="30"/>
        <v>-2.2700000000000001E-2</v>
      </c>
      <c r="N325">
        <f t="shared" si="31"/>
        <v>1.6000000000000001E-3</v>
      </c>
      <c r="O325">
        <f t="shared" si="32"/>
        <v>-7.000000000000001E-4</v>
      </c>
      <c r="P325">
        <f t="shared" si="33"/>
        <v>1.4199999999999999E-2</v>
      </c>
    </row>
    <row r="326" spans="1:16">
      <c r="A326" s="230" t="s">
        <v>971</v>
      </c>
      <c r="B326" s="147">
        <v>-7.2800000000000004E-2</v>
      </c>
      <c r="C326" s="147">
        <v>-1.3100000000000001E-2</v>
      </c>
      <c r="D326" s="147">
        <v>8.5000000000000006E-3</v>
      </c>
      <c r="E326" s="147">
        <v>-1.17E-2</v>
      </c>
      <c r="F326" s="147">
        <v>1.3500000000000002E-2</v>
      </c>
      <c r="G326" s="147">
        <v>-0.1067</v>
      </c>
      <c r="I326" s="27">
        <f t="shared" si="28"/>
        <v>-7.438742964760732E-2</v>
      </c>
      <c r="J326">
        <f t="shared" si="34"/>
        <v>-0.11020000000000001</v>
      </c>
      <c r="L326">
        <f t="shared" si="29"/>
        <v>-7.6300000000000007E-2</v>
      </c>
      <c r="M326">
        <f t="shared" si="30"/>
        <v>-1.3100000000000001E-2</v>
      </c>
      <c r="N326">
        <f t="shared" si="31"/>
        <v>8.5000000000000006E-3</v>
      </c>
      <c r="O326">
        <f t="shared" si="32"/>
        <v>-1.17E-2</v>
      </c>
      <c r="P326">
        <f t="shared" si="33"/>
        <v>1.3500000000000002E-2</v>
      </c>
    </row>
    <row r="327" spans="1:16">
      <c r="A327" s="230" t="s">
        <v>972</v>
      </c>
      <c r="B327" s="147">
        <v>1.6799999999999999E-2</v>
      </c>
      <c r="C327" s="147">
        <v>1.17E-2</v>
      </c>
      <c r="D327" s="147">
        <v>6.4000000000000003E-3</v>
      </c>
      <c r="E327" s="147">
        <v>-2.9999999999999997E-4</v>
      </c>
      <c r="F327" s="147">
        <v>-6.6000000000000008E-3</v>
      </c>
      <c r="G327" s="147">
        <v>1.4499999999999999E-2</v>
      </c>
      <c r="I327" s="27">
        <f t="shared" si="28"/>
        <v>2.7062253165333751E-3</v>
      </c>
      <c r="J327">
        <f t="shared" si="34"/>
        <v>1.0999999999999999E-2</v>
      </c>
      <c r="L327">
        <f t="shared" si="29"/>
        <v>1.3299999999999999E-2</v>
      </c>
      <c r="M327">
        <f t="shared" si="30"/>
        <v>1.17E-2</v>
      </c>
      <c r="N327">
        <f t="shared" si="31"/>
        <v>6.4000000000000003E-3</v>
      </c>
      <c r="O327">
        <f t="shared" si="32"/>
        <v>-2.9999999999999997E-4</v>
      </c>
      <c r="P327">
        <f t="shared" si="33"/>
        <v>-6.6000000000000008E-3</v>
      </c>
    </row>
    <row r="328" spans="1:16">
      <c r="A328" s="230" t="s">
        <v>973</v>
      </c>
      <c r="B328" s="147">
        <v>2.47E-2</v>
      </c>
      <c r="C328" s="147">
        <v>1.6200000000000003E-2</v>
      </c>
      <c r="D328" s="147">
        <v>-2.92E-2</v>
      </c>
      <c r="E328" s="147">
        <v>2.0400000000000001E-2</v>
      </c>
      <c r="F328" s="147">
        <v>-1.0200000000000001E-2</v>
      </c>
      <c r="G328" s="147">
        <v>3.8700000000000005E-2</v>
      </c>
      <c r="I328" s="27">
        <f t="shared" ref="I328:I391" si="35">SUMPRODUCT(B328:F328,$B$4:$F$4)-0.0035</f>
        <v>4.9640560742543541E-2</v>
      </c>
      <c r="J328">
        <f t="shared" si="34"/>
        <v>3.5200000000000002E-2</v>
      </c>
      <c r="L328">
        <f t="shared" ref="L328:L391" si="36">B328-0.0035</f>
        <v>2.12E-2</v>
      </c>
      <c r="M328">
        <f t="shared" ref="M328:M391" si="37">C328</f>
        <v>1.6200000000000003E-2</v>
      </c>
      <c r="N328">
        <f t="shared" ref="N328:N391" si="38">D328</f>
        <v>-2.92E-2</v>
      </c>
      <c r="O328">
        <f t="shared" ref="O328:O391" si="39">E328</f>
        <v>2.0400000000000001E-2</v>
      </c>
      <c r="P328">
        <f t="shared" ref="P328:P391" si="40">F328</f>
        <v>-1.0200000000000001E-2</v>
      </c>
    </row>
    <row r="329" spans="1:16">
      <c r="A329" s="230" t="s">
        <v>974</v>
      </c>
      <c r="B329" s="147">
        <v>-2.6699999999999998E-2</v>
      </c>
      <c r="C329" s="147">
        <v>-3.3000000000000004E-3</v>
      </c>
      <c r="D329" s="147">
        <v>-2.5899999999999999E-2</v>
      </c>
      <c r="E329" s="147">
        <v>1.78E-2</v>
      </c>
      <c r="F329" s="147">
        <v>-9.7999999999999997E-3</v>
      </c>
      <c r="G329" s="147">
        <v>-1.5900000000000001E-2</v>
      </c>
      <c r="I329" s="27">
        <f t="shared" si="35"/>
        <v>-1.8979581211787767E-2</v>
      </c>
      <c r="J329">
        <f t="shared" ref="J329:J392" si="41">G329-0.0035</f>
        <v>-1.9400000000000001E-2</v>
      </c>
      <c r="L329">
        <f t="shared" si="36"/>
        <v>-3.0199999999999998E-2</v>
      </c>
      <c r="M329">
        <f t="shared" si="37"/>
        <v>-3.3000000000000004E-3</v>
      </c>
      <c r="N329">
        <f t="shared" si="38"/>
        <v>-2.5899999999999999E-2</v>
      </c>
      <c r="O329">
        <f t="shared" si="39"/>
        <v>1.78E-2</v>
      </c>
      <c r="P329">
        <f t="shared" si="40"/>
        <v>-9.7999999999999997E-3</v>
      </c>
    </row>
    <row r="330" spans="1:16">
      <c r="A330" s="230" t="s">
        <v>975</v>
      </c>
      <c r="B330" s="147">
        <v>9.0999999999999998E-2</v>
      </c>
      <c r="C330" s="147">
        <v>-2.35E-2</v>
      </c>
      <c r="D330" s="147">
        <v>-3.8300000000000001E-2</v>
      </c>
      <c r="E330" s="147">
        <v>1.5700000000000002E-2</v>
      </c>
      <c r="F330" s="147">
        <v>-1.6799999999999999E-2</v>
      </c>
      <c r="G330" s="147">
        <v>0.13009999999999999</v>
      </c>
      <c r="I330" s="27">
        <f t="shared" si="35"/>
        <v>6.6844034312200401E-2</v>
      </c>
      <c r="J330">
        <f t="shared" si="41"/>
        <v>0.12659999999999999</v>
      </c>
      <c r="L330">
        <f t="shared" si="36"/>
        <v>8.7499999999999994E-2</v>
      </c>
      <c r="M330">
        <f t="shared" si="37"/>
        <v>-2.35E-2</v>
      </c>
      <c r="N330">
        <f t="shared" si="38"/>
        <v>-3.8300000000000001E-2</v>
      </c>
      <c r="O330">
        <f t="shared" si="39"/>
        <v>1.5700000000000002E-2</v>
      </c>
      <c r="P330">
        <f t="shared" si="40"/>
        <v>-1.6799999999999999E-2</v>
      </c>
    </row>
    <row r="331" spans="1:16">
      <c r="A331" s="230" t="s">
        <v>976</v>
      </c>
      <c r="B331" s="147">
        <v>-4.6000000000000017E-3</v>
      </c>
      <c r="C331" s="147">
        <v>1.3500000000000002E-2</v>
      </c>
      <c r="D331" s="147">
        <v>-1.9300000000000001E-2</v>
      </c>
      <c r="E331" s="147">
        <v>-1.03E-2</v>
      </c>
      <c r="F331" s="147">
        <v>-3.9000000000000003E-3</v>
      </c>
      <c r="G331" s="147">
        <v>1.67E-2</v>
      </c>
      <c r="I331" s="27">
        <f t="shared" si="35"/>
        <v>-2.3599378476635225E-2</v>
      </c>
      <c r="J331">
        <f t="shared" si="41"/>
        <v>1.32E-2</v>
      </c>
      <c r="L331">
        <f t="shared" si="36"/>
        <v>-8.1000000000000013E-3</v>
      </c>
      <c r="M331">
        <f t="shared" si="37"/>
        <v>1.3500000000000002E-2</v>
      </c>
      <c r="N331">
        <f t="shared" si="38"/>
        <v>-1.9300000000000001E-2</v>
      </c>
      <c r="O331">
        <f t="shared" si="39"/>
        <v>-1.03E-2</v>
      </c>
      <c r="P331">
        <f t="shared" si="40"/>
        <v>-3.9000000000000003E-3</v>
      </c>
    </row>
    <row r="332" spans="1:16">
      <c r="A332" s="230" t="s">
        <v>977</v>
      </c>
      <c r="B332" s="147">
        <v>-1.2199999999999999E-2</v>
      </c>
      <c r="C332" s="147">
        <v>-3.1600000000000003E-2</v>
      </c>
      <c r="D332" s="147">
        <v>-2.9999999999999997E-4</v>
      </c>
      <c r="E332" s="147">
        <v>-1.8E-3</v>
      </c>
      <c r="F332" s="147">
        <v>3.2100000000000004E-2</v>
      </c>
      <c r="G332" s="147">
        <v>-1.7500000000000002E-2</v>
      </c>
      <c r="I332" s="27">
        <f t="shared" si="35"/>
        <v>4.0084820281572835E-2</v>
      </c>
      <c r="J332">
        <f t="shared" si="41"/>
        <v>-2.1000000000000001E-2</v>
      </c>
      <c r="L332">
        <f t="shared" si="36"/>
        <v>-1.5699999999999999E-2</v>
      </c>
      <c r="M332">
        <f t="shared" si="37"/>
        <v>-3.1600000000000003E-2</v>
      </c>
      <c r="N332">
        <f t="shared" si="38"/>
        <v>-2.9999999999999997E-4</v>
      </c>
      <c r="O332">
        <f t="shared" si="39"/>
        <v>-1.8E-3</v>
      </c>
      <c r="P332">
        <f t="shared" si="40"/>
        <v>3.2100000000000004E-2</v>
      </c>
    </row>
    <row r="333" spans="1:16">
      <c r="A333" s="230" t="s">
        <v>978</v>
      </c>
      <c r="B333" s="147">
        <v>-9.4900000000000012E-2</v>
      </c>
      <c r="C333" s="147">
        <v>-3.8700000000000005E-2</v>
      </c>
      <c r="D333" s="147">
        <v>1.6399999999999998E-2</v>
      </c>
      <c r="E333" s="147">
        <v>-3.4999999999999996E-3</v>
      </c>
      <c r="F333" s="147">
        <v>2.9600000000000001E-2</v>
      </c>
      <c r="G333" s="147">
        <v>-0.1023</v>
      </c>
      <c r="I333" s="27">
        <f t="shared" si="35"/>
        <v>-6.0060574732029887E-2</v>
      </c>
      <c r="J333">
        <f t="shared" si="41"/>
        <v>-0.10580000000000001</v>
      </c>
      <c r="L333">
        <f t="shared" si="36"/>
        <v>-9.8400000000000015E-2</v>
      </c>
      <c r="M333">
        <f t="shared" si="37"/>
        <v>-3.8700000000000005E-2</v>
      </c>
      <c r="N333">
        <f t="shared" si="38"/>
        <v>1.6399999999999998E-2</v>
      </c>
      <c r="O333">
        <f t="shared" si="39"/>
        <v>-3.4999999999999996E-3</v>
      </c>
      <c r="P333">
        <f t="shared" si="40"/>
        <v>2.9600000000000001E-2</v>
      </c>
    </row>
    <row r="334" spans="1:16">
      <c r="A334" s="230" t="s">
        <v>979</v>
      </c>
      <c r="B334" s="147">
        <v>-5.5200000000000006E-2</v>
      </c>
      <c r="C334" s="147">
        <v>-3.7400000000000003E-2</v>
      </c>
      <c r="D334" s="147">
        <v>6.4000000000000003E-3</v>
      </c>
      <c r="E334" s="147">
        <v>5.9999999999999995E-4</v>
      </c>
      <c r="F334" s="147">
        <v>3.6700000000000003E-2</v>
      </c>
      <c r="G334" s="147">
        <v>-6.5199999999999994E-2</v>
      </c>
      <c r="I334" s="27">
        <f t="shared" si="35"/>
        <v>7.6630155084292696E-3</v>
      </c>
      <c r="J334">
        <f t="shared" si="41"/>
        <v>-6.8699999999999997E-2</v>
      </c>
      <c r="L334">
        <f t="shared" si="36"/>
        <v>-5.8700000000000009E-2</v>
      </c>
      <c r="M334">
        <f t="shared" si="37"/>
        <v>-3.7400000000000003E-2</v>
      </c>
      <c r="N334">
        <f t="shared" si="38"/>
        <v>6.4000000000000003E-3</v>
      </c>
      <c r="O334">
        <f t="shared" si="39"/>
        <v>5.9999999999999995E-4</v>
      </c>
      <c r="P334">
        <f t="shared" si="40"/>
        <v>3.6700000000000003E-2</v>
      </c>
    </row>
    <row r="335" spans="1:16">
      <c r="A335" s="230" t="s">
        <v>980</v>
      </c>
      <c r="B335" s="147">
        <v>-1.2399999999999998E-2</v>
      </c>
      <c r="C335" s="147">
        <v>-5.1200000000000002E-2</v>
      </c>
      <c r="D335" s="147">
        <v>1E-3</v>
      </c>
      <c r="E335" s="147">
        <v>2.9700000000000004E-2</v>
      </c>
      <c r="F335" s="147">
        <v>-3.0000000000000001E-3</v>
      </c>
      <c r="G335" s="147">
        <v>-9.0000000000000011E-3</v>
      </c>
      <c r="I335" s="27">
        <f t="shared" si="35"/>
        <v>-3.2438457691249685E-3</v>
      </c>
      <c r="J335">
        <f t="shared" si="41"/>
        <v>-1.2500000000000001E-2</v>
      </c>
      <c r="L335">
        <f t="shared" si="36"/>
        <v>-1.5899999999999997E-2</v>
      </c>
      <c r="M335">
        <f t="shared" si="37"/>
        <v>-5.1200000000000002E-2</v>
      </c>
      <c r="N335">
        <f t="shared" si="38"/>
        <v>1E-3</v>
      </c>
      <c r="O335">
        <f t="shared" si="39"/>
        <v>2.9700000000000004E-2</v>
      </c>
      <c r="P335">
        <f t="shared" si="40"/>
        <v>-3.0000000000000001E-3</v>
      </c>
    </row>
    <row r="336" spans="1:16">
      <c r="A336" s="230" t="s">
        <v>981</v>
      </c>
      <c r="B336" s="147">
        <v>6.9199999999999998E-2</v>
      </c>
      <c r="C336" s="147">
        <v>7.000000000000001E-4</v>
      </c>
      <c r="D336" s="147">
        <v>-3.1000000000000003E-2</v>
      </c>
      <c r="E336" s="147">
        <v>6.5000000000000006E-3</v>
      </c>
      <c r="F336" s="147">
        <v>-4.7400000000000005E-2</v>
      </c>
      <c r="G336" s="147">
        <v>5.5300000000000002E-2</v>
      </c>
      <c r="I336" s="27">
        <f t="shared" si="35"/>
        <v>-3.3310322092980141E-2</v>
      </c>
      <c r="J336">
        <f t="shared" si="41"/>
        <v>5.1799999999999999E-2</v>
      </c>
      <c r="L336">
        <f t="shared" si="36"/>
        <v>6.5699999999999995E-2</v>
      </c>
      <c r="M336">
        <f t="shared" si="37"/>
        <v>7.000000000000001E-4</v>
      </c>
      <c r="N336">
        <f t="shared" si="38"/>
        <v>-3.1000000000000003E-2</v>
      </c>
      <c r="O336">
        <f t="shared" si="39"/>
        <v>6.5000000000000006E-3</v>
      </c>
      <c r="P336">
        <f t="shared" si="40"/>
        <v>-4.7400000000000005E-2</v>
      </c>
    </row>
    <row r="337" spans="1:16">
      <c r="A337" s="230" t="s">
        <v>982</v>
      </c>
      <c r="B337" s="147">
        <v>3.0600000000000002E-2</v>
      </c>
      <c r="C337" s="147">
        <v>6.7000000000000002E-3</v>
      </c>
      <c r="D337" s="147">
        <v>-1.7000000000000001E-2</v>
      </c>
      <c r="E337" s="147">
        <v>2.7300000000000001E-2</v>
      </c>
      <c r="F337" s="147">
        <v>-1.89E-2</v>
      </c>
      <c r="G337" s="147">
        <v>1.77E-2</v>
      </c>
      <c r="I337" s="27">
        <f t="shared" si="35"/>
        <v>3.7674807893744618E-2</v>
      </c>
      <c r="J337">
        <f t="shared" si="41"/>
        <v>1.4200000000000001E-2</v>
      </c>
      <c r="L337">
        <f t="shared" si="36"/>
        <v>2.7100000000000003E-2</v>
      </c>
      <c r="M337">
        <f t="shared" si="37"/>
        <v>6.7000000000000002E-3</v>
      </c>
      <c r="N337">
        <f t="shared" si="38"/>
        <v>-1.7000000000000001E-2</v>
      </c>
      <c r="O337">
        <f t="shared" si="39"/>
        <v>2.7300000000000001E-2</v>
      </c>
      <c r="P337">
        <f t="shared" si="40"/>
        <v>-1.89E-2</v>
      </c>
    </row>
    <row r="338" spans="1:16">
      <c r="A338" s="230" t="s">
        <v>983</v>
      </c>
      <c r="B338" s="147">
        <v>5.2100000000000007E-2</v>
      </c>
      <c r="C338" s="147">
        <v>3.9100000000000003E-2</v>
      </c>
      <c r="D338" s="147">
        <v>-1.6E-2</v>
      </c>
      <c r="E338" s="147">
        <v>1.2800000000000001E-2</v>
      </c>
      <c r="F338" s="147">
        <v>-3.9900000000000005E-2</v>
      </c>
      <c r="G338" s="147">
        <v>6.2000000000000006E-2</v>
      </c>
      <c r="I338" s="27">
        <f t="shared" si="35"/>
        <v>1.7421660210004439E-3</v>
      </c>
      <c r="J338">
        <f t="shared" si="41"/>
        <v>5.8500000000000003E-2</v>
      </c>
      <c r="L338">
        <f t="shared" si="36"/>
        <v>4.8600000000000004E-2</v>
      </c>
      <c r="M338">
        <f t="shared" si="37"/>
        <v>3.9100000000000003E-2</v>
      </c>
      <c r="N338">
        <f t="shared" si="38"/>
        <v>-1.6E-2</v>
      </c>
      <c r="O338">
        <f t="shared" si="39"/>
        <v>1.2800000000000001E-2</v>
      </c>
      <c r="P338">
        <f t="shared" si="40"/>
        <v>-3.9900000000000005E-2</v>
      </c>
    </row>
    <row r="339" spans="1:16">
      <c r="A339" s="230" t="s">
        <v>984</v>
      </c>
      <c r="B339" s="147">
        <v>7.6700000000000004E-2</v>
      </c>
      <c r="C339" s="147">
        <v>3.9399999999999998E-2</v>
      </c>
      <c r="D339" s="147">
        <v>-5.7999999999999996E-3</v>
      </c>
      <c r="E339" s="147">
        <v>-2E-3</v>
      </c>
      <c r="F339" s="147">
        <v>-3.3000000000000004E-3</v>
      </c>
      <c r="G339" s="147">
        <v>9.11E-2</v>
      </c>
      <c r="I339" s="27">
        <f t="shared" si="35"/>
        <v>8.8450764384421315E-2</v>
      </c>
      <c r="J339">
        <f t="shared" si="41"/>
        <v>8.7599999999999997E-2</v>
      </c>
      <c r="L339">
        <f t="shared" si="36"/>
        <v>7.3200000000000001E-2</v>
      </c>
      <c r="M339">
        <f t="shared" si="37"/>
        <v>3.9399999999999998E-2</v>
      </c>
      <c r="N339">
        <f t="shared" si="38"/>
        <v>-5.7999999999999996E-3</v>
      </c>
      <c r="O339">
        <f t="shared" si="39"/>
        <v>-2E-3</v>
      </c>
      <c r="P339">
        <f t="shared" si="40"/>
        <v>-3.3000000000000004E-3</v>
      </c>
    </row>
    <row r="340" spans="1:16">
      <c r="A340" s="230" t="s">
        <v>985</v>
      </c>
      <c r="B340" s="147">
        <v>3.09E-2</v>
      </c>
      <c r="C340" s="147">
        <v>3.8300000000000001E-2</v>
      </c>
      <c r="D340" s="147">
        <v>-1.3899999999999999E-2</v>
      </c>
      <c r="E340" s="147">
        <v>-5.3E-3</v>
      </c>
      <c r="F340" s="147">
        <v>-1.06E-2</v>
      </c>
      <c r="G340" s="147">
        <v>6.4600000000000005E-2</v>
      </c>
      <c r="I340" s="27">
        <f t="shared" si="35"/>
        <v>1.9493039356673045E-2</v>
      </c>
      <c r="J340">
        <f t="shared" si="41"/>
        <v>6.1100000000000002E-2</v>
      </c>
      <c r="L340">
        <f t="shared" si="36"/>
        <v>2.7400000000000001E-2</v>
      </c>
      <c r="M340">
        <f t="shared" si="37"/>
        <v>3.8300000000000001E-2</v>
      </c>
      <c r="N340">
        <f t="shared" si="38"/>
        <v>-1.3899999999999999E-2</v>
      </c>
      <c r="O340">
        <f t="shared" si="39"/>
        <v>-5.3E-3</v>
      </c>
      <c r="P340">
        <f t="shared" si="40"/>
        <v>-1.06E-2</v>
      </c>
    </row>
    <row r="341" spans="1:16">
      <c r="A341" s="230" t="s">
        <v>986</v>
      </c>
      <c r="B341" s="147">
        <v>2.4999999999999996E-3</v>
      </c>
      <c r="C341" s="147">
        <v>3.0999999999999999E-3</v>
      </c>
      <c r="D341" s="147">
        <v>1.4999999999999999E-2</v>
      </c>
      <c r="E341" s="147">
        <v>6.1999999999999998E-3</v>
      </c>
      <c r="F341" s="147">
        <v>7.4000000000000003E-3</v>
      </c>
      <c r="G341" s="147">
        <v>-1.4499999999999999E-2</v>
      </c>
      <c r="I341" s="27">
        <f t="shared" si="35"/>
        <v>2.7545136860612038E-2</v>
      </c>
      <c r="J341">
        <f t="shared" si="41"/>
        <v>-1.7999999999999999E-2</v>
      </c>
      <c r="L341">
        <f t="shared" si="36"/>
        <v>-1.0000000000000005E-3</v>
      </c>
      <c r="M341">
        <f t="shared" si="37"/>
        <v>3.0999999999999999E-3</v>
      </c>
      <c r="N341">
        <f t="shared" si="38"/>
        <v>1.4999999999999999E-2</v>
      </c>
      <c r="O341">
        <f t="shared" si="39"/>
        <v>6.1999999999999998E-3</v>
      </c>
      <c r="P341">
        <f t="shared" si="40"/>
        <v>7.4000000000000003E-3</v>
      </c>
    </row>
    <row r="342" spans="1:16">
      <c r="A342" s="230" t="s">
        <v>987</v>
      </c>
      <c r="B342" s="147">
        <v>4.1200000000000001E-2</v>
      </c>
      <c r="C342" s="147">
        <v>1.4000000000000002E-3</v>
      </c>
      <c r="D342" s="147">
        <v>-5.2000000000000006E-3</v>
      </c>
      <c r="E342" s="147">
        <v>0.02</v>
      </c>
      <c r="F342" s="147">
        <v>-2.4300000000000002E-2</v>
      </c>
      <c r="G342" s="147">
        <v>4.0800000000000003E-2</v>
      </c>
      <c r="I342" s="27">
        <f t="shared" si="35"/>
        <v>1.5660964015123503E-2</v>
      </c>
      <c r="J342">
        <f t="shared" si="41"/>
        <v>3.73E-2</v>
      </c>
      <c r="L342">
        <f t="shared" si="36"/>
        <v>3.7699999999999997E-2</v>
      </c>
      <c r="M342">
        <f t="shared" si="37"/>
        <v>1.4000000000000002E-3</v>
      </c>
      <c r="N342">
        <f t="shared" si="38"/>
        <v>-5.2000000000000006E-3</v>
      </c>
      <c r="O342">
        <f t="shared" si="39"/>
        <v>0.02</v>
      </c>
      <c r="P342">
        <f t="shared" si="40"/>
        <v>-2.4300000000000002E-2</v>
      </c>
    </row>
    <row r="343" spans="1:16">
      <c r="A343" s="230" t="s">
        <v>988</v>
      </c>
      <c r="B343" s="147">
        <v>-4.5200000000000004E-2</v>
      </c>
      <c r="C343" s="147">
        <v>2.3999999999999998E-3</v>
      </c>
      <c r="D343" s="147">
        <v>1.15E-2</v>
      </c>
      <c r="E343" s="147">
        <v>1.7899999999999999E-2</v>
      </c>
      <c r="F343" s="147">
        <v>6.5000000000000006E-3</v>
      </c>
      <c r="G343" s="147">
        <v>-4.6900000000000004E-2</v>
      </c>
      <c r="I343" s="27">
        <f t="shared" si="35"/>
        <v>-8.726863729778757E-4</v>
      </c>
      <c r="J343">
        <f t="shared" si="41"/>
        <v>-5.0400000000000007E-2</v>
      </c>
      <c r="L343">
        <f t="shared" si="36"/>
        <v>-4.8700000000000007E-2</v>
      </c>
      <c r="M343">
        <f t="shared" si="37"/>
        <v>2.3999999999999998E-3</v>
      </c>
      <c r="N343">
        <f t="shared" si="38"/>
        <v>1.15E-2</v>
      </c>
      <c r="O343">
        <f t="shared" si="39"/>
        <v>1.7899999999999999E-2</v>
      </c>
      <c r="P343">
        <f t="shared" si="40"/>
        <v>6.5000000000000006E-3</v>
      </c>
    </row>
    <row r="344" spans="1:16">
      <c r="A344" s="230" t="s">
        <v>989</v>
      </c>
      <c r="B344" s="147">
        <v>4.7300000000000002E-2</v>
      </c>
      <c r="C344" s="147">
        <v>-9.5999999999999992E-3</v>
      </c>
      <c r="D344" s="147">
        <v>-1.3200000000000002E-2</v>
      </c>
      <c r="E344" s="147">
        <v>1.6E-2</v>
      </c>
      <c r="F344" s="147">
        <v>-1.3600000000000001E-2</v>
      </c>
      <c r="G344" s="147">
        <v>7.7300000000000008E-2</v>
      </c>
      <c r="I344" s="27">
        <f t="shared" si="35"/>
        <v>3.552443894091397E-2</v>
      </c>
      <c r="J344">
        <f t="shared" si="41"/>
        <v>7.3800000000000004E-2</v>
      </c>
      <c r="L344">
        <f t="shared" si="36"/>
        <v>4.3799999999999999E-2</v>
      </c>
      <c r="M344">
        <f t="shared" si="37"/>
        <v>-9.5999999999999992E-3</v>
      </c>
      <c r="N344">
        <f t="shared" si="38"/>
        <v>-1.3200000000000002E-2</v>
      </c>
      <c r="O344">
        <f t="shared" si="39"/>
        <v>1.6E-2</v>
      </c>
      <c r="P344">
        <f t="shared" si="40"/>
        <v>-1.3600000000000001E-2</v>
      </c>
    </row>
    <row r="345" spans="1:16">
      <c r="A345" s="230" t="s">
        <v>990</v>
      </c>
      <c r="B345" s="147">
        <v>2.7799999999999998E-2</v>
      </c>
      <c r="C345" s="147">
        <v>1.3999999999999999E-2</v>
      </c>
      <c r="D345" s="147">
        <v>-7.8000000000000005E-3</v>
      </c>
      <c r="E345" s="147">
        <v>8.3999999999999995E-3</v>
      </c>
      <c r="F345" s="147">
        <v>-3.4000000000000002E-3</v>
      </c>
      <c r="G345" s="147">
        <v>5.7800000000000004E-2</v>
      </c>
      <c r="I345" s="27">
        <f t="shared" si="35"/>
        <v>4.1928729726307908E-2</v>
      </c>
      <c r="J345">
        <f t="shared" si="41"/>
        <v>5.4300000000000001E-2</v>
      </c>
      <c r="L345">
        <f t="shared" si="36"/>
        <v>2.4299999999999999E-2</v>
      </c>
      <c r="M345">
        <f t="shared" si="37"/>
        <v>1.3999999999999999E-2</v>
      </c>
      <c r="N345">
        <f t="shared" si="38"/>
        <v>-7.8000000000000005E-3</v>
      </c>
      <c r="O345">
        <f t="shared" si="39"/>
        <v>8.3999999999999995E-3</v>
      </c>
      <c r="P345">
        <f t="shared" si="40"/>
        <v>-3.4000000000000002E-3</v>
      </c>
    </row>
    <row r="346" spans="1:16">
      <c r="A346" s="230" t="s">
        <v>991</v>
      </c>
      <c r="B346" s="147">
        <v>-1.1300000000000001E-2</v>
      </c>
      <c r="C346" s="147">
        <v>1.5600000000000001E-2</v>
      </c>
      <c r="D346" s="147">
        <v>-1.0800000000000001E-2</v>
      </c>
      <c r="E346" s="147">
        <v>-1.8200000000000001E-2</v>
      </c>
      <c r="F346" s="147">
        <v>8.0000000000000004E-4</v>
      </c>
      <c r="G346" s="147">
        <v>5.7999999999999996E-3</v>
      </c>
      <c r="I346" s="27">
        <f t="shared" si="35"/>
        <v>-3.3365985859834212E-2</v>
      </c>
      <c r="J346">
        <f t="shared" si="41"/>
        <v>2.2999999999999995E-3</v>
      </c>
      <c r="L346">
        <f t="shared" si="36"/>
        <v>-1.4800000000000001E-2</v>
      </c>
      <c r="M346">
        <f t="shared" si="37"/>
        <v>1.5600000000000001E-2</v>
      </c>
      <c r="N346">
        <f t="shared" si="38"/>
        <v>-1.0800000000000001E-2</v>
      </c>
      <c r="O346">
        <f t="shared" si="39"/>
        <v>-1.8200000000000001E-2</v>
      </c>
      <c r="P346">
        <f t="shared" si="40"/>
        <v>8.0000000000000004E-4</v>
      </c>
    </row>
    <row r="347" spans="1:16">
      <c r="A347" s="230" t="s">
        <v>992</v>
      </c>
      <c r="B347" s="147">
        <v>1.7100000000000001E-2</v>
      </c>
      <c r="C347" s="147">
        <v>9.1000000000000004E-3</v>
      </c>
      <c r="D347" s="147">
        <v>-4.7000000000000002E-3</v>
      </c>
      <c r="E347" s="147">
        <v>-1.7000000000000001E-2</v>
      </c>
      <c r="F347" s="147">
        <v>-2.3E-3</v>
      </c>
      <c r="G347" s="147">
        <v>3.7600000000000001E-2</v>
      </c>
      <c r="I347" s="27">
        <f t="shared" si="35"/>
        <v>-1.602870344208715E-2</v>
      </c>
      <c r="J347">
        <f t="shared" si="41"/>
        <v>3.4099999999999998E-2</v>
      </c>
      <c r="L347">
        <f t="shared" si="36"/>
        <v>1.3600000000000001E-2</v>
      </c>
      <c r="M347">
        <f t="shared" si="37"/>
        <v>9.1000000000000004E-3</v>
      </c>
      <c r="N347">
        <f t="shared" si="38"/>
        <v>-4.7000000000000002E-3</v>
      </c>
      <c r="O347">
        <f t="shared" si="39"/>
        <v>-1.7000000000000001E-2</v>
      </c>
      <c r="P347">
        <f t="shared" si="40"/>
        <v>-2.3E-3</v>
      </c>
    </row>
    <row r="348" spans="1:16">
      <c r="A348" s="230" t="s">
        <v>993</v>
      </c>
      <c r="B348" s="147">
        <v>-3.8000000000000006E-2</v>
      </c>
      <c r="C348" s="147">
        <v>-8.3000000000000001E-3</v>
      </c>
      <c r="D348" s="147">
        <v>-1.89E-2</v>
      </c>
      <c r="E348" s="147">
        <v>1.11E-2</v>
      </c>
      <c r="F348" s="147">
        <v>1E-4</v>
      </c>
      <c r="G348" s="147">
        <v>-5.4199999999999998E-2</v>
      </c>
      <c r="I348" s="27">
        <f t="shared" si="35"/>
        <v>-2.2598412022928255E-2</v>
      </c>
      <c r="J348">
        <f t="shared" si="41"/>
        <v>-5.7700000000000001E-2</v>
      </c>
      <c r="L348">
        <f t="shared" si="36"/>
        <v>-4.1500000000000009E-2</v>
      </c>
      <c r="M348">
        <f t="shared" si="37"/>
        <v>-8.3000000000000001E-3</v>
      </c>
      <c r="N348">
        <f t="shared" si="38"/>
        <v>-1.89E-2</v>
      </c>
      <c r="O348">
        <f t="shared" si="39"/>
        <v>1.11E-2</v>
      </c>
      <c r="P348">
        <f t="shared" si="40"/>
        <v>1E-4</v>
      </c>
    </row>
    <row r="349" spans="1:16">
      <c r="A349" s="230" t="s">
        <v>994</v>
      </c>
      <c r="B349" s="147">
        <v>0.11219999999999999</v>
      </c>
      <c r="C349" s="147">
        <v>-2.4E-2</v>
      </c>
      <c r="D349" s="147">
        <v>-4.1700000000000001E-2</v>
      </c>
      <c r="E349" s="147">
        <v>3.5499999999999997E-2</v>
      </c>
      <c r="F349" s="147">
        <v>-3.1200000000000002E-2</v>
      </c>
      <c r="G349" s="147">
        <v>0.17699999999999999</v>
      </c>
      <c r="I349" s="27">
        <f t="shared" si="35"/>
        <v>8.8610905469798149E-2</v>
      </c>
      <c r="J349">
        <f t="shared" si="41"/>
        <v>0.17349999999999999</v>
      </c>
      <c r="L349">
        <f t="shared" si="36"/>
        <v>0.10869999999999999</v>
      </c>
      <c r="M349">
        <f t="shared" si="37"/>
        <v>-2.4E-2</v>
      </c>
      <c r="N349">
        <f t="shared" si="38"/>
        <v>-4.1700000000000001E-2</v>
      </c>
      <c r="O349">
        <f t="shared" si="39"/>
        <v>3.5499999999999997E-2</v>
      </c>
      <c r="P349">
        <f t="shared" si="40"/>
        <v>-3.1200000000000002E-2</v>
      </c>
    </row>
    <row r="350" spans="1:16">
      <c r="A350" s="230" t="s">
        <v>995</v>
      </c>
      <c r="B350" s="147">
        <v>-2.4999999999999996E-3</v>
      </c>
      <c r="C350" s="147">
        <v>9.1799999999999993E-2</v>
      </c>
      <c r="D350" s="147">
        <v>4.7100000000000003E-2</v>
      </c>
      <c r="E350" s="147">
        <v>-1.3200000000000002E-2</v>
      </c>
      <c r="F350" s="147">
        <v>3.2000000000000001E-2</v>
      </c>
      <c r="G350" s="147">
        <v>2.5700000000000001E-2</v>
      </c>
      <c r="I350" s="27">
        <f t="shared" si="35"/>
        <v>9.9961320864085781E-2</v>
      </c>
      <c r="J350">
        <f t="shared" si="41"/>
        <v>2.2200000000000001E-2</v>
      </c>
      <c r="L350">
        <f t="shared" si="36"/>
        <v>-6.0000000000000001E-3</v>
      </c>
      <c r="M350">
        <f t="shared" si="37"/>
        <v>9.1799999999999993E-2</v>
      </c>
      <c r="N350">
        <f t="shared" si="38"/>
        <v>4.7100000000000003E-2</v>
      </c>
      <c r="O350">
        <f t="shared" si="39"/>
        <v>-1.3200000000000002E-2</v>
      </c>
      <c r="P350">
        <f t="shared" si="40"/>
        <v>3.2000000000000001E-2</v>
      </c>
    </row>
    <row r="351" spans="1:16">
      <c r="A351" s="230" t="s">
        <v>996</v>
      </c>
      <c r="B351" s="147">
        <v>1.3700000000000002E-2</v>
      </c>
      <c r="C351" s="147">
        <v>1.3300000000000001E-2</v>
      </c>
      <c r="D351" s="147">
        <v>6.4699999999999994E-2</v>
      </c>
      <c r="E351" s="147">
        <v>8.0000000000000004E-4</v>
      </c>
      <c r="F351" s="147">
        <v>2.1899999999999999E-2</v>
      </c>
      <c r="G351" s="147">
        <v>8.3000000000000001E-3</v>
      </c>
      <c r="I351" s="27">
        <f t="shared" si="35"/>
        <v>6.1279730427658274E-2</v>
      </c>
      <c r="J351">
        <f t="shared" si="41"/>
        <v>4.8000000000000004E-3</v>
      </c>
      <c r="L351">
        <f t="shared" si="36"/>
        <v>1.0200000000000002E-2</v>
      </c>
      <c r="M351">
        <f t="shared" si="37"/>
        <v>1.3300000000000001E-2</v>
      </c>
      <c r="N351">
        <f t="shared" si="38"/>
        <v>6.4699999999999994E-2</v>
      </c>
      <c r="O351">
        <f t="shared" si="39"/>
        <v>8.0000000000000004E-4</v>
      </c>
      <c r="P351">
        <f t="shared" si="40"/>
        <v>2.1899999999999999E-2</v>
      </c>
    </row>
    <row r="352" spans="1:16">
      <c r="A352" s="230" t="s">
        <v>997</v>
      </c>
      <c r="B352" s="147">
        <v>-2.3200000000000002E-2</v>
      </c>
      <c r="C352" s="147">
        <v>-9.300000000000001E-3</v>
      </c>
      <c r="D352" s="147">
        <v>3.56E-2</v>
      </c>
      <c r="E352" s="147">
        <v>-1E-4</v>
      </c>
      <c r="F352" s="147">
        <v>1.95E-2</v>
      </c>
      <c r="G352" s="147">
        <v>-4.0399999999999998E-2</v>
      </c>
      <c r="I352" s="27">
        <f t="shared" si="35"/>
        <v>8.0197939158026359E-3</v>
      </c>
      <c r="J352">
        <f t="shared" si="41"/>
        <v>-4.3900000000000002E-2</v>
      </c>
      <c r="L352">
        <f t="shared" si="36"/>
        <v>-2.6700000000000002E-2</v>
      </c>
      <c r="M352">
        <f t="shared" si="37"/>
        <v>-9.300000000000001E-3</v>
      </c>
      <c r="N352">
        <f t="shared" si="38"/>
        <v>3.56E-2</v>
      </c>
      <c r="O352">
        <f t="shared" si="39"/>
        <v>-1E-4</v>
      </c>
      <c r="P352">
        <f t="shared" si="40"/>
        <v>1.95E-2</v>
      </c>
    </row>
    <row r="353" spans="1:16">
      <c r="A353" s="230" t="s">
        <v>998</v>
      </c>
      <c r="B353" s="147">
        <v>1.3900000000000001E-2</v>
      </c>
      <c r="C353" s="147">
        <v>-5.7000000000000002E-2</v>
      </c>
      <c r="D353" s="147">
        <v>4.3400000000000001E-2</v>
      </c>
      <c r="E353" s="147">
        <v>1.6899999999999998E-2</v>
      </c>
      <c r="F353" s="147">
        <v>2.23E-2</v>
      </c>
      <c r="G353" s="147">
        <v>-2.4700000000000003E-2</v>
      </c>
      <c r="I353" s="27">
        <f t="shared" si="35"/>
        <v>4.9999306611575228E-2</v>
      </c>
      <c r="J353">
        <f t="shared" si="41"/>
        <v>-2.8200000000000003E-2</v>
      </c>
      <c r="L353">
        <f t="shared" si="36"/>
        <v>1.0400000000000001E-2</v>
      </c>
      <c r="M353">
        <f t="shared" si="37"/>
        <v>-5.7000000000000002E-2</v>
      </c>
      <c r="N353">
        <f t="shared" si="38"/>
        <v>4.3400000000000001E-2</v>
      </c>
      <c r="O353">
        <f t="shared" si="39"/>
        <v>1.6899999999999998E-2</v>
      </c>
      <c r="P353">
        <f t="shared" si="40"/>
        <v>2.23E-2</v>
      </c>
    </row>
    <row r="354" spans="1:16">
      <c r="A354" s="230" t="s">
        <v>999</v>
      </c>
      <c r="B354" s="147">
        <v>5.8000000000000005E-3</v>
      </c>
      <c r="C354" s="147">
        <v>2.0999999999999999E-3</v>
      </c>
      <c r="D354" s="147">
        <v>1.1899999999999999E-2</v>
      </c>
      <c r="E354" s="147">
        <v>-9.4999999999999998E-3</v>
      </c>
      <c r="F354" s="147">
        <v>4.7999999999999996E-3</v>
      </c>
      <c r="G354" s="147">
        <v>2.3300000000000001E-2</v>
      </c>
      <c r="I354" s="27">
        <f t="shared" si="35"/>
        <v>-4.1335340534065131E-3</v>
      </c>
      <c r="J354">
        <f t="shared" si="41"/>
        <v>1.9800000000000002E-2</v>
      </c>
      <c r="L354">
        <f t="shared" si="36"/>
        <v>2.3000000000000004E-3</v>
      </c>
      <c r="M354">
        <f t="shared" si="37"/>
        <v>2.0999999999999999E-3</v>
      </c>
      <c r="N354">
        <f t="shared" si="38"/>
        <v>1.1899999999999999E-2</v>
      </c>
      <c r="O354">
        <f t="shared" si="39"/>
        <v>-9.4999999999999998E-3</v>
      </c>
      <c r="P354">
        <f t="shared" si="40"/>
        <v>4.7999999999999996E-3</v>
      </c>
    </row>
    <row r="355" spans="1:16">
      <c r="A355" s="230" t="s">
        <v>1000</v>
      </c>
      <c r="B355" s="147">
        <v>-2.0199999999999999E-2</v>
      </c>
      <c r="C355" s="147">
        <v>-2.7300000000000001E-2</v>
      </c>
      <c r="D355" s="147">
        <v>3.2400000000000005E-2</v>
      </c>
      <c r="E355" s="147">
        <v>-5.0000000000000001E-4</v>
      </c>
      <c r="F355" s="147">
        <v>1.01E-2</v>
      </c>
      <c r="G355" s="147">
        <v>-3.9600000000000003E-2</v>
      </c>
      <c r="I355" s="27">
        <f t="shared" si="35"/>
        <v>-2.4207369082938159E-2</v>
      </c>
      <c r="J355">
        <f t="shared" si="41"/>
        <v>-4.3100000000000006E-2</v>
      </c>
      <c r="L355">
        <f t="shared" si="36"/>
        <v>-2.3699999999999999E-2</v>
      </c>
      <c r="M355">
        <f t="shared" si="37"/>
        <v>-2.7300000000000001E-2</v>
      </c>
      <c r="N355">
        <f t="shared" si="38"/>
        <v>3.2400000000000005E-2</v>
      </c>
      <c r="O355">
        <f t="shared" si="39"/>
        <v>-5.0000000000000001E-4</v>
      </c>
      <c r="P355">
        <f t="shared" si="40"/>
        <v>1.01E-2</v>
      </c>
    </row>
    <row r="356" spans="1:16">
      <c r="A356" s="230" t="s">
        <v>1001</v>
      </c>
      <c r="B356" s="147">
        <v>4.0800000000000003E-2</v>
      </c>
      <c r="C356" s="147">
        <v>-6.1999999999999998E-3</v>
      </c>
      <c r="D356" s="147">
        <v>-5.6000000000000008E-3</v>
      </c>
      <c r="E356" s="147">
        <v>1.3000000000000001E-2</v>
      </c>
      <c r="F356" s="147">
        <v>-9.1000000000000004E-3</v>
      </c>
      <c r="G356" s="147">
        <v>4.0099999999999997E-2</v>
      </c>
      <c r="I356" s="27">
        <f t="shared" si="35"/>
        <v>3.5400685732442677E-2</v>
      </c>
      <c r="J356">
        <f t="shared" si="41"/>
        <v>3.6599999999999994E-2</v>
      </c>
      <c r="L356">
        <f t="shared" si="36"/>
        <v>3.73E-2</v>
      </c>
      <c r="M356">
        <f t="shared" si="37"/>
        <v>-6.1999999999999998E-3</v>
      </c>
      <c r="N356">
        <f t="shared" si="38"/>
        <v>-5.6000000000000008E-3</v>
      </c>
      <c r="O356">
        <f t="shared" si="39"/>
        <v>1.3000000000000001E-2</v>
      </c>
      <c r="P356">
        <f t="shared" si="40"/>
        <v>-9.1000000000000004E-3</v>
      </c>
    </row>
    <row r="357" spans="1:16">
      <c r="A357" s="230" t="s">
        <v>1002</v>
      </c>
      <c r="B357" s="147">
        <v>-2.1199999999999997E-2</v>
      </c>
      <c r="C357" s="147">
        <v>-4.1999999999999997E-3</v>
      </c>
      <c r="D357" s="147">
        <v>-1.1000000000000001E-2</v>
      </c>
      <c r="E357" s="147">
        <v>3.7200000000000004E-2</v>
      </c>
      <c r="F357" s="147">
        <v>-1.6500000000000001E-2</v>
      </c>
      <c r="G357" s="147">
        <v>-4.58E-2</v>
      </c>
      <c r="I357" s="27">
        <f t="shared" si="35"/>
        <v>1.4053309670630887E-3</v>
      </c>
      <c r="J357">
        <f t="shared" si="41"/>
        <v>-4.9300000000000004E-2</v>
      </c>
      <c r="L357">
        <f t="shared" si="36"/>
        <v>-2.4699999999999996E-2</v>
      </c>
      <c r="M357">
        <f t="shared" si="37"/>
        <v>-4.1999999999999997E-3</v>
      </c>
      <c r="N357">
        <f t="shared" si="38"/>
        <v>-1.1000000000000001E-2</v>
      </c>
      <c r="O357">
        <f t="shared" si="39"/>
        <v>3.7200000000000004E-2</v>
      </c>
      <c r="P357">
        <f t="shared" si="40"/>
        <v>-1.6500000000000001E-2</v>
      </c>
    </row>
    <row r="358" spans="1:16">
      <c r="A358" s="230" t="s">
        <v>1003</v>
      </c>
      <c r="B358" s="147">
        <v>1.4499999999999999E-2</v>
      </c>
      <c r="C358" s="147">
        <v>4.7999999999999996E-3</v>
      </c>
      <c r="D358" s="147">
        <v>-2.6000000000000003E-3</v>
      </c>
      <c r="E358" s="147">
        <v>1.6399999999999998E-2</v>
      </c>
      <c r="F358" s="147">
        <v>-5.8999999999999999E-3</v>
      </c>
      <c r="G358" s="147">
        <v>4.2599999999999999E-2</v>
      </c>
      <c r="I358" s="27">
        <f t="shared" si="35"/>
        <v>2.9820133961700291E-2</v>
      </c>
      <c r="J358">
        <f t="shared" si="41"/>
        <v>3.9099999999999996E-2</v>
      </c>
      <c r="L358">
        <f t="shared" si="36"/>
        <v>1.0999999999999999E-2</v>
      </c>
      <c r="M358">
        <f t="shared" si="37"/>
        <v>4.7999999999999996E-3</v>
      </c>
      <c r="N358">
        <f t="shared" si="38"/>
        <v>-2.6000000000000003E-3</v>
      </c>
      <c r="O358">
        <f t="shared" si="39"/>
        <v>1.6399999999999998E-2</v>
      </c>
      <c r="P358">
        <f t="shared" si="40"/>
        <v>-5.8999999999999999E-3</v>
      </c>
    </row>
    <row r="359" spans="1:16">
      <c r="A359" s="230" t="s">
        <v>1004</v>
      </c>
      <c r="B359" s="147">
        <v>1.2500000000000001E-2</v>
      </c>
      <c r="C359" s="147">
        <v>2.07E-2</v>
      </c>
      <c r="D359" s="147">
        <v>-1.9800000000000002E-2</v>
      </c>
      <c r="E359" s="147">
        <v>1.24E-2</v>
      </c>
      <c r="F359" s="147">
        <v>-7.9000000000000008E-3</v>
      </c>
      <c r="G359" s="147">
        <v>5.2699999999999997E-2</v>
      </c>
      <c r="I359" s="27">
        <f t="shared" si="35"/>
        <v>2.961847948935158E-2</v>
      </c>
      <c r="J359">
        <f t="shared" si="41"/>
        <v>4.9199999999999994E-2</v>
      </c>
      <c r="L359">
        <f t="shared" si="36"/>
        <v>9.0000000000000011E-3</v>
      </c>
      <c r="M359">
        <f t="shared" si="37"/>
        <v>2.07E-2</v>
      </c>
      <c r="N359">
        <f t="shared" si="38"/>
        <v>-1.9800000000000002E-2</v>
      </c>
      <c r="O359">
        <f t="shared" si="39"/>
        <v>1.24E-2</v>
      </c>
      <c r="P359">
        <f t="shared" si="40"/>
        <v>-7.9000000000000008E-3</v>
      </c>
    </row>
    <row r="360" spans="1:16">
      <c r="A360" s="230" t="s">
        <v>1005</v>
      </c>
      <c r="B360" s="147">
        <v>4.36E-2</v>
      </c>
      <c r="C360" s="147">
        <v>3.9399999999999998E-2</v>
      </c>
      <c r="D360" s="147">
        <v>-1.3500000000000002E-2</v>
      </c>
      <c r="E360" s="147">
        <v>-6.8000000000000005E-3</v>
      </c>
      <c r="F360" s="147">
        <v>-1.5900000000000001E-2</v>
      </c>
      <c r="G360" s="147">
        <v>8.3800000000000013E-2</v>
      </c>
      <c r="I360" s="27">
        <f t="shared" si="35"/>
        <v>1.6942211333709833E-2</v>
      </c>
      <c r="J360">
        <f t="shared" si="41"/>
        <v>8.030000000000001E-2</v>
      </c>
      <c r="L360">
        <f t="shared" si="36"/>
        <v>4.0099999999999997E-2</v>
      </c>
      <c r="M360">
        <f t="shared" si="37"/>
        <v>3.9399999999999998E-2</v>
      </c>
      <c r="N360">
        <f t="shared" si="38"/>
        <v>-1.3500000000000002E-2</v>
      </c>
      <c r="O360">
        <f t="shared" si="39"/>
        <v>-6.8000000000000005E-3</v>
      </c>
      <c r="P360">
        <f t="shared" si="40"/>
        <v>-1.5900000000000001E-2</v>
      </c>
    </row>
    <row r="361" spans="1:16">
      <c r="A361" s="230" t="s">
        <v>1006</v>
      </c>
      <c r="B361" s="147">
        <v>1.8100000000000002E-2</v>
      </c>
      <c r="C361" s="147">
        <v>1.6799999999999999E-2</v>
      </c>
      <c r="D361" s="147">
        <v>2.6200000000000001E-2</v>
      </c>
      <c r="E361" s="147">
        <v>-4.7999999999999996E-3</v>
      </c>
      <c r="F361" s="147">
        <v>8.3999999999999995E-3</v>
      </c>
      <c r="G361" s="147">
        <v>5.6500000000000002E-2</v>
      </c>
      <c r="I361" s="27">
        <f t="shared" si="35"/>
        <v>3.2310642533526598E-2</v>
      </c>
      <c r="J361">
        <f t="shared" si="41"/>
        <v>5.2999999999999999E-2</v>
      </c>
      <c r="L361">
        <f t="shared" si="36"/>
        <v>1.4600000000000002E-2</v>
      </c>
      <c r="M361">
        <f t="shared" si="37"/>
        <v>1.6799999999999999E-2</v>
      </c>
      <c r="N361">
        <f t="shared" si="38"/>
        <v>2.6200000000000001E-2</v>
      </c>
      <c r="O361">
        <f t="shared" si="39"/>
        <v>-4.7999999999999996E-3</v>
      </c>
      <c r="P361">
        <f t="shared" si="40"/>
        <v>8.3999999999999995E-3</v>
      </c>
    </row>
    <row r="362" spans="1:16">
      <c r="A362" s="230" t="s">
        <v>1007</v>
      </c>
      <c r="B362" s="147">
        <v>1.1600000000000001E-2</v>
      </c>
      <c r="C362" s="147">
        <v>1.9300000000000001E-2</v>
      </c>
      <c r="D362" s="147">
        <v>5.9400000000000008E-2</v>
      </c>
      <c r="E362" s="147">
        <v>-1.84E-2</v>
      </c>
      <c r="F362" s="147">
        <v>2.9100000000000001E-2</v>
      </c>
      <c r="G362" s="147">
        <v>6.2300000000000008E-2</v>
      </c>
      <c r="I362" s="27">
        <f t="shared" si="35"/>
        <v>4.724450355266837E-2</v>
      </c>
      <c r="J362">
        <f t="shared" si="41"/>
        <v>5.8800000000000005E-2</v>
      </c>
      <c r="L362">
        <f t="shared" si="36"/>
        <v>8.1000000000000013E-3</v>
      </c>
      <c r="M362">
        <f t="shared" si="37"/>
        <v>1.9300000000000001E-2</v>
      </c>
      <c r="N362">
        <f t="shared" si="38"/>
        <v>5.9400000000000008E-2</v>
      </c>
      <c r="O362">
        <f t="shared" si="39"/>
        <v>-1.84E-2</v>
      </c>
      <c r="P362">
        <f t="shared" si="40"/>
        <v>2.9100000000000001E-2</v>
      </c>
    </row>
    <row r="363" spans="1:16">
      <c r="A363" s="230" t="s">
        <v>1008</v>
      </c>
      <c r="B363" s="147">
        <v>3.4000000000000002E-3</v>
      </c>
      <c r="C363" s="147">
        <v>-3.4500000000000003E-2</v>
      </c>
      <c r="D363" s="147">
        <v>6.4200000000000007E-2</v>
      </c>
      <c r="E363" s="147">
        <v>-4.1999999999999997E-3</v>
      </c>
      <c r="F363" s="147">
        <v>4.1299999999999996E-2</v>
      </c>
      <c r="G363" s="147">
        <v>-7.8000000000000005E-3</v>
      </c>
      <c r="I363" s="27">
        <f t="shared" si="35"/>
        <v>5.8810788766215594E-2</v>
      </c>
      <c r="J363">
        <f t="shared" si="41"/>
        <v>-1.1300000000000001E-2</v>
      </c>
      <c r="L363">
        <f t="shared" si="36"/>
        <v>-9.9999999999999829E-5</v>
      </c>
      <c r="M363">
        <f t="shared" si="37"/>
        <v>-3.4500000000000003E-2</v>
      </c>
      <c r="N363">
        <f t="shared" si="38"/>
        <v>6.4200000000000007E-2</v>
      </c>
      <c r="O363">
        <f t="shared" si="39"/>
        <v>-4.1999999999999997E-3</v>
      </c>
      <c r="P363">
        <f t="shared" si="40"/>
        <v>4.1299999999999996E-2</v>
      </c>
    </row>
    <row r="364" spans="1:16">
      <c r="A364" s="230" t="s">
        <v>1009</v>
      </c>
      <c r="B364" s="147">
        <v>2.5499999999999998E-2</v>
      </c>
      <c r="C364" s="147">
        <v>8.9999999999999998E-4</v>
      </c>
      <c r="D364" s="147">
        <v>1.18E-2</v>
      </c>
      <c r="E364" s="147">
        <v>-1.5E-3</v>
      </c>
      <c r="F364" s="147">
        <v>9.0000000000000011E-3</v>
      </c>
      <c r="G364" s="147">
        <v>4.7300000000000009E-2</v>
      </c>
      <c r="I364" s="27">
        <f t="shared" si="35"/>
        <v>3.9760291754895552E-2</v>
      </c>
      <c r="J364">
        <f t="shared" si="41"/>
        <v>4.3800000000000006E-2</v>
      </c>
      <c r="L364">
        <f t="shared" si="36"/>
        <v>2.1999999999999999E-2</v>
      </c>
      <c r="M364">
        <f t="shared" si="37"/>
        <v>8.9999999999999998E-4</v>
      </c>
      <c r="N364">
        <f t="shared" si="38"/>
        <v>1.18E-2</v>
      </c>
      <c r="O364">
        <f t="shared" si="39"/>
        <v>-1.5E-3</v>
      </c>
      <c r="P364">
        <f t="shared" si="40"/>
        <v>9.0000000000000011E-3</v>
      </c>
    </row>
    <row r="365" spans="1:16">
      <c r="A365" s="230" t="s">
        <v>1010</v>
      </c>
      <c r="B365" s="147">
        <v>-2.81E-2</v>
      </c>
      <c r="C365" s="147">
        <v>-8.5000000000000006E-3</v>
      </c>
      <c r="D365" s="147">
        <v>2.4900000000000002E-2</v>
      </c>
      <c r="E365" s="147">
        <v>-3.61E-2</v>
      </c>
      <c r="F365" s="147">
        <v>1.38E-2</v>
      </c>
      <c r="G365" s="147">
        <v>-3.2899999999999999E-2</v>
      </c>
      <c r="I365" s="27">
        <f t="shared" si="35"/>
        <v>-7.3655166225754298E-2</v>
      </c>
      <c r="J365">
        <f t="shared" si="41"/>
        <v>-3.6400000000000002E-2</v>
      </c>
      <c r="L365">
        <f t="shared" si="36"/>
        <v>-3.1600000000000003E-2</v>
      </c>
      <c r="M365">
        <f t="shared" si="37"/>
        <v>-8.5000000000000006E-3</v>
      </c>
      <c r="N365">
        <f t="shared" si="38"/>
        <v>2.4900000000000002E-2</v>
      </c>
      <c r="O365">
        <f t="shared" si="39"/>
        <v>-3.61E-2</v>
      </c>
      <c r="P365">
        <f t="shared" si="40"/>
        <v>1.38E-2</v>
      </c>
    </row>
    <row r="366" spans="1:16">
      <c r="A366" s="230" t="s">
        <v>1011</v>
      </c>
      <c r="B366" s="147">
        <v>3.1100000000000003E-2</v>
      </c>
      <c r="C366" s="147">
        <v>1.9E-2</v>
      </c>
      <c r="D366" s="147">
        <v>-3.4200000000000001E-2</v>
      </c>
      <c r="E366" s="147">
        <v>-1.1999999999999999E-3</v>
      </c>
      <c r="F366" s="147">
        <v>-1.0400000000000001E-2</v>
      </c>
      <c r="G366" s="147">
        <v>8.0500000000000002E-2</v>
      </c>
      <c r="I366" s="27">
        <f t="shared" si="35"/>
        <v>1.9201145910746103E-2</v>
      </c>
      <c r="J366">
        <f t="shared" si="41"/>
        <v>7.6999999999999999E-2</v>
      </c>
      <c r="L366">
        <f t="shared" si="36"/>
        <v>2.7600000000000003E-2</v>
      </c>
      <c r="M366">
        <f t="shared" si="37"/>
        <v>1.9E-2</v>
      </c>
      <c r="N366">
        <f t="shared" si="38"/>
        <v>-3.4200000000000001E-2</v>
      </c>
      <c r="O366">
        <f t="shared" si="39"/>
        <v>-1.1999999999999999E-3</v>
      </c>
      <c r="P366">
        <f t="shared" si="40"/>
        <v>-1.0400000000000001E-2</v>
      </c>
    </row>
    <row r="367" spans="1:16">
      <c r="A367" s="230" t="s">
        <v>1012</v>
      </c>
      <c r="B367" s="147">
        <v>5.5999999999999999E-3</v>
      </c>
      <c r="C367" s="147">
        <v>1.3000000000000002E-3</v>
      </c>
      <c r="D367" s="147">
        <v>2.75E-2</v>
      </c>
      <c r="E367" s="147">
        <v>-9.1999999999999998E-3</v>
      </c>
      <c r="F367" s="147">
        <v>1.21E-2</v>
      </c>
      <c r="G367" s="147">
        <v>2.9500000000000002E-2</v>
      </c>
      <c r="I367" s="27">
        <f t="shared" si="35"/>
        <v>1.0563075533476358E-2</v>
      </c>
      <c r="J367">
        <f t="shared" si="41"/>
        <v>2.6000000000000002E-2</v>
      </c>
      <c r="L367">
        <f t="shared" si="36"/>
        <v>2.0999999999999999E-3</v>
      </c>
      <c r="M367">
        <f t="shared" si="37"/>
        <v>1.3000000000000002E-3</v>
      </c>
      <c r="N367">
        <f t="shared" si="38"/>
        <v>2.75E-2</v>
      </c>
      <c r="O367">
        <f t="shared" si="39"/>
        <v>-9.1999999999999998E-3</v>
      </c>
      <c r="P367">
        <f t="shared" si="40"/>
        <v>1.21E-2</v>
      </c>
    </row>
    <row r="368" spans="1:16">
      <c r="A368" s="230" t="s">
        <v>1013</v>
      </c>
      <c r="B368" s="147">
        <v>-1.0000000000000005E-3</v>
      </c>
      <c r="C368" s="147">
        <v>9.4999999999999998E-3</v>
      </c>
      <c r="D368" s="147">
        <v>2.8500000000000001E-2</v>
      </c>
      <c r="E368" s="147">
        <v>-1.8700000000000001E-2</v>
      </c>
      <c r="F368" s="147">
        <v>2.06E-2</v>
      </c>
      <c r="G368" s="147">
        <v>7.7000000000000002E-3</v>
      </c>
      <c r="I368" s="27">
        <f t="shared" si="35"/>
        <v>1.3001288823045878E-2</v>
      </c>
      <c r="J368">
        <f t="shared" si="41"/>
        <v>4.2000000000000006E-3</v>
      </c>
      <c r="L368">
        <f t="shared" si="36"/>
        <v>-4.5000000000000005E-3</v>
      </c>
      <c r="M368">
        <f t="shared" si="37"/>
        <v>9.4999999999999998E-3</v>
      </c>
      <c r="N368">
        <f t="shared" si="38"/>
        <v>2.8500000000000001E-2</v>
      </c>
      <c r="O368">
        <f t="shared" si="39"/>
        <v>-1.8700000000000001E-2</v>
      </c>
      <c r="P368">
        <f t="shared" si="40"/>
        <v>2.06E-2</v>
      </c>
    </row>
    <row r="369" spans="1:16">
      <c r="A369" s="230" t="s">
        <v>1014</v>
      </c>
      <c r="B369" s="147">
        <v>3.9600000000000003E-2</v>
      </c>
      <c r="C369" s="147">
        <v>1E-3</v>
      </c>
      <c r="D369" s="147">
        <v>1.3000000000000002E-3</v>
      </c>
      <c r="E369" s="147">
        <v>-1.54E-2</v>
      </c>
      <c r="F369" s="147">
        <v>-4.0000000000000002E-4</v>
      </c>
      <c r="G369" s="147">
        <v>8.5300000000000001E-2</v>
      </c>
      <c r="I369" s="27">
        <f t="shared" si="35"/>
        <v>7.5257025442904656E-3</v>
      </c>
      <c r="J369">
        <f t="shared" si="41"/>
        <v>8.1799999999999998E-2</v>
      </c>
      <c r="L369">
        <f t="shared" si="36"/>
        <v>3.61E-2</v>
      </c>
      <c r="M369">
        <f t="shared" si="37"/>
        <v>1E-3</v>
      </c>
      <c r="N369">
        <f t="shared" si="38"/>
        <v>1.3000000000000002E-3</v>
      </c>
      <c r="O369">
        <f t="shared" si="39"/>
        <v>-1.54E-2</v>
      </c>
      <c r="P369">
        <f t="shared" si="40"/>
        <v>-4.0000000000000002E-4</v>
      </c>
    </row>
    <row r="370" spans="1:16">
      <c r="A370" s="230" t="s">
        <v>1015</v>
      </c>
      <c r="B370" s="147">
        <v>1.4000000000000004E-3</v>
      </c>
      <c r="C370" s="147">
        <v>2.98E-2</v>
      </c>
      <c r="D370" s="147">
        <v>-3.0999999999999999E-3</v>
      </c>
      <c r="E370" s="147">
        <v>2.3999999999999998E-3</v>
      </c>
      <c r="F370" s="147">
        <v>-1.6000000000000001E-3</v>
      </c>
      <c r="G370" s="147">
        <v>4.8899999999999999E-2</v>
      </c>
      <c r="I370" s="27">
        <f t="shared" si="35"/>
        <v>1.8497097608934369E-2</v>
      </c>
      <c r="J370">
        <f t="shared" si="41"/>
        <v>4.5399999999999996E-2</v>
      </c>
      <c r="L370">
        <f t="shared" si="36"/>
        <v>-2.0999999999999994E-3</v>
      </c>
      <c r="M370">
        <f t="shared" si="37"/>
        <v>2.98E-2</v>
      </c>
      <c r="N370">
        <f t="shared" si="38"/>
        <v>-3.0999999999999999E-3</v>
      </c>
      <c r="O370">
        <f t="shared" si="39"/>
        <v>2.3999999999999998E-3</v>
      </c>
      <c r="P370">
        <f t="shared" si="40"/>
        <v>-1.6000000000000001E-3</v>
      </c>
    </row>
    <row r="371" spans="1:16">
      <c r="A371" s="230" t="s">
        <v>1016</v>
      </c>
      <c r="B371" s="147">
        <v>1.6299999999999999E-2</v>
      </c>
      <c r="C371" s="147">
        <v>1.89E-2</v>
      </c>
      <c r="D371" s="147">
        <v>-2.76E-2</v>
      </c>
      <c r="E371" s="147">
        <v>5.6999999999999993E-3</v>
      </c>
      <c r="F371" s="147">
        <v>6.0000000000000001E-3</v>
      </c>
      <c r="G371" s="147">
        <v>8.5000000000000006E-3</v>
      </c>
      <c r="I371" s="27">
        <f t="shared" si="35"/>
        <v>5.6226703502660985E-2</v>
      </c>
      <c r="J371">
        <f t="shared" si="41"/>
        <v>5.000000000000001E-3</v>
      </c>
      <c r="L371">
        <f t="shared" si="36"/>
        <v>1.2799999999999999E-2</v>
      </c>
      <c r="M371">
        <f t="shared" si="37"/>
        <v>1.89E-2</v>
      </c>
      <c r="N371">
        <f t="shared" si="38"/>
        <v>-2.76E-2</v>
      </c>
      <c r="O371">
        <f t="shared" si="39"/>
        <v>5.6999999999999993E-3</v>
      </c>
      <c r="P371">
        <f t="shared" si="40"/>
        <v>6.0000000000000001E-3</v>
      </c>
    </row>
    <row r="372" spans="1:16">
      <c r="A372" s="230" t="s">
        <v>1017</v>
      </c>
      <c r="B372" s="147">
        <v>-1.6400000000000001E-2</v>
      </c>
      <c r="C372" s="147">
        <v>-1.2700000000000001E-2</v>
      </c>
      <c r="D372" s="147">
        <v>-7.4000000000000003E-3</v>
      </c>
      <c r="E372" s="147">
        <v>2.23E-2</v>
      </c>
      <c r="F372" s="147">
        <v>-9.4000000000000004E-3</v>
      </c>
      <c r="G372" s="147">
        <v>-4.8300000000000003E-2</v>
      </c>
      <c r="I372" s="27">
        <f t="shared" si="35"/>
        <v>-9.5480772464178257E-3</v>
      </c>
      <c r="J372">
        <f t="shared" si="41"/>
        <v>-5.1800000000000006E-2</v>
      </c>
      <c r="L372">
        <f t="shared" si="36"/>
        <v>-1.9900000000000001E-2</v>
      </c>
      <c r="M372">
        <f t="shared" si="37"/>
        <v>-1.2700000000000001E-2</v>
      </c>
      <c r="N372">
        <f t="shared" si="38"/>
        <v>-7.4000000000000003E-3</v>
      </c>
      <c r="O372">
        <f t="shared" si="39"/>
        <v>2.23E-2</v>
      </c>
      <c r="P372">
        <f t="shared" si="40"/>
        <v>-9.4000000000000004E-3</v>
      </c>
    </row>
    <row r="373" spans="1:16">
      <c r="A373" s="230" t="s">
        <v>1018</v>
      </c>
      <c r="B373" s="147">
        <v>1.8800000000000001E-2</v>
      </c>
      <c r="C373" s="147">
        <v>1.3999999999999999E-2</v>
      </c>
      <c r="D373" s="147">
        <v>3.2000000000000002E-3</v>
      </c>
      <c r="E373" s="147">
        <v>1.1599999999999999E-2</v>
      </c>
      <c r="F373" s="147">
        <v>-3.4000000000000002E-3</v>
      </c>
      <c r="G373" s="147">
        <v>3.1000000000000003E-2</v>
      </c>
      <c r="I373" s="27">
        <f t="shared" si="35"/>
        <v>3.6443434691707723E-2</v>
      </c>
      <c r="J373">
        <f t="shared" si="41"/>
        <v>2.7500000000000004E-2</v>
      </c>
      <c r="L373">
        <f t="shared" si="36"/>
        <v>1.5300000000000001E-2</v>
      </c>
      <c r="M373">
        <f t="shared" si="37"/>
        <v>1.3999999999999999E-2</v>
      </c>
      <c r="N373">
        <f t="shared" si="38"/>
        <v>3.2000000000000002E-3</v>
      </c>
      <c r="O373">
        <f t="shared" si="39"/>
        <v>1.1599999999999999E-2</v>
      </c>
      <c r="P373">
        <f t="shared" si="40"/>
        <v>-3.4000000000000002E-3</v>
      </c>
    </row>
    <row r="374" spans="1:16">
      <c r="A374" s="230" t="s">
        <v>1019</v>
      </c>
      <c r="B374" s="147">
        <v>3.1200000000000002E-2</v>
      </c>
      <c r="C374" s="147">
        <v>-5.9999999999999995E-4</v>
      </c>
      <c r="D374" s="147">
        <v>1.15E-2</v>
      </c>
      <c r="E374" s="147">
        <v>-1.66E-2</v>
      </c>
      <c r="F374" s="147">
        <v>1.43E-2</v>
      </c>
      <c r="G374" s="147">
        <v>4.8399999999999999E-2</v>
      </c>
      <c r="I374" s="27">
        <f t="shared" si="35"/>
        <v>3.0282595559319312E-2</v>
      </c>
      <c r="J374">
        <f t="shared" si="41"/>
        <v>4.4899999999999995E-2</v>
      </c>
      <c r="L374">
        <f t="shared" si="36"/>
        <v>2.7700000000000002E-2</v>
      </c>
      <c r="M374">
        <f t="shared" si="37"/>
        <v>-5.9999999999999995E-4</v>
      </c>
      <c r="N374">
        <f t="shared" si="38"/>
        <v>1.15E-2</v>
      </c>
      <c r="O374">
        <f t="shared" si="39"/>
        <v>-1.66E-2</v>
      </c>
      <c r="P374">
        <f t="shared" si="40"/>
        <v>1.43E-2</v>
      </c>
    </row>
    <row r="375" spans="1:16">
      <c r="A375" s="230" t="s">
        <v>1020</v>
      </c>
      <c r="B375" s="147">
        <v>-2.3399999999999997E-2</v>
      </c>
      <c r="C375" s="147">
        <v>2.6700000000000002E-2</v>
      </c>
      <c r="D375" s="147">
        <v>-1.54E-2</v>
      </c>
      <c r="E375" s="147">
        <v>2.1400000000000002E-2</v>
      </c>
      <c r="F375" s="147">
        <v>-0.01</v>
      </c>
      <c r="G375" s="147">
        <v>-1.1599999999999999E-2</v>
      </c>
      <c r="I375" s="27">
        <f t="shared" si="35"/>
        <v>7.866536937490818E-3</v>
      </c>
      <c r="J375">
        <f t="shared" si="41"/>
        <v>-1.5099999999999999E-2</v>
      </c>
      <c r="L375">
        <f t="shared" si="36"/>
        <v>-2.6899999999999997E-2</v>
      </c>
      <c r="M375">
        <f t="shared" si="37"/>
        <v>2.6700000000000002E-2</v>
      </c>
      <c r="N375">
        <f t="shared" si="38"/>
        <v>-1.54E-2</v>
      </c>
      <c r="O375">
        <f t="shared" si="39"/>
        <v>2.1400000000000002E-2</v>
      </c>
      <c r="P375">
        <f t="shared" si="40"/>
        <v>-0.01</v>
      </c>
    </row>
    <row r="376" spans="1:16">
      <c r="A376" s="230" t="s">
        <v>1021</v>
      </c>
      <c r="B376" s="147">
        <v>-4.5100000000000001E-2</v>
      </c>
      <c r="C376" s="147">
        <v>-1.0400000000000001E-2</v>
      </c>
      <c r="D376" s="147">
        <v>1.6E-2</v>
      </c>
      <c r="E376" s="147">
        <v>6.8999999999999999E-3</v>
      </c>
      <c r="F376" s="147">
        <v>1.2800000000000001E-2</v>
      </c>
      <c r="G376" s="147">
        <v>-5.7200000000000001E-2</v>
      </c>
      <c r="I376" s="27">
        <f t="shared" si="35"/>
        <v>-1.4442283531047668E-2</v>
      </c>
      <c r="J376">
        <f t="shared" si="41"/>
        <v>-6.0700000000000004E-2</v>
      </c>
      <c r="L376">
        <f t="shared" si="36"/>
        <v>-4.8600000000000004E-2</v>
      </c>
      <c r="M376">
        <f t="shared" si="37"/>
        <v>-1.0400000000000001E-2</v>
      </c>
      <c r="N376">
        <f t="shared" si="38"/>
        <v>1.6E-2</v>
      </c>
      <c r="O376">
        <f t="shared" si="39"/>
        <v>6.8999999999999999E-3</v>
      </c>
      <c r="P376">
        <f t="shared" si="40"/>
        <v>1.2800000000000001E-2</v>
      </c>
    </row>
    <row r="377" spans="1:16">
      <c r="A377" s="230" t="s">
        <v>1022</v>
      </c>
      <c r="B377" s="147">
        <v>9.5000000000000015E-3</v>
      </c>
      <c r="C377" s="147">
        <v>-1.01E-2</v>
      </c>
      <c r="D377" s="147">
        <v>1.66E-2</v>
      </c>
      <c r="E377" s="147">
        <v>1.0700000000000001E-2</v>
      </c>
      <c r="F377" s="147">
        <v>1.11E-2</v>
      </c>
      <c r="G377" s="147">
        <v>3.2000000000000002E-3</v>
      </c>
      <c r="I377" s="27">
        <f t="shared" si="35"/>
        <v>4.2907166460636345E-2</v>
      </c>
      <c r="J377">
        <f t="shared" si="41"/>
        <v>-2.9999999999999992E-4</v>
      </c>
      <c r="L377">
        <f t="shared" si="36"/>
        <v>6.0000000000000019E-3</v>
      </c>
      <c r="M377">
        <f t="shared" si="37"/>
        <v>-1.01E-2</v>
      </c>
      <c r="N377">
        <f t="shared" si="38"/>
        <v>1.66E-2</v>
      </c>
      <c r="O377">
        <f t="shared" si="39"/>
        <v>1.0700000000000001E-2</v>
      </c>
      <c r="P377">
        <f t="shared" si="40"/>
        <v>1.11E-2</v>
      </c>
    </row>
    <row r="378" spans="1:16">
      <c r="A378" s="230" t="s">
        <v>1023</v>
      </c>
      <c r="B378" s="147">
        <v>8.8999999999999999E-3</v>
      </c>
      <c r="C378" s="147">
        <v>-2.5600000000000001E-2</v>
      </c>
      <c r="D378" s="147">
        <v>6.7000000000000002E-3</v>
      </c>
      <c r="E378" s="147">
        <v>6.0000000000000001E-3</v>
      </c>
      <c r="F378" s="147">
        <v>6.8000000000000005E-3</v>
      </c>
      <c r="G378" s="147">
        <v>-2.1600000000000001E-2</v>
      </c>
      <c r="I378" s="27">
        <f t="shared" si="35"/>
        <v>1.4980316314272348E-2</v>
      </c>
      <c r="J378">
        <f t="shared" si="41"/>
        <v>-2.5100000000000001E-2</v>
      </c>
      <c r="L378">
        <f t="shared" si="36"/>
        <v>5.4000000000000003E-3</v>
      </c>
      <c r="M378">
        <f t="shared" si="37"/>
        <v>-2.5600000000000001E-2</v>
      </c>
      <c r="N378">
        <f t="shared" si="38"/>
        <v>6.7000000000000002E-3</v>
      </c>
      <c r="O378">
        <f t="shared" si="39"/>
        <v>6.0000000000000001E-3</v>
      </c>
      <c r="P378">
        <f t="shared" si="40"/>
        <v>6.8000000000000005E-3</v>
      </c>
    </row>
    <row r="379" spans="1:16">
      <c r="A379" s="230" t="s">
        <v>1024</v>
      </c>
      <c r="B379" s="147">
        <v>-2.7199999999999998E-2</v>
      </c>
      <c r="C379" s="147">
        <v>-5.0000000000000001E-3</v>
      </c>
      <c r="D379" s="147">
        <v>1.67E-2</v>
      </c>
      <c r="E379" s="147">
        <v>1.21E-2</v>
      </c>
      <c r="F379" s="147">
        <v>1.47E-2</v>
      </c>
      <c r="G379" s="147">
        <v>-6.2000000000000006E-2</v>
      </c>
      <c r="I379" s="27">
        <f t="shared" si="35"/>
        <v>2.101989226118671E-2</v>
      </c>
      <c r="J379">
        <f t="shared" si="41"/>
        <v>-6.5500000000000003E-2</v>
      </c>
      <c r="L379">
        <f t="shared" si="36"/>
        <v>-3.0699999999999998E-2</v>
      </c>
      <c r="M379">
        <f t="shared" si="37"/>
        <v>-5.0000000000000001E-3</v>
      </c>
      <c r="N379">
        <f t="shared" si="38"/>
        <v>1.67E-2</v>
      </c>
      <c r="O379">
        <f t="shared" si="39"/>
        <v>1.21E-2</v>
      </c>
      <c r="P379">
        <f t="shared" si="40"/>
        <v>1.47E-2</v>
      </c>
    </row>
    <row r="380" spans="1:16">
      <c r="A380" s="230" t="s">
        <v>1025</v>
      </c>
      <c r="B380" s="147">
        <v>3.1E-2</v>
      </c>
      <c r="C380" s="147">
        <v>-1.8500000000000003E-2</v>
      </c>
      <c r="D380" s="147">
        <v>5.7999999999999996E-3</v>
      </c>
      <c r="E380" s="147">
        <v>-6.5000000000000006E-3</v>
      </c>
      <c r="F380" s="147">
        <v>1.4000000000000002E-3</v>
      </c>
      <c r="G380" s="147">
        <v>2.4799999999999999E-2</v>
      </c>
      <c r="I380" s="27">
        <f t="shared" si="35"/>
        <v>5.8163509910491174E-3</v>
      </c>
      <c r="J380">
        <f t="shared" si="41"/>
        <v>2.1299999999999999E-2</v>
      </c>
      <c r="L380">
        <f t="shared" si="36"/>
        <v>2.75E-2</v>
      </c>
      <c r="M380">
        <f t="shared" si="37"/>
        <v>-1.8500000000000003E-2</v>
      </c>
      <c r="N380">
        <f t="shared" si="38"/>
        <v>5.7999999999999996E-3</v>
      </c>
      <c r="O380">
        <f t="shared" si="39"/>
        <v>-6.5000000000000006E-3</v>
      </c>
      <c r="P380">
        <f t="shared" si="40"/>
        <v>1.4000000000000002E-3</v>
      </c>
    </row>
    <row r="381" spans="1:16">
      <c r="A381" s="230" t="s">
        <v>1026</v>
      </c>
      <c r="B381" s="147">
        <v>4.3799999999999999E-2</v>
      </c>
      <c r="C381" s="147">
        <v>1.3700000000000002E-2</v>
      </c>
      <c r="D381" s="147">
        <v>-2.5099999999999997E-2</v>
      </c>
      <c r="E381" s="147">
        <v>9.4999999999999998E-3</v>
      </c>
      <c r="F381" s="147">
        <v>-1.47E-2</v>
      </c>
      <c r="G381" s="147">
        <v>8.4000000000000005E-2</v>
      </c>
      <c r="I381" s="27">
        <f t="shared" si="35"/>
        <v>3.5270811781761002E-2</v>
      </c>
      <c r="J381">
        <f t="shared" si="41"/>
        <v>8.0500000000000002E-2</v>
      </c>
      <c r="L381">
        <f t="shared" si="36"/>
        <v>4.0299999999999996E-2</v>
      </c>
      <c r="M381">
        <f t="shared" si="37"/>
        <v>1.3700000000000002E-2</v>
      </c>
      <c r="N381">
        <f t="shared" si="38"/>
        <v>-2.5099999999999997E-2</v>
      </c>
      <c r="O381">
        <f t="shared" si="39"/>
        <v>9.4999999999999998E-3</v>
      </c>
      <c r="P381">
        <f t="shared" si="40"/>
        <v>-1.47E-2</v>
      </c>
    </row>
    <row r="382" spans="1:16">
      <c r="A382" s="230" t="s">
        <v>1027</v>
      </c>
      <c r="B382" s="147">
        <v>-1.9400000000000001E-2</v>
      </c>
      <c r="C382" s="147">
        <v>2.7999999999999997E-2</v>
      </c>
      <c r="D382" s="147">
        <v>-1.89E-2</v>
      </c>
      <c r="E382" s="147">
        <v>5.2000000000000006E-3</v>
      </c>
      <c r="F382" s="147">
        <v>9.300000000000001E-3</v>
      </c>
      <c r="G382" s="147">
        <v>7.4000000000000003E-3</v>
      </c>
      <c r="I382" s="27">
        <f t="shared" si="35"/>
        <v>3.1974847502003287E-2</v>
      </c>
      <c r="J382">
        <f t="shared" si="41"/>
        <v>3.9000000000000003E-3</v>
      </c>
      <c r="L382">
        <f t="shared" si="36"/>
        <v>-2.29E-2</v>
      </c>
      <c r="M382">
        <f t="shared" si="37"/>
        <v>2.7999999999999997E-2</v>
      </c>
      <c r="N382">
        <f t="shared" si="38"/>
        <v>-1.89E-2</v>
      </c>
      <c r="O382">
        <f t="shared" si="39"/>
        <v>5.2000000000000006E-3</v>
      </c>
      <c r="P382">
        <f t="shared" si="40"/>
        <v>9.300000000000001E-3</v>
      </c>
    </row>
    <row r="383" spans="1:16">
      <c r="A383" s="230" t="s">
        <v>1028</v>
      </c>
      <c r="B383" s="147">
        <v>1.72E-2</v>
      </c>
      <c r="C383" s="147">
        <v>-2.3E-2</v>
      </c>
      <c r="D383" s="147">
        <v>-1.6200000000000003E-2</v>
      </c>
      <c r="E383" s="147">
        <v>2.3E-3</v>
      </c>
      <c r="F383" s="147">
        <v>-6.8000000000000005E-3</v>
      </c>
      <c r="G383" s="147">
        <v>2.9300000000000003E-2</v>
      </c>
      <c r="I383" s="27">
        <f t="shared" si="35"/>
        <v>-1.0734457855958158E-2</v>
      </c>
      <c r="J383">
        <f t="shared" si="41"/>
        <v>2.5800000000000003E-2</v>
      </c>
      <c r="L383">
        <f t="shared" si="36"/>
        <v>1.37E-2</v>
      </c>
      <c r="M383">
        <f t="shared" si="37"/>
        <v>-2.3E-2</v>
      </c>
      <c r="N383">
        <f t="shared" si="38"/>
        <v>-1.6200000000000003E-2</v>
      </c>
      <c r="O383">
        <f t="shared" si="39"/>
        <v>2.3E-3</v>
      </c>
      <c r="P383">
        <f t="shared" si="40"/>
        <v>-6.8000000000000005E-3</v>
      </c>
    </row>
    <row r="384" spans="1:16">
      <c r="A384" s="230" t="s">
        <v>1029</v>
      </c>
      <c r="B384" s="147">
        <v>-3.6699999999999997E-2</v>
      </c>
      <c r="C384" s="147">
        <v>7.000000000000001E-4</v>
      </c>
      <c r="D384" s="147">
        <v>-6.9999999999999993E-3</v>
      </c>
      <c r="E384" s="147">
        <v>4.1999999999999997E-3</v>
      </c>
      <c r="F384" s="147">
        <v>-5.0000000000000001E-3</v>
      </c>
      <c r="G384" s="147">
        <v>-5.1299999999999998E-2</v>
      </c>
      <c r="I384" s="27">
        <f t="shared" si="35"/>
        <v>-4.307239909005918E-2</v>
      </c>
      <c r="J384">
        <f t="shared" si="41"/>
        <v>-5.4800000000000001E-2</v>
      </c>
      <c r="L384">
        <f t="shared" si="36"/>
        <v>-4.02E-2</v>
      </c>
      <c r="M384">
        <f t="shared" si="37"/>
        <v>7.000000000000001E-4</v>
      </c>
      <c r="N384">
        <f t="shared" si="38"/>
        <v>-6.9999999999999993E-3</v>
      </c>
      <c r="O384">
        <f t="shared" si="39"/>
        <v>4.1999999999999997E-3</v>
      </c>
      <c r="P384">
        <f t="shared" si="40"/>
        <v>-5.0000000000000001E-3</v>
      </c>
    </row>
    <row r="385" spans="1:16">
      <c r="A385" s="230" t="s">
        <v>1030</v>
      </c>
      <c r="B385" s="147">
        <v>1.3000000000000001E-2</v>
      </c>
      <c r="C385" s="147">
        <v>0</v>
      </c>
      <c r="D385" s="147">
        <v>-1.3000000000000002E-3</v>
      </c>
      <c r="E385" s="147">
        <v>3.7000000000000002E-3</v>
      </c>
      <c r="F385" s="147">
        <v>3.8E-3</v>
      </c>
      <c r="G385" s="147">
        <v>1.72E-2</v>
      </c>
      <c r="I385" s="27">
        <f t="shared" si="35"/>
        <v>2.5929958785958013E-2</v>
      </c>
      <c r="J385">
        <f t="shared" si="41"/>
        <v>1.37E-2</v>
      </c>
      <c r="L385">
        <f t="shared" si="36"/>
        <v>9.5000000000000015E-3</v>
      </c>
      <c r="M385">
        <f t="shared" si="37"/>
        <v>0</v>
      </c>
      <c r="N385">
        <f t="shared" si="38"/>
        <v>-1.3000000000000002E-3</v>
      </c>
      <c r="O385">
        <f t="shared" si="39"/>
        <v>3.7000000000000002E-3</v>
      </c>
      <c r="P385">
        <f t="shared" si="40"/>
        <v>3.8E-3</v>
      </c>
    </row>
    <row r="386" spans="1:16">
      <c r="A386" s="230" t="s">
        <v>1031</v>
      </c>
      <c r="B386" s="147">
        <v>2.2200000000000001E-2</v>
      </c>
      <c r="C386" s="147">
        <v>-3.0600000000000002E-2</v>
      </c>
      <c r="D386" s="147">
        <v>2.5700000000000001E-2</v>
      </c>
      <c r="E386" s="147">
        <v>1.7000000000000001E-3</v>
      </c>
      <c r="F386" s="147">
        <v>-7.4999999999999997E-3</v>
      </c>
      <c r="G386" s="147">
        <v>-1.7899999999999999E-2</v>
      </c>
      <c r="I386" s="27">
        <f t="shared" si="35"/>
        <v>-2.2300044347668885E-2</v>
      </c>
      <c r="J386">
        <f t="shared" si="41"/>
        <v>-2.1399999999999999E-2</v>
      </c>
      <c r="L386">
        <f t="shared" si="36"/>
        <v>1.8700000000000001E-2</v>
      </c>
      <c r="M386">
        <f t="shared" si="37"/>
        <v>-3.0600000000000002E-2</v>
      </c>
      <c r="N386">
        <f t="shared" si="38"/>
        <v>2.5700000000000001E-2</v>
      </c>
      <c r="O386">
        <f t="shared" si="39"/>
        <v>1.7000000000000001E-3</v>
      </c>
      <c r="P386">
        <f t="shared" si="40"/>
        <v>-7.4999999999999997E-3</v>
      </c>
    </row>
    <row r="387" spans="1:16">
      <c r="A387" s="230" t="s">
        <v>1032</v>
      </c>
      <c r="B387" s="147">
        <v>4.0300000000000002E-2</v>
      </c>
      <c r="C387" s="147">
        <v>-5.4000000000000003E-3</v>
      </c>
      <c r="D387" s="147">
        <v>1.0800000000000001E-2</v>
      </c>
      <c r="E387" s="147">
        <v>5.8999999999999999E-3</v>
      </c>
      <c r="F387" s="147">
        <v>-3.3000000000000004E-3</v>
      </c>
      <c r="G387" s="147">
        <v>4.2200000000000001E-2</v>
      </c>
      <c r="I387" s="27">
        <f t="shared" si="35"/>
        <v>3.3516559872481998E-2</v>
      </c>
      <c r="J387">
        <f t="shared" si="41"/>
        <v>3.8699999999999998E-2</v>
      </c>
      <c r="L387">
        <f t="shared" si="36"/>
        <v>3.6799999999999999E-2</v>
      </c>
      <c r="M387">
        <f t="shared" si="37"/>
        <v>-5.4000000000000003E-3</v>
      </c>
      <c r="N387">
        <f t="shared" si="38"/>
        <v>1.0800000000000001E-2</v>
      </c>
      <c r="O387">
        <f t="shared" si="39"/>
        <v>5.8999999999999999E-3</v>
      </c>
      <c r="P387">
        <f t="shared" si="40"/>
        <v>-3.3000000000000004E-3</v>
      </c>
    </row>
    <row r="388" spans="1:16">
      <c r="A388" s="230" t="s">
        <v>1033</v>
      </c>
      <c r="B388" s="147">
        <v>2.6499999999999999E-2</v>
      </c>
      <c r="C388" s="147">
        <v>-5.1000000000000004E-3</v>
      </c>
      <c r="D388" s="147">
        <v>-2.1499999999999998E-2</v>
      </c>
      <c r="E388" s="147">
        <v>-1.7000000000000001E-3</v>
      </c>
      <c r="F388" s="147">
        <v>2.2000000000000001E-3</v>
      </c>
      <c r="G388" s="147">
        <v>4.0599999999999997E-2</v>
      </c>
      <c r="I388" s="27">
        <f t="shared" si="35"/>
        <v>2.651764775703782E-2</v>
      </c>
      <c r="J388">
        <f t="shared" si="41"/>
        <v>3.7099999999999994E-2</v>
      </c>
      <c r="L388">
        <f t="shared" si="36"/>
        <v>2.3E-2</v>
      </c>
      <c r="M388">
        <f t="shared" si="37"/>
        <v>-5.1000000000000004E-3</v>
      </c>
      <c r="N388">
        <f t="shared" si="38"/>
        <v>-2.1499999999999998E-2</v>
      </c>
      <c r="O388">
        <f t="shared" si="39"/>
        <v>-1.7000000000000001E-3</v>
      </c>
      <c r="P388">
        <f t="shared" si="40"/>
        <v>2.2000000000000001E-3</v>
      </c>
    </row>
    <row r="389" spans="1:16">
      <c r="A389" s="230" t="s">
        <v>1034</v>
      </c>
      <c r="B389" s="147">
        <v>2.5500000000000002E-2</v>
      </c>
      <c r="C389" s="147">
        <v>-2.2000000000000001E-3</v>
      </c>
      <c r="D389" s="147">
        <v>1.7100000000000001E-2</v>
      </c>
      <c r="E389" s="147">
        <v>4.0999999999999995E-3</v>
      </c>
      <c r="F389" s="147">
        <v>9.0000000000000011E-3</v>
      </c>
      <c r="G389" s="147">
        <v>4.6900000000000004E-2</v>
      </c>
      <c r="I389" s="27">
        <f t="shared" si="35"/>
        <v>4.6787851321027807E-2</v>
      </c>
      <c r="J389">
        <f t="shared" si="41"/>
        <v>4.3400000000000001E-2</v>
      </c>
      <c r="L389">
        <f t="shared" si="36"/>
        <v>2.2000000000000002E-2</v>
      </c>
      <c r="M389">
        <f t="shared" si="37"/>
        <v>-2.2000000000000001E-3</v>
      </c>
      <c r="N389">
        <f t="shared" si="38"/>
        <v>1.7100000000000001E-2</v>
      </c>
      <c r="O389">
        <f t="shared" si="39"/>
        <v>4.0999999999999995E-3</v>
      </c>
      <c r="P389">
        <f t="shared" si="40"/>
        <v>9.0000000000000011E-3</v>
      </c>
    </row>
    <row r="390" spans="1:16">
      <c r="A390" s="230" t="s">
        <v>1035</v>
      </c>
      <c r="B390" s="147">
        <v>3.44E-2</v>
      </c>
      <c r="C390" s="147">
        <v>-2.1899999999999999E-2</v>
      </c>
      <c r="D390" s="147">
        <v>2.29E-2</v>
      </c>
      <c r="E390" s="147">
        <v>3.9000000000000003E-3</v>
      </c>
      <c r="F390" s="147">
        <v>4.0000000000000002E-4</v>
      </c>
      <c r="G390" s="147">
        <v>2.63E-2</v>
      </c>
      <c r="I390" s="27">
        <f t="shared" si="35"/>
        <v>1.9816096361172465E-2</v>
      </c>
      <c r="J390">
        <f t="shared" si="41"/>
        <v>2.2800000000000001E-2</v>
      </c>
      <c r="L390">
        <f t="shared" si="36"/>
        <v>3.09E-2</v>
      </c>
      <c r="M390">
        <f t="shared" si="37"/>
        <v>-2.1899999999999999E-2</v>
      </c>
      <c r="N390">
        <f t="shared" si="38"/>
        <v>2.29E-2</v>
      </c>
      <c r="O390">
        <f t="shared" si="39"/>
        <v>3.9000000000000003E-3</v>
      </c>
      <c r="P390">
        <f t="shared" si="40"/>
        <v>4.0000000000000002E-4</v>
      </c>
    </row>
    <row r="391" spans="1:16">
      <c r="A391" s="230" t="s">
        <v>1036</v>
      </c>
      <c r="B391" s="147">
        <v>3.1900000000000005E-2</v>
      </c>
      <c r="C391" s="147">
        <v>3.0600000000000002E-2</v>
      </c>
      <c r="D391" s="147">
        <v>-2.5400000000000002E-2</v>
      </c>
      <c r="E391" s="147">
        <v>-3.3000000000000004E-3</v>
      </c>
      <c r="F391" s="147">
        <v>-2.4400000000000002E-2</v>
      </c>
      <c r="G391" s="147">
        <v>7.2099999999999997E-2</v>
      </c>
      <c r="I391" s="27">
        <f t="shared" si="35"/>
        <v>-1.28102337207056E-2</v>
      </c>
      <c r="J391">
        <f t="shared" si="41"/>
        <v>6.8599999999999994E-2</v>
      </c>
      <c r="L391">
        <f t="shared" si="36"/>
        <v>2.8400000000000005E-2</v>
      </c>
      <c r="M391">
        <f t="shared" si="37"/>
        <v>3.0600000000000002E-2</v>
      </c>
      <c r="N391">
        <f t="shared" si="38"/>
        <v>-2.5400000000000002E-2</v>
      </c>
      <c r="O391">
        <f t="shared" si="39"/>
        <v>-3.3000000000000004E-3</v>
      </c>
      <c r="P391">
        <f t="shared" si="40"/>
        <v>-2.4400000000000002E-2</v>
      </c>
    </row>
    <row r="392" spans="1:16">
      <c r="A392" s="230" t="s">
        <v>1037</v>
      </c>
      <c r="B392" s="147">
        <v>4.1700000000000001E-2</v>
      </c>
      <c r="C392" s="147">
        <v>2.0899999999999998E-2</v>
      </c>
      <c r="D392" s="147">
        <v>-1.6200000000000003E-2</v>
      </c>
      <c r="E392" s="147">
        <v>3.0000000000000001E-3</v>
      </c>
      <c r="F392" s="147">
        <v>-1.6500000000000001E-2</v>
      </c>
      <c r="G392" s="147">
        <v>6.4299999999999996E-2</v>
      </c>
      <c r="I392" s="27">
        <f t="shared" ref="I392:I455" si="42">SUMPRODUCT(B392:F392,$B$4:$F$4)-0.0035</f>
        <v>1.9765108209818884E-2</v>
      </c>
      <c r="J392">
        <f t="shared" si="41"/>
        <v>6.0799999999999993E-2</v>
      </c>
      <c r="L392">
        <f t="shared" ref="L392:L455" si="43">B392-0.0035</f>
        <v>3.8199999999999998E-2</v>
      </c>
      <c r="M392">
        <f t="shared" ref="M392:M455" si="44">C392</f>
        <v>2.0899999999999998E-2</v>
      </c>
      <c r="N392">
        <f t="shared" ref="N392:N455" si="45">D392</f>
        <v>-1.6200000000000003E-2</v>
      </c>
      <c r="O392">
        <f t="shared" ref="O392:O455" si="46">E392</f>
        <v>3.0000000000000001E-3</v>
      </c>
      <c r="P392">
        <f t="shared" ref="P392:P455" si="47">F392</f>
        <v>-1.6500000000000001E-2</v>
      </c>
    </row>
    <row r="393" spans="1:16">
      <c r="A393" s="230" t="s">
        <v>1038</v>
      </c>
      <c r="B393" s="147">
        <v>1.0200000000000001E-2</v>
      </c>
      <c r="C393" s="147">
        <v>1.7500000000000002E-2</v>
      </c>
      <c r="D393" s="147">
        <v>2.7900000000000001E-2</v>
      </c>
      <c r="E393" s="147">
        <v>-1.24E-2</v>
      </c>
      <c r="F393" s="147">
        <v>1.6200000000000003E-2</v>
      </c>
      <c r="G393" s="147">
        <v>6.7000000000000002E-3</v>
      </c>
      <c r="I393" s="27">
        <f t="shared" si="42"/>
        <v>3.008983498790813E-2</v>
      </c>
      <c r="J393">
        <f t="shared" ref="J393:J456" si="48">G393-0.0035</f>
        <v>3.2000000000000002E-3</v>
      </c>
      <c r="L393">
        <f t="shared" si="43"/>
        <v>6.7000000000000011E-3</v>
      </c>
      <c r="M393">
        <f t="shared" si="44"/>
        <v>1.7500000000000002E-2</v>
      </c>
      <c r="N393">
        <f t="shared" si="45"/>
        <v>2.7900000000000001E-2</v>
      </c>
      <c r="O393">
        <f t="shared" si="46"/>
        <v>-1.24E-2</v>
      </c>
      <c r="P393">
        <f t="shared" si="47"/>
        <v>1.6200000000000003E-2</v>
      </c>
    </row>
    <row r="394" spans="1:16">
      <c r="A394" s="230" t="s">
        <v>1039</v>
      </c>
      <c r="B394" s="147">
        <v>3.78E-2</v>
      </c>
      <c r="C394" s="147">
        <v>-1.8800000000000001E-2</v>
      </c>
      <c r="D394" s="147">
        <v>-4.0000000000000002E-4</v>
      </c>
      <c r="E394" s="147">
        <v>1.03E-2</v>
      </c>
      <c r="F394" s="147">
        <v>3.5999999999999999E-3</v>
      </c>
      <c r="G394" s="147">
        <v>3.2899999999999999E-2</v>
      </c>
      <c r="I394" s="27">
        <f t="shared" si="42"/>
        <v>4.9686881899729966E-2</v>
      </c>
      <c r="J394">
        <f t="shared" si="48"/>
        <v>2.9399999999999999E-2</v>
      </c>
      <c r="L394">
        <f t="shared" si="43"/>
        <v>3.4299999999999997E-2</v>
      </c>
      <c r="M394">
        <f t="shared" si="44"/>
        <v>-1.8800000000000001E-2</v>
      </c>
      <c r="N394">
        <f t="shared" si="45"/>
        <v>-4.0000000000000002E-4</v>
      </c>
      <c r="O394">
        <f t="shared" si="46"/>
        <v>1.03E-2</v>
      </c>
      <c r="P394">
        <f t="shared" si="47"/>
        <v>3.5999999999999999E-3</v>
      </c>
    </row>
    <row r="395" spans="1:16">
      <c r="A395" s="230" t="s">
        <v>1040</v>
      </c>
      <c r="B395" s="147">
        <v>-1.0499999999999999E-2</v>
      </c>
      <c r="C395" s="147">
        <v>-4.0399999999999998E-2</v>
      </c>
      <c r="D395" s="147">
        <v>-5.0000000000000001E-3</v>
      </c>
      <c r="E395" s="147">
        <v>1.9099999999999999E-2</v>
      </c>
      <c r="F395" s="147">
        <v>-5.0000000000000001E-4</v>
      </c>
      <c r="G395" s="147">
        <v>-3.2000000000000002E-3</v>
      </c>
      <c r="I395" s="27">
        <f t="shared" si="42"/>
        <v>-6.0392174806679806E-3</v>
      </c>
      <c r="J395">
        <f t="shared" si="48"/>
        <v>-6.7000000000000002E-3</v>
      </c>
      <c r="L395">
        <f t="shared" si="43"/>
        <v>-1.3999999999999999E-2</v>
      </c>
      <c r="M395">
        <f t="shared" si="44"/>
        <v>-4.0399999999999998E-2</v>
      </c>
      <c r="N395">
        <f t="shared" si="45"/>
        <v>-5.0000000000000001E-3</v>
      </c>
      <c r="O395">
        <f t="shared" si="46"/>
        <v>1.9099999999999999E-2</v>
      </c>
      <c r="P395">
        <f t="shared" si="47"/>
        <v>-5.0000000000000001E-4</v>
      </c>
    </row>
    <row r="396" spans="1:16">
      <c r="A396" s="230" t="s">
        <v>1041</v>
      </c>
      <c r="B396" s="147">
        <v>4.3800000000000006E-2</v>
      </c>
      <c r="C396" s="147">
        <v>-1.0700000000000001E-2</v>
      </c>
      <c r="D396" s="147">
        <v>5.1000000000000004E-3</v>
      </c>
      <c r="E396" s="147">
        <v>-6.1999999999999998E-3</v>
      </c>
      <c r="F396" s="147">
        <v>1.1200000000000002E-2</v>
      </c>
      <c r="G396" s="147">
        <v>1.2700000000000001E-2</v>
      </c>
      <c r="I396" s="27">
        <f t="shared" si="42"/>
        <v>4.8772583769483485E-2</v>
      </c>
      <c r="J396">
        <f t="shared" si="48"/>
        <v>9.2000000000000016E-3</v>
      </c>
      <c r="L396">
        <f t="shared" si="43"/>
        <v>4.0300000000000002E-2</v>
      </c>
      <c r="M396">
        <f t="shared" si="44"/>
        <v>-1.0700000000000001E-2</v>
      </c>
      <c r="N396">
        <f t="shared" si="45"/>
        <v>5.1000000000000004E-3</v>
      </c>
      <c r="O396">
        <f t="shared" si="46"/>
        <v>-6.1999999999999998E-3</v>
      </c>
      <c r="P396">
        <f t="shared" si="47"/>
        <v>1.1200000000000002E-2</v>
      </c>
    </row>
    <row r="397" spans="1:16">
      <c r="A397" s="230" t="s">
        <v>1042</v>
      </c>
      <c r="B397" s="147">
        <v>1.52E-2</v>
      </c>
      <c r="C397" s="147">
        <v>7.1999999999999998E-3</v>
      </c>
      <c r="D397" s="147">
        <v>2.2000000000000001E-3</v>
      </c>
      <c r="E397" s="147">
        <v>-1.3700000000000002E-2</v>
      </c>
      <c r="F397" s="147">
        <v>3.1000000000000003E-2</v>
      </c>
      <c r="G397" s="147">
        <v>-1.2800000000000001E-2</v>
      </c>
      <c r="I397" s="27">
        <f t="shared" si="42"/>
        <v>6.8095832188350858E-2</v>
      </c>
      <c r="J397">
        <f t="shared" si="48"/>
        <v>-1.6300000000000002E-2</v>
      </c>
      <c r="L397">
        <f t="shared" si="43"/>
        <v>1.17E-2</v>
      </c>
      <c r="M397">
        <f t="shared" si="44"/>
        <v>7.1999999999999998E-3</v>
      </c>
      <c r="N397">
        <f t="shared" si="45"/>
        <v>2.2000000000000001E-3</v>
      </c>
      <c r="O397">
        <f t="shared" si="46"/>
        <v>-1.3700000000000002E-2</v>
      </c>
      <c r="P397">
        <f t="shared" si="47"/>
        <v>3.1000000000000003E-2</v>
      </c>
    </row>
    <row r="398" spans="1:16">
      <c r="A398" s="230" t="s">
        <v>1043</v>
      </c>
      <c r="B398" s="147">
        <v>2.69E-2</v>
      </c>
      <c r="C398" s="147">
        <v>-2.5600000000000001E-2</v>
      </c>
      <c r="D398" s="147">
        <v>3.8E-3</v>
      </c>
      <c r="E398" s="147">
        <v>1.8E-3</v>
      </c>
      <c r="F398" s="147">
        <v>2.3100000000000002E-2</v>
      </c>
      <c r="G398" s="147">
        <v>2.6400000000000003E-2</v>
      </c>
      <c r="I398" s="27">
        <f t="shared" si="42"/>
        <v>6.6449154564614157E-2</v>
      </c>
      <c r="J398">
        <f t="shared" si="48"/>
        <v>2.2900000000000004E-2</v>
      </c>
      <c r="L398">
        <f t="shared" si="43"/>
        <v>2.3400000000000001E-2</v>
      </c>
      <c r="M398">
        <f t="shared" si="44"/>
        <v>-2.5600000000000001E-2</v>
      </c>
      <c r="N398">
        <f t="shared" si="45"/>
        <v>3.8E-3</v>
      </c>
      <c r="O398">
        <f t="shared" si="46"/>
        <v>1.8E-3</v>
      </c>
      <c r="P398">
        <f t="shared" si="47"/>
        <v>2.3100000000000002E-2</v>
      </c>
    </row>
    <row r="399" spans="1:16">
      <c r="A399" s="230" t="s">
        <v>1044</v>
      </c>
      <c r="B399" s="147">
        <v>1.72E-2</v>
      </c>
      <c r="C399" s="147">
        <v>1.77E-2</v>
      </c>
      <c r="D399" s="147">
        <v>-1.0800000000000001E-2</v>
      </c>
      <c r="E399" s="147">
        <v>2.3999999999999998E-3</v>
      </c>
      <c r="F399" s="147">
        <v>-1.9E-2</v>
      </c>
      <c r="G399" s="147">
        <v>3.5200000000000002E-2</v>
      </c>
      <c r="I399" s="27">
        <f t="shared" si="42"/>
        <v>-1.5263044591620003E-2</v>
      </c>
      <c r="J399">
        <f t="shared" si="48"/>
        <v>3.1699999999999999E-2</v>
      </c>
      <c r="L399">
        <f t="shared" si="43"/>
        <v>1.37E-2</v>
      </c>
      <c r="M399">
        <f t="shared" si="44"/>
        <v>1.77E-2</v>
      </c>
      <c r="N399">
        <f t="shared" si="45"/>
        <v>-1.0800000000000001E-2</v>
      </c>
      <c r="O399">
        <f t="shared" si="46"/>
        <v>2.3999999999999998E-3</v>
      </c>
      <c r="P399">
        <f t="shared" si="47"/>
        <v>-1.9E-2</v>
      </c>
    </row>
    <row r="400" spans="1:16">
      <c r="A400" s="230" t="s">
        <v>1045</v>
      </c>
      <c r="B400" s="147">
        <v>1.12E-2</v>
      </c>
      <c r="C400" s="147">
        <v>1.61E-2</v>
      </c>
      <c r="D400" s="147">
        <v>3.4999999999999996E-3</v>
      </c>
      <c r="E400" s="147">
        <v>1.4199999999999999E-2</v>
      </c>
      <c r="F400" s="147">
        <v>-9.4999999999999998E-3</v>
      </c>
      <c r="G400" s="147">
        <v>4.4000000000000003E-3</v>
      </c>
      <c r="I400" s="27">
        <f t="shared" si="42"/>
        <v>1.9728257654011681E-2</v>
      </c>
      <c r="J400">
        <f t="shared" si="48"/>
        <v>9.0000000000000019E-4</v>
      </c>
      <c r="L400">
        <f t="shared" si="43"/>
        <v>7.7000000000000002E-3</v>
      </c>
      <c r="M400">
        <f t="shared" si="44"/>
        <v>1.61E-2</v>
      </c>
      <c r="N400">
        <f t="shared" si="45"/>
        <v>3.4999999999999996E-3</v>
      </c>
      <c r="O400">
        <f t="shared" si="46"/>
        <v>1.4199999999999999E-2</v>
      </c>
      <c r="P400">
        <f t="shared" si="47"/>
        <v>-9.4999999999999998E-3</v>
      </c>
    </row>
    <row r="401" spans="1:16">
      <c r="A401" s="230" t="s">
        <v>1046</v>
      </c>
      <c r="B401" s="147">
        <v>2.52E-2</v>
      </c>
      <c r="C401" s="147">
        <v>4.7100000000000003E-2</v>
      </c>
      <c r="D401" s="147">
        <v>-4.02E-2</v>
      </c>
      <c r="E401" s="147">
        <v>-1.4000000000000002E-3</v>
      </c>
      <c r="F401" s="147">
        <v>-2.1100000000000001E-2</v>
      </c>
      <c r="G401" s="147">
        <v>6.0599999999999994E-2</v>
      </c>
      <c r="I401" s="27">
        <f t="shared" si="42"/>
        <v>6.0608406553031603E-3</v>
      </c>
      <c r="J401">
        <f t="shared" si="48"/>
        <v>5.7099999999999991E-2</v>
      </c>
      <c r="L401">
        <f t="shared" si="43"/>
        <v>2.1700000000000001E-2</v>
      </c>
      <c r="M401">
        <f t="shared" si="44"/>
        <v>4.7100000000000003E-2</v>
      </c>
      <c r="N401">
        <f t="shared" si="45"/>
        <v>-4.02E-2</v>
      </c>
      <c r="O401">
        <f t="shared" si="46"/>
        <v>-1.4000000000000002E-3</v>
      </c>
      <c r="P401">
        <f t="shared" si="47"/>
        <v>-2.1100000000000001E-2</v>
      </c>
    </row>
    <row r="402" spans="1:16">
      <c r="A402" s="230" t="s">
        <v>1047</v>
      </c>
      <c r="B402" s="147">
        <v>2.7799999999999998E-2</v>
      </c>
      <c r="C402" s="147">
        <v>3.2100000000000004E-2</v>
      </c>
      <c r="D402" s="147">
        <v>-8.3000000000000001E-3</v>
      </c>
      <c r="E402" s="147">
        <v>1.1999999999999999E-3</v>
      </c>
      <c r="F402" s="147">
        <v>-3.0000000000000001E-3</v>
      </c>
      <c r="G402" s="147">
        <v>5.04E-2</v>
      </c>
      <c r="I402" s="27">
        <f t="shared" si="42"/>
        <v>4.1835931203843907E-2</v>
      </c>
      <c r="J402">
        <f t="shared" si="48"/>
        <v>4.6899999999999997E-2</v>
      </c>
      <c r="L402">
        <f t="shared" si="43"/>
        <v>2.4299999999999999E-2</v>
      </c>
      <c r="M402">
        <f t="shared" si="44"/>
        <v>3.2100000000000004E-2</v>
      </c>
      <c r="N402">
        <f t="shared" si="45"/>
        <v>-8.3000000000000001E-3</v>
      </c>
      <c r="O402">
        <f t="shared" si="46"/>
        <v>1.1999999999999999E-3</v>
      </c>
      <c r="P402">
        <f t="shared" si="47"/>
        <v>-3.0000000000000001E-3</v>
      </c>
    </row>
    <row r="403" spans="1:16">
      <c r="A403" s="230" t="s">
        <v>1048</v>
      </c>
      <c r="B403" s="147">
        <v>-7.3999999999999986E-3</v>
      </c>
      <c r="C403" s="147">
        <v>-3.6499999999999998E-2</v>
      </c>
      <c r="D403" s="147">
        <v>2.35E-2</v>
      </c>
      <c r="E403" s="147">
        <v>3.5099999999999999E-2</v>
      </c>
      <c r="F403" s="147">
        <v>1.2200000000000001E-2</v>
      </c>
      <c r="G403" s="147">
        <v>-4.0399999999999998E-2</v>
      </c>
      <c r="I403" s="27">
        <f t="shared" si="42"/>
        <v>5.427496874344083E-2</v>
      </c>
      <c r="J403">
        <f t="shared" si="48"/>
        <v>-4.3900000000000002E-2</v>
      </c>
      <c r="L403">
        <f t="shared" si="43"/>
        <v>-1.0899999999999998E-2</v>
      </c>
      <c r="M403">
        <f t="shared" si="44"/>
        <v>-3.6499999999999998E-2</v>
      </c>
      <c r="N403">
        <f t="shared" si="45"/>
        <v>2.35E-2</v>
      </c>
      <c r="O403">
        <f t="shared" si="46"/>
        <v>3.5099999999999999E-2</v>
      </c>
      <c r="P403">
        <f t="shared" si="47"/>
        <v>1.2200000000000001E-2</v>
      </c>
    </row>
    <row r="404" spans="1:16">
      <c r="A404" s="230" t="s">
        <v>1049</v>
      </c>
      <c r="B404" s="147">
        <v>-5.5199999999999999E-2</v>
      </c>
      <c r="C404" s="147">
        <v>-3.8100000000000002E-2</v>
      </c>
      <c r="D404" s="147">
        <v>5.1400000000000001E-2</v>
      </c>
      <c r="E404" s="147">
        <v>2.9500000000000002E-2</v>
      </c>
      <c r="F404" s="147">
        <v>2.6000000000000002E-2</v>
      </c>
      <c r="G404" s="147">
        <v>-0.10630000000000001</v>
      </c>
      <c r="I404" s="27">
        <f t="shared" si="42"/>
        <v>2.3710858188347634E-2</v>
      </c>
      <c r="J404">
        <f t="shared" si="48"/>
        <v>-0.10980000000000001</v>
      </c>
      <c r="L404">
        <f t="shared" si="43"/>
        <v>-5.8700000000000002E-2</v>
      </c>
      <c r="M404">
        <f t="shared" si="44"/>
        <v>-3.8100000000000002E-2</v>
      </c>
      <c r="N404">
        <f t="shared" si="45"/>
        <v>5.1400000000000001E-2</v>
      </c>
      <c r="O404">
        <f t="shared" si="46"/>
        <v>2.9500000000000002E-2</v>
      </c>
      <c r="P404">
        <f t="shared" si="47"/>
        <v>2.6000000000000002E-2</v>
      </c>
    </row>
    <row r="405" spans="1:16">
      <c r="A405" s="230" t="s">
        <v>1050</v>
      </c>
      <c r="B405" s="147">
        <v>3.1800000000000002E-2</v>
      </c>
      <c r="C405" s="147">
        <v>2.5700000000000001E-2</v>
      </c>
      <c r="D405" s="147">
        <v>-7.4000000000000003E-3</v>
      </c>
      <c r="E405" s="147">
        <v>-3.7000000000000002E-3</v>
      </c>
      <c r="F405" s="147">
        <v>-2.4199999999999999E-2</v>
      </c>
      <c r="G405" s="147">
        <v>5.7400000000000007E-2</v>
      </c>
      <c r="I405" s="27">
        <f t="shared" si="42"/>
        <v>-2.0114772531544717E-2</v>
      </c>
      <c r="J405">
        <f t="shared" si="48"/>
        <v>5.3900000000000003E-2</v>
      </c>
      <c r="L405">
        <f t="shared" si="43"/>
        <v>2.8300000000000002E-2</v>
      </c>
      <c r="M405">
        <f t="shared" si="44"/>
        <v>2.5700000000000001E-2</v>
      </c>
      <c r="N405">
        <f t="shared" si="45"/>
        <v>-7.4000000000000003E-3</v>
      </c>
      <c r="O405">
        <f t="shared" si="46"/>
        <v>-3.7000000000000002E-3</v>
      </c>
      <c r="P405">
        <f t="shared" si="47"/>
        <v>-2.4199999999999999E-2</v>
      </c>
    </row>
    <row r="406" spans="1:16">
      <c r="A406" s="230" t="s">
        <v>1051</v>
      </c>
      <c r="B406" s="147">
        <v>5.45E-2</v>
      </c>
      <c r="C406" s="147">
        <v>-1.3899999999999999E-2</v>
      </c>
      <c r="D406" s="147">
        <v>-2.7200000000000002E-2</v>
      </c>
      <c r="E406" s="147">
        <v>1.2700000000000001E-2</v>
      </c>
      <c r="F406" s="147">
        <v>-2.2200000000000001E-2</v>
      </c>
      <c r="G406" s="147">
        <v>8.0199999999999994E-2</v>
      </c>
      <c r="I406" s="27">
        <f t="shared" si="42"/>
        <v>1.5468045145331687E-2</v>
      </c>
      <c r="J406">
        <f t="shared" si="48"/>
        <v>7.669999999999999E-2</v>
      </c>
      <c r="L406">
        <f t="shared" si="43"/>
        <v>5.0999999999999997E-2</v>
      </c>
      <c r="M406">
        <f t="shared" si="44"/>
        <v>-1.3899999999999999E-2</v>
      </c>
      <c r="N406">
        <f t="shared" si="45"/>
        <v>-2.7200000000000002E-2</v>
      </c>
      <c r="O406">
        <f t="shared" si="46"/>
        <v>1.2700000000000001E-2</v>
      </c>
      <c r="P406">
        <f t="shared" si="47"/>
        <v>-2.2200000000000001E-2</v>
      </c>
    </row>
    <row r="407" spans="1:16">
      <c r="A407" s="230" t="s">
        <v>1052</v>
      </c>
      <c r="B407" s="147">
        <v>1.2799999999999999E-2</v>
      </c>
      <c r="C407" s="147">
        <v>-3.7700000000000004E-2</v>
      </c>
      <c r="D407" s="147">
        <v>4.9400000000000006E-2</v>
      </c>
      <c r="E407" s="147">
        <v>1.3999999999999999E-2</v>
      </c>
      <c r="F407" s="147">
        <v>3.2500000000000001E-2</v>
      </c>
      <c r="G407" s="147">
        <v>-1.03E-2</v>
      </c>
      <c r="I407" s="27">
        <f t="shared" si="42"/>
        <v>8.0390071718993511E-2</v>
      </c>
      <c r="J407">
        <f t="shared" si="48"/>
        <v>-1.38E-2</v>
      </c>
      <c r="L407">
        <f t="shared" si="43"/>
        <v>9.2999999999999992E-3</v>
      </c>
      <c r="M407">
        <f t="shared" si="44"/>
        <v>-3.7700000000000004E-2</v>
      </c>
      <c r="N407">
        <f t="shared" si="45"/>
        <v>4.9400000000000006E-2</v>
      </c>
      <c r="O407">
        <f t="shared" si="46"/>
        <v>1.3999999999999999E-2</v>
      </c>
      <c r="P407">
        <f t="shared" si="47"/>
        <v>3.2500000000000001E-2</v>
      </c>
    </row>
    <row r="408" spans="1:16">
      <c r="A408" s="230" t="s">
        <v>1053</v>
      </c>
      <c r="B408" s="147">
        <v>6.6599999999999993E-2</v>
      </c>
      <c r="C408" s="147">
        <v>-3.7999999999999999E-2</v>
      </c>
      <c r="D408" s="147">
        <v>1.3899999999999999E-2</v>
      </c>
      <c r="E408" s="147">
        <v>2.12E-2</v>
      </c>
      <c r="F408" s="147">
        <v>-7.9000000000000008E-3</v>
      </c>
      <c r="G408" s="147">
        <v>1.6200000000000003E-2</v>
      </c>
      <c r="I408" s="27">
        <f t="shared" si="42"/>
        <v>5.412232189042078E-2</v>
      </c>
      <c r="J408">
        <f t="shared" si="48"/>
        <v>1.2700000000000003E-2</v>
      </c>
      <c r="L408">
        <f t="shared" si="43"/>
        <v>6.3099999999999989E-2</v>
      </c>
      <c r="M408">
        <f t="shared" si="44"/>
        <v>-3.7999999999999999E-2</v>
      </c>
      <c r="N408">
        <f t="shared" si="45"/>
        <v>1.3899999999999999E-2</v>
      </c>
      <c r="O408">
        <f t="shared" si="46"/>
        <v>2.12E-2</v>
      </c>
      <c r="P408">
        <f t="shared" si="47"/>
        <v>-7.9000000000000008E-3</v>
      </c>
    </row>
    <row r="409" spans="1:16">
      <c r="A409" s="230" t="s">
        <v>1054</v>
      </c>
      <c r="B409" s="147">
        <v>-1.2400000000000001E-2</v>
      </c>
      <c r="C409" s="147">
        <v>3.2500000000000001E-2</v>
      </c>
      <c r="D409" s="147">
        <v>1.3100000000000001E-2</v>
      </c>
      <c r="E409" s="147">
        <v>3.7000000000000002E-3</v>
      </c>
      <c r="F409" s="147">
        <v>1.49E-2</v>
      </c>
      <c r="G409" s="147">
        <v>8.3000000000000001E-3</v>
      </c>
      <c r="I409" s="27">
        <f t="shared" si="42"/>
        <v>4.6435974663821031E-2</v>
      </c>
      <c r="J409">
        <f t="shared" si="48"/>
        <v>4.8000000000000004E-3</v>
      </c>
      <c r="L409">
        <f t="shared" si="43"/>
        <v>-1.5900000000000001E-2</v>
      </c>
      <c r="M409">
        <f t="shared" si="44"/>
        <v>3.2500000000000001E-2</v>
      </c>
      <c r="N409">
        <f t="shared" si="45"/>
        <v>1.3100000000000001E-2</v>
      </c>
      <c r="O409">
        <f t="shared" si="46"/>
        <v>3.7000000000000002E-3</v>
      </c>
      <c r="P409">
        <f t="shared" si="47"/>
        <v>1.49E-2</v>
      </c>
    </row>
    <row r="410" spans="1:16">
      <c r="A410" s="230" t="s">
        <v>1055</v>
      </c>
      <c r="B410" s="147">
        <v>5.4400000000000004E-2</v>
      </c>
      <c r="C410" s="147">
        <v>-1.8200000000000001E-2</v>
      </c>
      <c r="D410" s="147">
        <v>-1.4199999999999999E-2</v>
      </c>
      <c r="E410" s="147">
        <v>1.1899999999999999E-2</v>
      </c>
      <c r="F410" s="147">
        <v>-2.0000000000000001E-4</v>
      </c>
      <c r="G410" s="147">
        <v>8.900000000000001E-2</v>
      </c>
      <c r="I410" s="27">
        <f t="shared" si="42"/>
        <v>6.3027792248505632E-2</v>
      </c>
      <c r="J410">
        <f t="shared" si="48"/>
        <v>8.5500000000000007E-2</v>
      </c>
      <c r="L410">
        <f t="shared" si="43"/>
        <v>5.0900000000000001E-2</v>
      </c>
      <c r="M410">
        <f t="shared" si="44"/>
        <v>-1.8200000000000001E-2</v>
      </c>
      <c r="N410">
        <f t="shared" si="45"/>
        <v>-1.4199999999999999E-2</v>
      </c>
      <c r="O410">
        <f t="shared" si="46"/>
        <v>1.1899999999999999E-2</v>
      </c>
      <c r="P410">
        <f t="shared" si="47"/>
        <v>-2.0000000000000001E-4</v>
      </c>
    </row>
    <row r="411" spans="1:16">
      <c r="A411" s="230" t="s">
        <v>1056</v>
      </c>
      <c r="B411" s="147">
        <v>-9.9999999999999959E-4</v>
      </c>
      <c r="C411" s="147">
        <v>-2.5899999999999999E-2</v>
      </c>
      <c r="D411" s="147">
        <v>5.67E-2</v>
      </c>
      <c r="E411" s="147">
        <v>6.7000000000000002E-3</v>
      </c>
      <c r="F411" s="147">
        <v>3.4700000000000002E-2</v>
      </c>
      <c r="G411" s="147">
        <v>-6.8099999999999994E-2</v>
      </c>
      <c r="I411" s="27">
        <f t="shared" si="42"/>
        <v>6.5022207287135203E-2</v>
      </c>
      <c r="J411">
        <f t="shared" si="48"/>
        <v>-7.1599999999999997E-2</v>
      </c>
      <c r="L411">
        <f t="shared" si="43"/>
        <v>-4.4999999999999997E-3</v>
      </c>
      <c r="M411">
        <f t="shared" si="44"/>
        <v>-2.5899999999999999E-2</v>
      </c>
      <c r="N411">
        <f t="shared" si="45"/>
        <v>5.67E-2</v>
      </c>
      <c r="O411">
        <f t="shared" si="46"/>
        <v>6.7000000000000002E-3</v>
      </c>
      <c r="P411">
        <f t="shared" si="47"/>
        <v>3.4700000000000002E-2</v>
      </c>
    </row>
    <row r="412" spans="1:16">
      <c r="A412" s="230" t="s">
        <v>1057</v>
      </c>
      <c r="B412" s="147">
        <v>-4.6000000000000006E-2</v>
      </c>
      <c r="C412" s="147">
        <v>-4.3E-3</v>
      </c>
      <c r="D412" s="147">
        <v>3.39E-2</v>
      </c>
      <c r="E412" s="147">
        <v>5.0000000000000001E-3</v>
      </c>
      <c r="F412" s="147">
        <v>1.66E-2</v>
      </c>
      <c r="G412" s="147">
        <v>-4.4600000000000001E-2</v>
      </c>
      <c r="I412" s="27">
        <f t="shared" si="42"/>
        <v>-9.0848077822531202E-3</v>
      </c>
      <c r="J412">
        <f t="shared" si="48"/>
        <v>-4.8100000000000004E-2</v>
      </c>
      <c r="L412">
        <f t="shared" si="43"/>
        <v>-4.9500000000000009E-2</v>
      </c>
      <c r="M412">
        <f t="shared" si="44"/>
        <v>-4.3E-3</v>
      </c>
      <c r="N412">
        <f t="shared" si="45"/>
        <v>3.39E-2</v>
      </c>
      <c r="O412">
        <f t="shared" si="46"/>
        <v>5.0000000000000001E-3</v>
      </c>
      <c r="P412">
        <f t="shared" si="47"/>
        <v>1.66E-2</v>
      </c>
    </row>
    <row r="413" spans="1:16">
      <c r="A413" s="230" t="s">
        <v>1058</v>
      </c>
      <c r="B413" s="147">
        <v>4.4699999999999997E-2</v>
      </c>
      <c r="C413" s="147">
        <v>-5.7000000000000002E-2</v>
      </c>
      <c r="D413" s="147">
        <v>7.000000000000001E-4</v>
      </c>
      <c r="E413" s="147">
        <v>3.2599999999999997E-2</v>
      </c>
      <c r="F413" s="147">
        <v>-7.1999999999999998E-3</v>
      </c>
      <c r="G413" s="147">
        <v>8.9200000000000002E-2</v>
      </c>
      <c r="I413" s="27">
        <f t="shared" si="42"/>
        <v>4.4943774771147721E-2</v>
      </c>
      <c r="J413">
        <f t="shared" si="48"/>
        <v>8.5699999999999998E-2</v>
      </c>
      <c r="L413">
        <f t="shared" si="43"/>
        <v>4.1199999999999994E-2</v>
      </c>
      <c r="M413">
        <f t="shared" si="44"/>
        <v>-5.7000000000000002E-2</v>
      </c>
      <c r="N413">
        <f t="shared" si="45"/>
        <v>7.000000000000001E-4</v>
      </c>
      <c r="O413">
        <f t="shared" si="46"/>
        <v>3.2599999999999997E-2</v>
      </c>
      <c r="P413">
        <f t="shared" si="47"/>
        <v>-7.1999999999999998E-3</v>
      </c>
    </row>
    <row r="414" spans="1:16">
      <c r="A414" s="230" t="s">
        <v>1059</v>
      </c>
      <c r="B414" s="147">
        <v>7.2300000000000003E-2</v>
      </c>
      <c r="C414" s="147">
        <v>4.7500000000000001E-2</v>
      </c>
      <c r="D414" s="147">
        <v>-4.1299999999999996E-2</v>
      </c>
      <c r="E414" s="147">
        <v>-1.0200000000000001E-2</v>
      </c>
      <c r="F414" s="147">
        <v>-2.9600000000000001E-2</v>
      </c>
      <c r="G414" s="147">
        <v>5.96E-2</v>
      </c>
      <c r="I414" s="27">
        <f t="shared" si="42"/>
        <v>1.6557954034653297E-2</v>
      </c>
      <c r="J414">
        <f t="shared" si="48"/>
        <v>5.6099999999999997E-2</v>
      </c>
      <c r="L414">
        <f t="shared" si="43"/>
        <v>6.88E-2</v>
      </c>
      <c r="M414">
        <f t="shared" si="44"/>
        <v>4.7500000000000001E-2</v>
      </c>
      <c r="N414">
        <f t="shared" si="45"/>
        <v>-4.1299999999999996E-2</v>
      </c>
      <c r="O414">
        <f t="shared" si="46"/>
        <v>-1.0200000000000001E-2</v>
      </c>
      <c r="P414">
        <f t="shared" si="47"/>
        <v>-2.9600000000000001E-2</v>
      </c>
    </row>
    <row r="415" spans="1:16">
      <c r="A415" s="230" t="s">
        <v>1060</v>
      </c>
      <c r="B415" s="147">
        <v>4.4699999999999997E-2</v>
      </c>
      <c r="C415" s="147">
        <v>1.1899999999999999E-2</v>
      </c>
      <c r="D415" s="147">
        <v>1.5800000000000002E-2</v>
      </c>
      <c r="E415" s="147">
        <v>5.6000000000000008E-3</v>
      </c>
      <c r="F415" s="147">
        <v>6.6000000000000008E-3</v>
      </c>
      <c r="G415" s="147">
        <v>4.5100000000000001E-2</v>
      </c>
      <c r="I415" s="27">
        <f t="shared" si="42"/>
        <v>7.2279207713073113E-2</v>
      </c>
      <c r="J415">
        <f t="shared" si="48"/>
        <v>4.1599999999999998E-2</v>
      </c>
      <c r="L415">
        <f t="shared" si="43"/>
        <v>4.1199999999999994E-2</v>
      </c>
      <c r="M415">
        <f t="shared" si="44"/>
        <v>1.1899999999999999E-2</v>
      </c>
      <c r="N415">
        <f t="shared" si="45"/>
        <v>1.5800000000000002E-2</v>
      </c>
      <c r="O415">
        <f t="shared" si="46"/>
        <v>5.6000000000000008E-3</v>
      </c>
      <c r="P415">
        <f t="shared" si="47"/>
        <v>6.6000000000000008E-3</v>
      </c>
    </row>
    <row r="416" spans="1:16">
      <c r="A416" s="230" t="s">
        <v>1061</v>
      </c>
      <c r="B416" s="147">
        <v>7.7600000000000002E-2</v>
      </c>
      <c r="C416" s="147">
        <v>-2.76E-2</v>
      </c>
      <c r="D416" s="147">
        <v>2.6000000000000003E-3</v>
      </c>
      <c r="E416" s="147">
        <v>7.000000000000001E-4</v>
      </c>
      <c r="F416" s="147">
        <v>-2.58E-2</v>
      </c>
      <c r="G416" s="147">
        <v>0.15080000000000002</v>
      </c>
      <c r="I416" s="27">
        <f t="shared" si="42"/>
        <v>-7.382497603071695E-3</v>
      </c>
      <c r="J416">
        <f t="shared" si="48"/>
        <v>0.14730000000000001</v>
      </c>
      <c r="L416">
        <f t="shared" si="43"/>
        <v>7.4099999999999999E-2</v>
      </c>
      <c r="M416">
        <f t="shared" si="44"/>
        <v>-2.76E-2</v>
      </c>
      <c r="N416">
        <f t="shared" si="45"/>
        <v>2.6000000000000003E-3</v>
      </c>
      <c r="O416">
        <f t="shared" si="46"/>
        <v>7.000000000000001E-4</v>
      </c>
      <c r="P416">
        <f t="shared" si="47"/>
        <v>-2.58E-2</v>
      </c>
    </row>
    <row r="417" spans="1:16">
      <c r="A417" s="230" t="s">
        <v>1062</v>
      </c>
      <c r="B417" s="147">
        <v>-3.7400000000000003E-2</v>
      </c>
      <c r="C417" s="147">
        <v>7.6100000000000001E-2</v>
      </c>
      <c r="D417" s="147">
        <v>1.18E-2</v>
      </c>
      <c r="E417" s="147">
        <v>-1.11E-2</v>
      </c>
      <c r="F417" s="147">
        <v>-4.0000000000000002E-4</v>
      </c>
      <c r="G417" s="147">
        <v>-2.63E-2</v>
      </c>
      <c r="I417" s="27">
        <f t="shared" si="42"/>
        <v>-1.4548337091157524E-2</v>
      </c>
      <c r="J417">
        <f t="shared" si="48"/>
        <v>-2.98E-2</v>
      </c>
      <c r="L417">
        <f t="shared" si="43"/>
        <v>-4.0900000000000006E-2</v>
      </c>
      <c r="M417">
        <f t="shared" si="44"/>
        <v>7.6100000000000001E-2</v>
      </c>
      <c r="N417">
        <f t="shared" si="45"/>
        <v>1.18E-2</v>
      </c>
      <c r="O417">
        <f t="shared" si="46"/>
        <v>-1.11E-2</v>
      </c>
      <c r="P417">
        <f t="shared" si="47"/>
        <v>-4.0000000000000002E-4</v>
      </c>
    </row>
    <row r="418" spans="1:16">
      <c r="A418" s="230" t="s">
        <v>1063</v>
      </c>
      <c r="B418" s="147">
        <v>5.79E-2</v>
      </c>
      <c r="C418" s="147">
        <v>2.4900000000000002E-2</v>
      </c>
      <c r="D418" s="147">
        <v>3.7000000000000002E-3</v>
      </c>
      <c r="E418" s="147">
        <v>-1.6299999999999999E-2</v>
      </c>
      <c r="F418" s="147">
        <v>-9.1000000000000004E-3</v>
      </c>
      <c r="G418" s="147">
        <v>6.9100000000000009E-2</v>
      </c>
      <c r="I418" s="27">
        <f t="shared" si="42"/>
        <v>1.7771133349412875E-2</v>
      </c>
      <c r="J418">
        <f t="shared" si="48"/>
        <v>6.5600000000000006E-2</v>
      </c>
      <c r="L418">
        <f t="shared" si="43"/>
        <v>5.4399999999999997E-2</v>
      </c>
      <c r="M418">
        <f t="shared" si="44"/>
        <v>2.4900000000000002E-2</v>
      </c>
      <c r="N418">
        <f t="shared" si="45"/>
        <v>3.7000000000000002E-3</v>
      </c>
      <c r="O418">
        <f t="shared" si="46"/>
        <v>-1.6299999999999999E-2</v>
      </c>
      <c r="P418">
        <f t="shared" si="47"/>
        <v>-9.1000000000000004E-3</v>
      </c>
    </row>
    <row r="419" spans="1:16">
      <c r="A419" s="230" t="s">
        <v>1064</v>
      </c>
      <c r="B419" s="147">
        <v>-3.3799999999999997E-2</v>
      </c>
      <c r="C419" s="147">
        <v>-5.2000000000000006E-3</v>
      </c>
      <c r="D419" s="147">
        <v>2.2700000000000001E-2</v>
      </c>
      <c r="E419" s="147">
        <v>0.01</v>
      </c>
      <c r="F419" s="147">
        <v>1.9400000000000001E-2</v>
      </c>
      <c r="G419" s="147">
        <v>-7.8300000000000008E-2</v>
      </c>
      <c r="I419" s="27">
        <f t="shared" si="42"/>
        <v>2.0897646863573861E-2</v>
      </c>
      <c r="J419">
        <f t="shared" si="48"/>
        <v>-8.1800000000000012E-2</v>
      </c>
      <c r="L419">
        <f t="shared" si="43"/>
        <v>-3.73E-2</v>
      </c>
      <c r="M419">
        <f t="shared" si="44"/>
        <v>-5.2000000000000006E-3</v>
      </c>
      <c r="N419">
        <f t="shared" si="45"/>
        <v>2.2700000000000001E-2</v>
      </c>
      <c r="O419">
        <f t="shared" si="46"/>
        <v>0.01</v>
      </c>
      <c r="P419">
        <f t="shared" si="47"/>
        <v>1.9400000000000001E-2</v>
      </c>
    </row>
    <row r="420" spans="1:16">
      <c r="A420" s="230" t="s">
        <v>1065</v>
      </c>
      <c r="B420" s="147">
        <v>3.3700000000000001E-2</v>
      </c>
      <c r="C420" s="147">
        <v>-5.1100000000000007E-2</v>
      </c>
      <c r="D420" s="147">
        <v>1.2E-2</v>
      </c>
      <c r="E420" s="147">
        <v>2.81E-2</v>
      </c>
      <c r="F420" s="147">
        <v>1.84E-2</v>
      </c>
      <c r="G420" s="147">
        <v>1.38E-2</v>
      </c>
      <c r="I420" s="27">
        <f t="shared" si="42"/>
        <v>9.0879167530001276E-2</v>
      </c>
      <c r="J420">
        <f t="shared" si="48"/>
        <v>1.03E-2</v>
      </c>
      <c r="L420">
        <f t="shared" si="43"/>
        <v>3.0200000000000001E-2</v>
      </c>
      <c r="M420">
        <f t="shared" si="44"/>
        <v>-5.1100000000000007E-2</v>
      </c>
      <c r="N420">
        <f t="shared" si="45"/>
        <v>1.2E-2</v>
      </c>
      <c r="O420">
        <f t="shared" si="46"/>
        <v>2.81E-2</v>
      </c>
      <c r="P420">
        <f t="shared" si="47"/>
        <v>1.84E-2</v>
      </c>
    </row>
    <row r="421" spans="1:16">
      <c r="A421" s="230" t="s">
        <v>1066</v>
      </c>
      <c r="B421" s="147">
        <v>1.8000000000000002E-2</v>
      </c>
      <c r="C421" s="147">
        <v>-2.0299999999999999E-2</v>
      </c>
      <c r="D421" s="147">
        <v>3.8399999999999997E-2</v>
      </c>
      <c r="E421" s="147">
        <v>7.4000000000000003E-3</v>
      </c>
      <c r="F421" s="147">
        <v>1.9199999999999998E-2</v>
      </c>
      <c r="G421" s="147">
        <v>1.4499999999999999E-2</v>
      </c>
      <c r="I421" s="27">
        <f t="shared" si="42"/>
        <v>5.4287369728766632E-2</v>
      </c>
      <c r="J421">
        <f t="shared" si="48"/>
        <v>1.0999999999999999E-2</v>
      </c>
      <c r="L421">
        <f t="shared" si="43"/>
        <v>1.4500000000000002E-2</v>
      </c>
      <c r="M421">
        <f t="shared" si="44"/>
        <v>-2.0299999999999999E-2</v>
      </c>
      <c r="N421">
        <f t="shared" si="45"/>
        <v>3.8399999999999997E-2</v>
      </c>
      <c r="O421">
        <f t="shared" si="46"/>
        <v>7.4000000000000003E-3</v>
      </c>
      <c r="P421">
        <f t="shared" si="47"/>
        <v>1.9199999999999998E-2</v>
      </c>
    </row>
    <row r="422" spans="1:16">
      <c r="A422" s="230" t="s">
        <v>1067</v>
      </c>
      <c r="B422" s="147">
        <v>5.7999999999999996E-3</v>
      </c>
      <c r="C422" s="147">
        <v>-1.3600000000000001E-2</v>
      </c>
      <c r="D422" s="147">
        <v>-1.6299999999999999E-2</v>
      </c>
      <c r="E422" s="147">
        <v>8.6999999999999994E-3</v>
      </c>
      <c r="F422" s="147">
        <v>-7.3000000000000001E-3</v>
      </c>
      <c r="G422" s="147">
        <v>2.53E-2</v>
      </c>
      <c r="I422" s="27">
        <f t="shared" si="42"/>
        <v>-5.5615749805534437E-3</v>
      </c>
      <c r="J422">
        <f t="shared" si="48"/>
        <v>2.18E-2</v>
      </c>
      <c r="L422">
        <f t="shared" si="43"/>
        <v>2.2999999999999995E-3</v>
      </c>
      <c r="M422">
        <f t="shared" si="44"/>
        <v>-1.3600000000000001E-2</v>
      </c>
      <c r="N422">
        <f t="shared" si="45"/>
        <v>-1.6299999999999999E-2</v>
      </c>
      <c r="O422">
        <f t="shared" si="46"/>
        <v>8.6999999999999994E-3</v>
      </c>
      <c r="P422">
        <f t="shared" si="47"/>
        <v>-7.3000000000000001E-3</v>
      </c>
    </row>
    <row r="423" spans="1:16">
      <c r="A423" s="230" t="s">
        <v>1068</v>
      </c>
      <c r="B423" s="147">
        <v>7.4300000000000005E-2</v>
      </c>
      <c r="C423" s="147">
        <v>2E-3</v>
      </c>
      <c r="D423" s="147">
        <v>-8.5000000000000006E-3</v>
      </c>
      <c r="E423" s="147">
        <v>-3.0999999999999999E-3</v>
      </c>
      <c r="F423" s="147">
        <v>-2.5400000000000002E-2</v>
      </c>
      <c r="G423" s="147">
        <v>9.9000000000000005E-2</v>
      </c>
      <c r="I423" s="27">
        <f t="shared" si="42"/>
        <v>5.1625553392940678E-3</v>
      </c>
      <c r="J423">
        <f t="shared" si="48"/>
        <v>9.5500000000000002E-2</v>
      </c>
      <c r="L423">
        <f t="shared" si="43"/>
        <v>7.0800000000000002E-2</v>
      </c>
      <c r="M423">
        <f t="shared" si="44"/>
        <v>2E-3</v>
      </c>
      <c r="N423">
        <f t="shared" si="45"/>
        <v>-8.5000000000000006E-3</v>
      </c>
      <c r="O423">
        <f t="shared" si="46"/>
        <v>-3.0999999999999999E-3</v>
      </c>
      <c r="P423">
        <f t="shared" si="47"/>
        <v>-2.5400000000000002E-2</v>
      </c>
    </row>
    <row r="424" spans="1:16">
      <c r="A424" s="230" t="s">
        <v>1069</v>
      </c>
      <c r="B424" s="147">
        <v>5.1499999999999997E-2</v>
      </c>
      <c r="C424" s="147">
        <v>-6.5000000000000006E-3</v>
      </c>
      <c r="D424" s="147">
        <v>1.3899999999999999E-2</v>
      </c>
      <c r="E424" s="147">
        <v>-2.6000000000000003E-3</v>
      </c>
      <c r="F424" s="147">
        <v>-3.7000000000000002E-3</v>
      </c>
      <c r="G424" s="147">
        <v>5.96E-2</v>
      </c>
      <c r="I424" s="27">
        <f t="shared" si="42"/>
        <v>2.6917825345715275E-2</v>
      </c>
      <c r="J424">
        <f t="shared" si="48"/>
        <v>5.6099999999999997E-2</v>
      </c>
      <c r="L424">
        <f t="shared" si="43"/>
        <v>4.7999999999999994E-2</v>
      </c>
      <c r="M424">
        <f t="shared" si="44"/>
        <v>-6.5000000000000006E-3</v>
      </c>
      <c r="N424">
        <f t="shared" si="45"/>
        <v>1.3899999999999999E-2</v>
      </c>
      <c r="O424">
        <f t="shared" si="46"/>
        <v>-2.6000000000000003E-3</v>
      </c>
      <c r="P424">
        <f t="shared" si="47"/>
        <v>-3.7000000000000002E-3</v>
      </c>
    </row>
    <row r="425" spans="1:16">
      <c r="A425" s="230" t="s">
        <v>1070</v>
      </c>
      <c r="B425" s="147">
        <v>1.1599999999999999E-2</v>
      </c>
      <c r="C425" s="147">
        <v>0</v>
      </c>
      <c r="D425" s="147">
        <v>9.4000000000000004E-3</v>
      </c>
      <c r="E425" s="147">
        <v>-1.6899999999999998E-2</v>
      </c>
      <c r="F425" s="147">
        <v>-3.5999999999999999E-3</v>
      </c>
      <c r="G425" s="147">
        <v>5.3600000000000002E-2</v>
      </c>
      <c r="I425" s="27">
        <f t="shared" si="42"/>
        <v>-3.3494850466357834E-2</v>
      </c>
      <c r="J425">
        <f t="shared" si="48"/>
        <v>5.0099999999999999E-2</v>
      </c>
      <c r="L425">
        <f t="shared" si="43"/>
        <v>8.0999999999999996E-3</v>
      </c>
      <c r="M425">
        <f t="shared" si="44"/>
        <v>0</v>
      </c>
      <c r="N425">
        <f t="shared" si="45"/>
        <v>9.4000000000000004E-3</v>
      </c>
      <c r="O425">
        <f t="shared" si="46"/>
        <v>-1.6899999999999998E-2</v>
      </c>
      <c r="P425">
        <f t="shared" si="47"/>
        <v>-3.5999999999999999E-3</v>
      </c>
    </row>
    <row r="426" spans="1:16">
      <c r="A426" s="230" t="s">
        <v>1071</v>
      </c>
      <c r="B426" s="147">
        <v>-2.6699999999999998E-2</v>
      </c>
      <c r="C426" s="147">
        <v>-2.9500000000000002E-2</v>
      </c>
      <c r="D426" s="147">
        <v>3.44E-2</v>
      </c>
      <c r="E426" s="147">
        <v>1.1000000000000001E-2</v>
      </c>
      <c r="F426" s="147">
        <v>2.6099999999999998E-2</v>
      </c>
      <c r="G426" s="147">
        <v>-3.49E-2</v>
      </c>
      <c r="I426" s="27">
        <f t="shared" si="42"/>
        <v>2.8059478019418247E-2</v>
      </c>
      <c r="J426">
        <f t="shared" si="48"/>
        <v>-3.8400000000000004E-2</v>
      </c>
      <c r="L426">
        <f t="shared" si="43"/>
        <v>-3.0199999999999998E-2</v>
      </c>
      <c r="M426">
        <f t="shared" si="44"/>
        <v>-2.9500000000000002E-2</v>
      </c>
      <c r="N426">
        <f t="shared" si="45"/>
        <v>3.44E-2</v>
      </c>
      <c r="O426">
        <f t="shared" si="46"/>
        <v>1.1000000000000001E-2</v>
      </c>
      <c r="P426">
        <f t="shared" si="47"/>
        <v>2.6099999999999998E-2</v>
      </c>
    </row>
    <row r="427" spans="1:16">
      <c r="A427" s="230" t="s">
        <v>1072</v>
      </c>
      <c r="B427" s="147">
        <v>3.5900000000000001E-2</v>
      </c>
      <c r="C427" s="147">
        <v>-3.6600000000000001E-2</v>
      </c>
      <c r="D427" s="147">
        <v>-1.9599999999999999E-2</v>
      </c>
      <c r="E427" s="147">
        <v>-2.6000000000000003E-3</v>
      </c>
      <c r="F427" s="147">
        <v>-2.9700000000000004E-2</v>
      </c>
      <c r="G427" s="147">
        <v>9.4399999999999998E-2</v>
      </c>
      <c r="I427" s="27">
        <f t="shared" si="42"/>
        <v>-6.6037809286868407E-2</v>
      </c>
      <c r="J427">
        <f t="shared" si="48"/>
        <v>9.0899999999999995E-2</v>
      </c>
      <c r="L427">
        <f t="shared" si="43"/>
        <v>3.2399999999999998E-2</v>
      </c>
      <c r="M427">
        <f t="shared" si="44"/>
        <v>-3.6600000000000001E-2</v>
      </c>
      <c r="N427">
        <f t="shared" si="45"/>
        <v>-1.9599999999999999E-2</v>
      </c>
      <c r="O427">
        <f t="shared" si="46"/>
        <v>-2.6000000000000003E-3</v>
      </c>
      <c r="P427">
        <f t="shared" si="47"/>
        <v>-2.9700000000000004E-2</v>
      </c>
    </row>
    <row r="428" spans="1:16">
      <c r="A428" s="230" t="s">
        <v>1073</v>
      </c>
      <c r="B428" s="147">
        <v>-2.06E-2</v>
      </c>
      <c r="C428" s="147">
        <v>-5.2699999999999997E-2</v>
      </c>
      <c r="D428" s="147">
        <v>-1.78E-2</v>
      </c>
      <c r="E428" s="147">
        <v>1.7399999999999999E-2</v>
      </c>
      <c r="F428" s="147">
        <v>4.5000000000000005E-3</v>
      </c>
      <c r="G428" s="147">
        <v>9.1000000000000004E-3</v>
      </c>
      <c r="I428" s="27">
        <f t="shared" si="42"/>
        <v>-1.2209770287120681E-2</v>
      </c>
      <c r="J428">
        <f t="shared" si="48"/>
        <v>5.6000000000000008E-3</v>
      </c>
      <c r="L428">
        <f t="shared" si="43"/>
        <v>-2.41E-2</v>
      </c>
      <c r="M428">
        <f t="shared" si="44"/>
        <v>-5.2699999999999997E-2</v>
      </c>
      <c r="N428">
        <f t="shared" si="45"/>
        <v>-1.78E-2</v>
      </c>
      <c r="O428">
        <f t="shared" si="46"/>
        <v>1.7399999999999999E-2</v>
      </c>
      <c r="P428">
        <f t="shared" si="47"/>
        <v>4.5000000000000005E-3</v>
      </c>
    </row>
    <row r="429" spans="1:16">
      <c r="A429" s="230" t="s">
        <v>1074</v>
      </c>
      <c r="B429" s="147">
        <v>-0.1565</v>
      </c>
      <c r="C429" s="147">
        <v>-5.1700000000000003E-2</v>
      </c>
      <c r="D429" s="147">
        <v>3.5299999999999998E-2</v>
      </c>
      <c r="E429" s="147">
        <v>3.3700000000000001E-2</v>
      </c>
      <c r="F429" s="147">
        <v>5.91E-2</v>
      </c>
      <c r="G429" s="147">
        <v>-0.1696</v>
      </c>
      <c r="I429" s="27">
        <f t="shared" si="42"/>
        <v>6.6924628597442339E-3</v>
      </c>
      <c r="J429">
        <f t="shared" si="48"/>
        <v>-0.1731</v>
      </c>
      <c r="L429">
        <f t="shared" si="43"/>
        <v>-0.16</v>
      </c>
      <c r="M429">
        <f t="shared" si="44"/>
        <v>-5.1700000000000003E-2</v>
      </c>
      <c r="N429">
        <f t="shared" si="45"/>
        <v>3.5299999999999998E-2</v>
      </c>
      <c r="O429">
        <f t="shared" si="46"/>
        <v>3.3700000000000001E-2</v>
      </c>
      <c r="P429">
        <f t="shared" si="47"/>
        <v>5.91E-2</v>
      </c>
    </row>
    <row r="430" spans="1:16">
      <c r="A430" s="230" t="s">
        <v>1075</v>
      </c>
      <c r="B430" s="147">
        <v>6.6100000000000006E-2</v>
      </c>
      <c r="C430" s="147">
        <v>-7.8000000000000005E-3</v>
      </c>
      <c r="D430" s="147">
        <v>-3.4200000000000001E-2</v>
      </c>
      <c r="E430" s="147">
        <v>-1.8800000000000001E-2</v>
      </c>
      <c r="F430" s="147">
        <v>-2.9900000000000003E-2</v>
      </c>
      <c r="G430" s="147">
        <v>8.6699999999999999E-2</v>
      </c>
      <c r="I430" s="27">
        <f t="shared" si="42"/>
        <v>-4.379576518679635E-2</v>
      </c>
      <c r="J430">
        <f t="shared" si="48"/>
        <v>8.3199999999999996E-2</v>
      </c>
      <c r="L430">
        <f t="shared" si="43"/>
        <v>6.2600000000000003E-2</v>
      </c>
      <c r="M430">
        <f t="shared" si="44"/>
        <v>-7.8000000000000005E-3</v>
      </c>
      <c r="N430">
        <f t="shared" si="45"/>
        <v>-3.4200000000000001E-2</v>
      </c>
      <c r="O430">
        <f t="shared" si="46"/>
        <v>-1.8800000000000001E-2</v>
      </c>
      <c r="P430">
        <f t="shared" si="47"/>
        <v>-2.9900000000000003E-2</v>
      </c>
    </row>
    <row r="431" spans="1:16">
      <c r="A431" s="230" t="s">
        <v>1076</v>
      </c>
      <c r="B431" s="147">
        <v>7.4499999999999997E-2</v>
      </c>
      <c r="C431" s="147">
        <v>-3.4300000000000004E-2</v>
      </c>
      <c r="D431" s="147">
        <v>-2.23E-2</v>
      </c>
      <c r="E431" s="147">
        <v>9.300000000000001E-3</v>
      </c>
      <c r="F431" s="147">
        <v>3.0999999999999999E-3</v>
      </c>
      <c r="G431" s="147">
        <v>4.0599999999999997E-2</v>
      </c>
      <c r="I431" s="27">
        <f t="shared" si="42"/>
        <v>7.7723744231188885E-2</v>
      </c>
      <c r="J431">
        <f t="shared" si="48"/>
        <v>3.7099999999999994E-2</v>
      </c>
      <c r="L431">
        <f t="shared" si="43"/>
        <v>7.0999999999999994E-2</v>
      </c>
      <c r="M431">
        <f t="shared" si="44"/>
        <v>-3.4300000000000004E-2</v>
      </c>
      <c r="N431">
        <f t="shared" si="45"/>
        <v>-2.23E-2</v>
      </c>
      <c r="O431">
        <f t="shared" si="46"/>
        <v>9.300000000000001E-3</v>
      </c>
      <c r="P431">
        <f t="shared" si="47"/>
        <v>3.0999999999999999E-3</v>
      </c>
    </row>
    <row r="432" spans="1:16">
      <c r="A432" s="230" t="s">
        <v>1077</v>
      </c>
      <c r="B432" s="147">
        <v>6.4100000000000004E-2</v>
      </c>
      <c r="C432" s="147">
        <v>7.4999999999999997E-3</v>
      </c>
      <c r="D432" s="147">
        <v>-3.2500000000000001E-2</v>
      </c>
      <c r="E432" s="147">
        <v>-8.6E-3</v>
      </c>
      <c r="F432" s="147">
        <v>-1.18E-2</v>
      </c>
      <c r="G432" s="147">
        <v>7.4300000000000005E-2</v>
      </c>
      <c r="I432" s="27">
        <f t="shared" si="42"/>
        <v>2.7379707433253384E-2</v>
      </c>
      <c r="J432">
        <f t="shared" si="48"/>
        <v>7.0800000000000002E-2</v>
      </c>
      <c r="L432">
        <f t="shared" si="43"/>
        <v>6.0600000000000001E-2</v>
      </c>
      <c r="M432">
        <f t="shared" si="44"/>
        <v>7.4999999999999997E-3</v>
      </c>
      <c r="N432">
        <f t="shared" si="45"/>
        <v>-3.2500000000000001E-2</v>
      </c>
      <c r="O432">
        <f t="shared" si="46"/>
        <v>-8.6E-3</v>
      </c>
      <c r="P432">
        <f t="shared" si="47"/>
        <v>-1.18E-2</v>
      </c>
    </row>
    <row r="433" spans="1:16">
      <c r="A433" s="230" t="s">
        <v>1078</v>
      </c>
      <c r="B433" s="147">
        <v>6.54E-2</v>
      </c>
      <c r="C433" s="147">
        <v>-1.5600000000000001E-2</v>
      </c>
      <c r="D433" s="147">
        <v>-4.1900000000000007E-2</v>
      </c>
      <c r="E433" s="147">
        <v>-7.6E-3</v>
      </c>
      <c r="F433" s="147">
        <v>-3.39E-2</v>
      </c>
      <c r="G433" s="147">
        <v>0.1298</v>
      </c>
      <c r="I433" s="27">
        <f t="shared" si="42"/>
        <v>-3.7607146470905815E-2</v>
      </c>
      <c r="J433">
        <f t="shared" si="48"/>
        <v>0.1263</v>
      </c>
      <c r="L433">
        <f t="shared" si="43"/>
        <v>6.1899999999999997E-2</v>
      </c>
      <c r="M433">
        <f t="shared" si="44"/>
        <v>-1.5600000000000001E-2</v>
      </c>
      <c r="N433">
        <f t="shared" si="45"/>
        <v>-4.1900000000000007E-2</v>
      </c>
      <c r="O433">
        <f t="shared" si="46"/>
        <v>-7.6E-3</v>
      </c>
      <c r="P433">
        <f t="shared" si="47"/>
        <v>-3.39E-2</v>
      </c>
    </row>
    <row r="434" spans="1:16">
      <c r="A434" s="230" t="s">
        <v>1079</v>
      </c>
      <c r="B434" s="147">
        <v>3.8500000000000006E-2</v>
      </c>
      <c r="C434" s="147">
        <v>-7.4999999999999997E-3</v>
      </c>
      <c r="D434" s="147">
        <v>-4.5999999999999999E-2</v>
      </c>
      <c r="E434" s="147">
        <v>-2.7700000000000002E-2</v>
      </c>
      <c r="F434" s="147">
        <v>-6.8000000000000005E-2</v>
      </c>
      <c r="G434" s="147">
        <v>8.9300000000000004E-2</v>
      </c>
      <c r="I434" s="27">
        <f t="shared" si="42"/>
        <v>-0.17954087795572332</v>
      </c>
      <c r="J434">
        <f t="shared" si="48"/>
        <v>8.5800000000000001E-2</v>
      </c>
      <c r="L434">
        <f t="shared" si="43"/>
        <v>3.5000000000000003E-2</v>
      </c>
      <c r="M434">
        <f t="shared" si="44"/>
        <v>-7.4999999999999997E-3</v>
      </c>
      <c r="N434">
        <f t="shared" si="45"/>
        <v>-4.5999999999999999E-2</v>
      </c>
      <c r="O434">
        <f t="shared" si="46"/>
        <v>-2.7700000000000002E-2</v>
      </c>
      <c r="P434">
        <f t="shared" si="47"/>
        <v>-6.8000000000000005E-2</v>
      </c>
    </row>
    <row r="435" spans="1:16">
      <c r="A435" s="230" t="s">
        <v>1080</v>
      </c>
      <c r="B435" s="147">
        <v>-3.73E-2</v>
      </c>
      <c r="C435" s="147">
        <v>-5.2199999999999996E-2</v>
      </c>
      <c r="D435" s="147">
        <v>1.9199999999999998E-2</v>
      </c>
      <c r="E435" s="147">
        <v>-1.23E-2</v>
      </c>
      <c r="F435" s="147">
        <v>4.0999999999999995E-2</v>
      </c>
      <c r="G435" s="147">
        <v>-4.7E-2</v>
      </c>
      <c r="I435" s="27">
        <f t="shared" si="42"/>
        <v>4.2903922342446858E-4</v>
      </c>
      <c r="J435">
        <f t="shared" si="48"/>
        <v>-5.0500000000000003E-2</v>
      </c>
      <c r="L435">
        <f t="shared" si="43"/>
        <v>-4.0800000000000003E-2</v>
      </c>
      <c r="M435">
        <f t="shared" si="44"/>
        <v>-5.2199999999999996E-2</v>
      </c>
      <c r="N435">
        <f t="shared" si="45"/>
        <v>1.9199999999999998E-2</v>
      </c>
      <c r="O435">
        <f t="shared" si="46"/>
        <v>-1.23E-2</v>
      </c>
      <c r="P435">
        <f t="shared" si="47"/>
        <v>4.0999999999999995E-2</v>
      </c>
    </row>
    <row r="436" spans="1:16">
      <c r="A436" s="230" t="s">
        <v>1081</v>
      </c>
      <c r="B436" s="147">
        <v>3.8800000000000001E-2</v>
      </c>
      <c r="C436" s="147">
        <v>-4.2300000000000004E-2</v>
      </c>
      <c r="D436" s="147">
        <v>-2.7400000000000004E-2</v>
      </c>
      <c r="E436" s="147">
        <v>-4.0700000000000007E-2</v>
      </c>
      <c r="F436" s="147">
        <v>-1.4199999999999999E-2</v>
      </c>
      <c r="G436" s="147">
        <v>5.7800000000000004E-2</v>
      </c>
      <c r="I436" s="27">
        <f t="shared" si="42"/>
        <v>-9.5937023438064664E-2</v>
      </c>
      <c r="J436">
        <f t="shared" si="48"/>
        <v>5.4300000000000001E-2</v>
      </c>
      <c r="L436">
        <f t="shared" si="43"/>
        <v>3.5299999999999998E-2</v>
      </c>
      <c r="M436">
        <f t="shared" si="44"/>
        <v>-4.2300000000000004E-2</v>
      </c>
      <c r="N436">
        <f t="shared" si="45"/>
        <v>-2.7400000000000004E-2</v>
      </c>
      <c r="O436">
        <f t="shared" si="46"/>
        <v>-4.0700000000000007E-2</v>
      </c>
      <c r="P436">
        <f t="shared" si="47"/>
        <v>-1.4199999999999999E-2</v>
      </c>
    </row>
    <row r="437" spans="1:16">
      <c r="A437" s="230" t="s">
        <v>1082</v>
      </c>
      <c r="B437" s="147">
        <v>4.7E-2</v>
      </c>
      <c r="C437" s="147">
        <v>4.5199999999999997E-2</v>
      </c>
      <c r="D437" s="147">
        <v>2.46E-2</v>
      </c>
      <c r="E437" s="147">
        <v>-2.53E-2</v>
      </c>
      <c r="F437" s="147">
        <v>8.8999999999999999E-3</v>
      </c>
      <c r="G437" s="147">
        <v>-8.6999999999999994E-3</v>
      </c>
      <c r="I437" s="27">
        <f t="shared" si="42"/>
        <v>4.4206353926559472E-2</v>
      </c>
      <c r="J437">
        <f t="shared" si="48"/>
        <v>-1.2199999999999999E-2</v>
      </c>
      <c r="L437">
        <f t="shared" si="43"/>
        <v>4.3499999999999997E-2</v>
      </c>
      <c r="M437">
        <f t="shared" si="44"/>
        <v>4.5199999999999997E-2</v>
      </c>
      <c r="N437">
        <f t="shared" si="45"/>
        <v>2.46E-2</v>
      </c>
      <c r="O437">
        <f t="shared" si="46"/>
        <v>-2.53E-2</v>
      </c>
      <c r="P437">
        <f t="shared" si="47"/>
        <v>8.8999999999999999E-3</v>
      </c>
    </row>
    <row r="438" spans="1:16">
      <c r="A438" s="230" t="s">
        <v>1083</v>
      </c>
      <c r="B438" s="147">
        <v>-2.12E-2</v>
      </c>
      <c r="C438" s="147">
        <v>3.7100000000000001E-2</v>
      </c>
      <c r="D438" s="147">
        <v>2.35E-2</v>
      </c>
      <c r="E438" s="147">
        <v>9.300000000000001E-3</v>
      </c>
      <c r="F438" s="147">
        <v>3.3399999999999999E-2</v>
      </c>
      <c r="G438" s="147">
        <v>-3.1699999999999999E-2</v>
      </c>
      <c r="I438" s="27">
        <f t="shared" si="42"/>
        <v>9.4609983019960625E-2</v>
      </c>
      <c r="J438">
        <f t="shared" si="48"/>
        <v>-3.5200000000000002E-2</v>
      </c>
      <c r="L438">
        <f t="shared" si="43"/>
        <v>-2.47E-2</v>
      </c>
      <c r="M438">
        <f t="shared" si="44"/>
        <v>3.7100000000000001E-2</v>
      </c>
      <c r="N438">
        <f t="shared" si="45"/>
        <v>2.35E-2</v>
      </c>
      <c r="O438">
        <f t="shared" si="46"/>
        <v>9.300000000000001E-3</v>
      </c>
      <c r="P438">
        <f t="shared" si="47"/>
        <v>3.3399999999999999E-2</v>
      </c>
    </row>
    <row r="439" spans="1:16">
      <c r="A439" s="230" t="s">
        <v>1084</v>
      </c>
      <c r="B439" s="147">
        <v>5.1699999999999996E-2</v>
      </c>
      <c r="C439" s="147">
        <v>2.29E-2</v>
      </c>
      <c r="D439" s="147">
        <v>-3.1899999999999998E-2</v>
      </c>
      <c r="E439" s="147">
        <v>1.1299999999999999E-2</v>
      </c>
      <c r="F439" s="147">
        <v>-3.2100000000000004E-2</v>
      </c>
      <c r="G439" s="147">
        <v>8.4900000000000003E-2</v>
      </c>
      <c r="I439" s="27">
        <f t="shared" si="42"/>
        <v>1.0676718344000805E-2</v>
      </c>
      <c r="J439">
        <f t="shared" si="48"/>
        <v>8.14E-2</v>
      </c>
      <c r="L439">
        <f t="shared" si="43"/>
        <v>4.8199999999999993E-2</v>
      </c>
      <c r="M439">
        <f t="shared" si="44"/>
        <v>2.29E-2</v>
      </c>
      <c r="N439">
        <f t="shared" si="45"/>
        <v>-3.1899999999999998E-2</v>
      </c>
      <c r="O439">
        <f t="shared" si="46"/>
        <v>1.1299999999999999E-2</v>
      </c>
      <c r="P439">
        <f t="shared" si="47"/>
        <v>-3.2100000000000004E-2</v>
      </c>
    </row>
    <row r="440" spans="1:16">
      <c r="A440" s="230" t="s">
        <v>1085</v>
      </c>
      <c r="B440" s="147">
        <v>-3.1099999999999999E-2</v>
      </c>
      <c r="C440" s="147">
        <v>2.5700000000000001E-2</v>
      </c>
      <c r="D440" s="147">
        <v>-4.4000000000000003E-3</v>
      </c>
      <c r="E440" s="147">
        <v>3.5999999999999999E-3</v>
      </c>
      <c r="F440" s="147">
        <v>3.2199999999999999E-2</v>
      </c>
      <c r="G440" s="147">
        <v>-1.8200000000000001E-2</v>
      </c>
      <c r="I440" s="27">
        <f t="shared" si="42"/>
        <v>6.9717514576731379E-2</v>
      </c>
      <c r="J440">
        <f t="shared" si="48"/>
        <v>-2.1700000000000001E-2</v>
      </c>
      <c r="L440">
        <f t="shared" si="43"/>
        <v>-3.4599999999999999E-2</v>
      </c>
      <c r="M440">
        <f t="shared" si="44"/>
        <v>2.5700000000000001E-2</v>
      </c>
      <c r="N440">
        <f t="shared" si="45"/>
        <v>-4.4000000000000003E-3</v>
      </c>
      <c r="O440">
        <f t="shared" si="46"/>
        <v>3.5999999999999999E-3</v>
      </c>
      <c r="P440">
        <f t="shared" si="47"/>
        <v>3.2199999999999999E-2</v>
      </c>
    </row>
    <row r="441" spans="1:16">
      <c r="A441" s="230" t="s">
        <v>1086</v>
      </c>
      <c r="B441" s="147">
        <v>-9.8999999999999991E-3</v>
      </c>
      <c r="C441" s="147">
        <v>-1.7299999999999999E-2</v>
      </c>
      <c r="D441" s="147">
        <v>-1.8700000000000001E-2</v>
      </c>
      <c r="E441" s="147">
        <v>-2.3999999999999998E-3</v>
      </c>
      <c r="F441" s="147">
        <v>6.4000000000000003E-3</v>
      </c>
      <c r="G441" s="147">
        <v>8.3999999999999995E-3</v>
      </c>
      <c r="I441" s="27">
        <f t="shared" si="42"/>
        <v>-9.315232539978003E-3</v>
      </c>
      <c r="J441">
        <f t="shared" si="48"/>
        <v>4.8999999999999998E-3</v>
      </c>
      <c r="L441">
        <f t="shared" si="43"/>
        <v>-1.3399999999999999E-2</v>
      </c>
      <c r="M441">
        <f t="shared" si="44"/>
        <v>-1.7299999999999999E-2</v>
      </c>
      <c r="N441">
        <f t="shared" si="45"/>
        <v>-1.8700000000000001E-2</v>
      </c>
      <c r="O441">
        <f t="shared" si="46"/>
        <v>-2.3999999999999998E-3</v>
      </c>
      <c r="P441">
        <f t="shared" si="47"/>
        <v>6.4000000000000003E-3</v>
      </c>
    </row>
    <row r="442" spans="1:16">
      <c r="A442" s="230" t="s">
        <v>1087</v>
      </c>
      <c r="B442" s="147">
        <v>-2.4E-2</v>
      </c>
      <c r="C442" s="147">
        <v>2.5899999999999999E-2</v>
      </c>
      <c r="D442" s="147">
        <v>-3.49E-2</v>
      </c>
      <c r="E442" s="147">
        <v>-7.4999999999999997E-3</v>
      </c>
      <c r="F442" s="147">
        <v>-1.23E-2</v>
      </c>
      <c r="G442" s="147">
        <v>4.0000000000000001E-3</v>
      </c>
      <c r="I442" s="27">
        <f t="shared" si="42"/>
        <v>-4.7382631720229704E-2</v>
      </c>
      <c r="J442">
        <f t="shared" si="48"/>
        <v>5.0000000000000001E-4</v>
      </c>
      <c r="L442">
        <f t="shared" si="43"/>
        <v>-2.75E-2</v>
      </c>
      <c r="M442">
        <f t="shared" si="44"/>
        <v>2.5899999999999999E-2</v>
      </c>
      <c r="N442">
        <f t="shared" si="45"/>
        <v>-3.49E-2</v>
      </c>
      <c r="O442">
        <f t="shared" si="46"/>
        <v>-7.4999999999999997E-3</v>
      </c>
      <c r="P442">
        <f t="shared" si="47"/>
        <v>-1.23E-2</v>
      </c>
    </row>
    <row r="443" spans="1:16">
      <c r="A443" s="230" t="s">
        <v>1088</v>
      </c>
      <c r="B443" s="147">
        <v>6.5100000000000005E-2</v>
      </c>
      <c r="C443" s="147">
        <v>-6.9100000000000009E-2</v>
      </c>
      <c r="D443" s="147">
        <v>-3.3700000000000001E-2</v>
      </c>
      <c r="E443" s="147">
        <v>-1.7399999999999999E-2</v>
      </c>
      <c r="F443" s="147">
        <v>-1.1899999999999999E-2</v>
      </c>
      <c r="G443" s="147">
        <v>6.59E-2</v>
      </c>
      <c r="I443" s="27">
        <f t="shared" si="42"/>
        <v>-3.7892862205898992E-2</v>
      </c>
      <c r="J443">
        <f t="shared" si="48"/>
        <v>6.2399999999999997E-2</v>
      </c>
      <c r="L443">
        <f t="shared" si="43"/>
        <v>6.1600000000000002E-2</v>
      </c>
      <c r="M443">
        <f t="shared" si="44"/>
        <v>-6.9100000000000009E-2</v>
      </c>
      <c r="N443">
        <f t="shared" si="45"/>
        <v>-3.3700000000000001E-2</v>
      </c>
      <c r="O443">
        <f t="shared" si="46"/>
        <v>-1.7399999999999999E-2</v>
      </c>
      <c r="P443">
        <f t="shared" si="47"/>
        <v>-1.1899999999999999E-2</v>
      </c>
    </row>
    <row r="444" spans="1:16">
      <c r="A444" s="230" t="s">
        <v>1089</v>
      </c>
      <c r="B444" s="147">
        <v>3.73E-2</v>
      </c>
      <c r="C444" s="147">
        <v>5.7999999999999996E-2</v>
      </c>
      <c r="D444" s="147">
        <v>-6.1200000000000004E-2</v>
      </c>
      <c r="E444" s="147">
        <v>-4.2800000000000005E-2</v>
      </c>
      <c r="F444" s="147">
        <v>-1.7399999999999999E-2</v>
      </c>
      <c r="G444" s="147">
        <v>0.1052</v>
      </c>
      <c r="I444" s="27">
        <f t="shared" si="42"/>
        <v>-3.6288263107341533E-2</v>
      </c>
      <c r="J444">
        <f t="shared" si="48"/>
        <v>0.1017</v>
      </c>
      <c r="L444">
        <f t="shared" si="43"/>
        <v>3.3799999999999997E-2</v>
      </c>
      <c r="M444">
        <f t="shared" si="44"/>
        <v>5.7999999999999996E-2</v>
      </c>
      <c r="N444">
        <f t="shared" si="45"/>
        <v>-6.1200000000000004E-2</v>
      </c>
      <c r="O444">
        <f t="shared" si="46"/>
        <v>-4.2800000000000005E-2</v>
      </c>
      <c r="P444">
        <f t="shared" si="47"/>
        <v>-1.7399999999999999E-2</v>
      </c>
    </row>
    <row r="445" spans="1:16">
      <c r="A445" s="230" t="s">
        <v>1090</v>
      </c>
      <c r="B445" s="147">
        <v>8.1600000000000006E-2</v>
      </c>
      <c r="C445" s="147">
        <v>5.3899999999999997E-2</v>
      </c>
      <c r="D445" s="147">
        <v>-8.3299999999999999E-2</v>
      </c>
      <c r="E445" s="147">
        <v>-7.5999999999999998E-2</v>
      </c>
      <c r="F445" s="147">
        <v>-5.6300000000000003E-2</v>
      </c>
      <c r="G445" s="147">
        <v>0.21820000000000001</v>
      </c>
      <c r="I445" s="27">
        <f t="shared" si="42"/>
        <v>-0.14698729484868833</v>
      </c>
      <c r="J445">
        <f t="shared" si="48"/>
        <v>0.2147</v>
      </c>
      <c r="L445">
        <f t="shared" si="43"/>
        <v>7.8100000000000003E-2</v>
      </c>
      <c r="M445">
        <f t="shared" si="44"/>
        <v>5.3899999999999997E-2</v>
      </c>
      <c r="N445">
        <f t="shared" si="45"/>
        <v>-8.3299999999999999E-2</v>
      </c>
      <c r="O445">
        <f t="shared" si="46"/>
        <v>-7.5999999999999998E-2</v>
      </c>
      <c r="P445">
        <f t="shared" si="47"/>
        <v>-5.6300000000000003E-2</v>
      </c>
    </row>
    <row r="446" spans="1:16">
      <c r="A446" s="230" t="s">
        <v>388</v>
      </c>
      <c r="B446" s="147">
        <v>-4.3300000000000005E-2</v>
      </c>
      <c r="C446" s="147">
        <v>4.4200000000000003E-2</v>
      </c>
      <c r="D446" s="147">
        <v>-1.8800000000000001E-2</v>
      </c>
      <c r="E446" s="147">
        <v>-6.2899999999999998E-2</v>
      </c>
      <c r="F446" s="147">
        <v>4.7199999999999999E-2</v>
      </c>
      <c r="G446" s="147">
        <v>-2.7200000000000002E-2</v>
      </c>
      <c r="I446" s="27">
        <f t="shared" si="42"/>
        <v>-1.083002296036675E-2</v>
      </c>
      <c r="J446">
        <f t="shared" si="48"/>
        <v>-3.0700000000000002E-2</v>
      </c>
      <c r="L446">
        <f t="shared" si="43"/>
        <v>-4.6800000000000008E-2</v>
      </c>
      <c r="M446">
        <f t="shared" si="44"/>
        <v>4.4200000000000003E-2</v>
      </c>
      <c r="N446">
        <f t="shared" si="45"/>
        <v>-1.8800000000000001E-2</v>
      </c>
      <c r="O446">
        <f t="shared" si="46"/>
        <v>-6.2899999999999998E-2</v>
      </c>
      <c r="P446">
        <f t="shared" si="47"/>
        <v>4.7199999999999999E-2</v>
      </c>
    </row>
    <row r="447" spans="1:16">
      <c r="A447" s="230" t="s">
        <v>1091</v>
      </c>
      <c r="B447" s="147">
        <v>2.8799999999999999E-2</v>
      </c>
      <c r="C447" s="147">
        <v>0.18280000000000002</v>
      </c>
      <c r="D447" s="147">
        <v>-9.5899999999999999E-2</v>
      </c>
      <c r="E447" s="147">
        <v>-0.1865</v>
      </c>
      <c r="F447" s="147">
        <v>-4.7999999999999996E-3</v>
      </c>
      <c r="G447" s="147">
        <v>0.22760000000000002</v>
      </c>
      <c r="I447" s="27">
        <f t="shared" si="42"/>
        <v>-0.1852575267063532</v>
      </c>
      <c r="J447">
        <f t="shared" si="48"/>
        <v>0.22410000000000002</v>
      </c>
      <c r="L447">
        <f t="shared" si="43"/>
        <v>2.53E-2</v>
      </c>
      <c r="M447">
        <f t="shared" si="44"/>
        <v>0.18280000000000002</v>
      </c>
      <c r="N447">
        <f t="shared" si="45"/>
        <v>-9.5899999999999999E-2</v>
      </c>
      <c r="O447">
        <f t="shared" si="46"/>
        <v>-0.1865</v>
      </c>
      <c r="P447">
        <f t="shared" si="47"/>
        <v>-4.7999999999999996E-3</v>
      </c>
    </row>
    <row r="448" spans="1:16">
      <c r="A448" s="230" t="s">
        <v>1092</v>
      </c>
      <c r="B448" s="147">
        <v>5.6700000000000007E-2</v>
      </c>
      <c r="C448" s="147">
        <v>-0.1532</v>
      </c>
      <c r="D448" s="147">
        <v>8.1300000000000011E-2</v>
      </c>
      <c r="E448" s="147">
        <v>0.11789999999999999</v>
      </c>
      <c r="F448" s="147">
        <v>-1.5900000000000001E-2</v>
      </c>
      <c r="G448" s="147">
        <v>-4.4000000000000003E-3</v>
      </c>
      <c r="I448" s="27">
        <f t="shared" si="42"/>
        <v>0.11024467215932238</v>
      </c>
      <c r="J448">
        <f t="shared" si="48"/>
        <v>-7.9000000000000008E-3</v>
      </c>
      <c r="L448">
        <f t="shared" si="43"/>
        <v>5.3200000000000004E-2</v>
      </c>
      <c r="M448">
        <f t="shared" si="44"/>
        <v>-0.1532</v>
      </c>
      <c r="N448">
        <f t="shared" si="45"/>
        <v>8.1300000000000011E-2</v>
      </c>
      <c r="O448">
        <f t="shared" si="46"/>
        <v>0.11789999999999999</v>
      </c>
      <c r="P448">
        <f t="shared" si="47"/>
        <v>-1.5900000000000001E-2</v>
      </c>
    </row>
    <row r="449" spans="1:16">
      <c r="A449" s="230" t="s">
        <v>1093</v>
      </c>
      <c r="B449" s="147">
        <v>-5.9400000000000001E-2</v>
      </c>
      <c r="C449" s="147">
        <v>-5.0099999999999999E-2</v>
      </c>
      <c r="D449" s="147">
        <v>7.2599999999999998E-2</v>
      </c>
      <c r="E449" s="147">
        <v>7.6600000000000001E-2</v>
      </c>
      <c r="F449" s="147">
        <v>5.6500000000000002E-2</v>
      </c>
      <c r="G449" s="147">
        <v>-9.01E-2</v>
      </c>
      <c r="I449" s="27">
        <f t="shared" si="42"/>
        <v>0.16850245496320138</v>
      </c>
      <c r="J449">
        <f t="shared" si="48"/>
        <v>-9.3600000000000003E-2</v>
      </c>
      <c r="L449">
        <f t="shared" si="43"/>
        <v>-6.2899999999999998E-2</v>
      </c>
      <c r="M449">
        <f t="shared" si="44"/>
        <v>-5.0099999999999999E-2</v>
      </c>
      <c r="N449">
        <f t="shared" si="45"/>
        <v>7.2599999999999998E-2</v>
      </c>
      <c r="O449">
        <f t="shared" si="46"/>
        <v>7.6600000000000001E-2</v>
      </c>
      <c r="P449">
        <f t="shared" si="47"/>
        <v>5.6500000000000002E-2</v>
      </c>
    </row>
    <row r="450" spans="1:16">
      <c r="A450" s="230" t="s">
        <v>1094</v>
      </c>
      <c r="B450" s="147">
        <v>-3.9200000000000006E-2</v>
      </c>
      <c r="C450" s="147">
        <v>-3.8100000000000002E-2</v>
      </c>
      <c r="D450" s="147">
        <v>4.7500000000000001E-2</v>
      </c>
      <c r="E450" s="147">
        <v>4.1299999999999996E-2</v>
      </c>
      <c r="F450" s="147">
        <v>1.3700000000000002E-2</v>
      </c>
      <c r="G450" s="147">
        <v>-0.1162</v>
      </c>
      <c r="I450" s="27">
        <f t="shared" si="42"/>
        <v>3.1399248189269445E-2</v>
      </c>
      <c r="J450">
        <f t="shared" si="48"/>
        <v>-0.1197</v>
      </c>
      <c r="L450">
        <f t="shared" si="43"/>
        <v>-4.2700000000000009E-2</v>
      </c>
      <c r="M450">
        <f t="shared" si="44"/>
        <v>-3.8100000000000002E-2</v>
      </c>
      <c r="N450">
        <f t="shared" si="45"/>
        <v>4.7500000000000001E-2</v>
      </c>
      <c r="O450">
        <f t="shared" si="46"/>
        <v>4.1299999999999996E-2</v>
      </c>
      <c r="P450">
        <f t="shared" si="47"/>
        <v>1.3700000000000002E-2</v>
      </c>
    </row>
    <row r="451" spans="1:16">
      <c r="A451" s="230" t="s">
        <v>1095</v>
      </c>
      <c r="B451" s="147">
        <v>5.04E-2</v>
      </c>
      <c r="C451" s="147">
        <v>9.9199999999999997E-2</v>
      </c>
      <c r="D451" s="147">
        <v>-8.4199999999999997E-2</v>
      </c>
      <c r="E451" s="147">
        <v>-8.3100000000000007E-2</v>
      </c>
      <c r="F451" s="147">
        <v>-2.9500000000000002E-2</v>
      </c>
      <c r="G451" s="147">
        <v>0.13</v>
      </c>
      <c r="I451" s="27">
        <f t="shared" si="42"/>
        <v>-9.4576286106478211E-2</v>
      </c>
      <c r="J451">
        <f t="shared" si="48"/>
        <v>0.1265</v>
      </c>
      <c r="L451">
        <f t="shared" si="43"/>
        <v>4.6899999999999997E-2</v>
      </c>
      <c r="M451">
        <f t="shared" si="44"/>
        <v>9.9199999999999997E-2</v>
      </c>
      <c r="N451">
        <f t="shared" si="45"/>
        <v>-8.4199999999999997E-2</v>
      </c>
      <c r="O451">
        <f t="shared" si="46"/>
        <v>-8.3100000000000007E-2</v>
      </c>
      <c r="P451">
        <f t="shared" si="47"/>
        <v>-2.9500000000000002E-2</v>
      </c>
    </row>
    <row r="452" spans="1:16">
      <c r="A452" s="230" t="s">
        <v>1096</v>
      </c>
      <c r="B452" s="147">
        <v>-2.0299999999999999E-2</v>
      </c>
      <c r="C452" s="147">
        <v>-1.03E-2</v>
      </c>
      <c r="D452" s="147">
        <v>8.3100000000000007E-2</v>
      </c>
      <c r="E452" s="147">
        <v>5.8300000000000005E-2</v>
      </c>
      <c r="F452" s="147">
        <v>2.9399999999999999E-2</v>
      </c>
      <c r="G452" s="147">
        <v>-3.27E-2</v>
      </c>
      <c r="I452" s="27">
        <f t="shared" si="42"/>
        <v>0.13099173581940468</v>
      </c>
      <c r="J452">
        <f t="shared" si="48"/>
        <v>-3.6200000000000003E-2</v>
      </c>
      <c r="L452">
        <f t="shared" si="43"/>
        <v>-2.3799999999999998E-2</v>
      </c>
      <c r="M452">
        <f t="shared" si="44"/>
        <v>-1.03E-2</v>
      </c>
      <c r="N452">
        <f t="shared" si="45"/>
        <v>8.3100000000000007E-2</v>
      </c>
      <c r="O452">
        <f t="shared" si="46"/>
        <v>5.8300000000000005E-2</v>
      </c>
      <c r="P452">
        <f t="shared" si="47"/>
        <v>2.9399999999999999E-2</v>
      </c>
    </row>
    <row r="453" spans="1:16">
      <c r="A453" s="230" t="s">
        <v>1097</v>
      </c>
      <c r="B453" s="147">
        <v>7.5300000000000006E-2</v>
      </c>
      <c r="C453" s="147">
        <v>-1.03E-2</v>
      </c>
      <c r="D453" s="147">
        <v>-1.3899999999999999E-2</v>
      </c>
      <c r="E453" s="147">
        <v>-3.2199999999999999E-2</v>
      </c>
      <c r="F453" s="147">
        <v>1.1000000000000001E-2</v>
      </c>
      <c r="G453" s="147">
        <v>0.14050000000000001</v>
      </c>
      <c r="I453" s="27">
        <f t="shared" si="42"/>
        <v>3.6789795371768477E-2</v>
      </c>
      <c r="J453">
        <f t="shared" si="48"/>
        <v>0.13700000000000001</v>
      </c>
      <c r="L453">
        <f t="shared" si="43"/>
        <v>7.1800000000000003E-2</v>
      </c>
      <c r="M453">
        <f t="shared" si="44"/>
        <v>-1.03E-2</v>
      </c>
      <c r="N453">
        <f t="shared" si="45"/>
        <v>-1.3899999999999999E-2</v>
      </c>
      <c r="O453">
        <f t="shared" si="46"/>
        <v>-3.2199999999999999E-2</v>
      </c>
      <c r="P453">
        <f t="shared" si="47"/>
        <v>1.1000000000000001E-2</v>
      </c>
    </row>
    <row r="454" spans="1:16">
      <c r="A454" s="230" t="s">
        <v>1098</v>
      </c>
      <c r="B454" s="147">
        <v>-4.9399999999999999E-2</v>
      </c>
      <c r="C454" s="147">
        <v>1.9E-3</v>
      </c>
      <c r="D454" s="147">
        <v>7.17E-2</v>
      </c>
      <c r="E454" s="147">
        <v>2.5600000000000001E-2</v>
      </c>
      <c r="F454" s="147">
        <v>5.5300000000000002E-2</v>
      </c>
      <c r="G454" s="147">
        <v>-0.1182</v>
      </c>
      <c r="I454" s="27">
        <f t="shared" si="42"/>
        <v>0.11723751065070567</v>
      </c>
      <c r="J454">
        <f t="shared" si="48"/>
        <v>-0.1217</v>
      </c>
      <c r="L454">
        <f t="shared" si="43"/>
        <v>-5.2900000000000003E-2</v>
      </c>
      <c r="M454">
        <f t="shared" si="44"/>
        <v>1.9E-3</v>
      </c>
      <c r="N454">
        <f t="shared" si="45"/>
        <v>7.17E-2</v>
      </c>
      <c r="O454">
        <f t="shared" si="46"/>
        <v>2.5600000000000001E-2</v>
      </c>
      <c r="P454">
        <f t="shared" si="47"/>
        <v>5.5300000000000002E-2</v>
      </c>
    </row>
    <row r="455" spans="1:16">
      <c r="A455" s="230" t="s">
        <v>1099</v>
      </c>
      <c r="B455" s="147">
        <v>-2.1999999999999999E-2</v>
      </c>
      <c r="C455" s="147">
        <v>-2.6499999999999999E-2</v>
      </c>
      <c r="D455" s="147">
        <v>5.7099999999999998E-2</v>
      </c>
      <c r="E455" s="147">
        <v>9.6099999999999991E-2</v>
      </c>
      <c r="F455" s="147">
        <v>3.7999999999999999E-2</v>
      </c>
      <c r="G455" s="147">
        <v>-7.6200000000000004E-2</v>
      </c>
      <c r="I455" s="27">
        <f t="shared" si="42"/>
        <v>0.21408946293875328</v>
      </c>
      <c r="J455">
        <f t="shared" si="48"/>
        <v>-7.9700000000000007E-2</v>
      </c>
      <c r="L455">
        <f t="shared" si="43"/>
        <v>-2.5499999999999998E-2</v>
      </c>
      <c r="M455">
        <f t="shared" si="44"/>
        <v>-2.6499999999999999E-2</v>
      </c>
      <c r="N455">
        <f t="shared" si="45"/>
        <v>5.7099999999999998E-2</v>
      </c>
      <c r="O455">
        <f t="shared" si="46"/>
        <v>9.6099999999999991E-2</v>
      </c>
      <c r="P455">
        <f t="shared" si="47"/>
        <v>3.7999999999999999E-2</v>
      </c>
    </row>
    <row r="456" spans="1:16">
      <c r="A456" s="230" t="s">
        <v>1100</v>
      </c>
      <c r="B456" s="147">
        <v>-0.1021</v>
      </c>
      <c r="C456" s="147">
        <v>-5.7999999999999996E-3</v>
      </c>
      <c r="D456" s="147">
        <v>0.12300000000000001</v>
      </c>
      <c r="E456" s="147">
        <v>0.13070000000000001</v>
      </c>
      <c r="F456" s="147">
        <v>8.43E-2</v>
      </c>
      <c r="G456" s="147">
        <v>-0.2445</v>
      </c>
      <c r="I456" s="27">
        <f t="shared" ref="I456:I519" si="49">SUMPRODUCT(B456:F456,$B$4:$F$4)-0.0035</f>
        <v>0.31166851214461938</v>
      </c>
      <c r="J456">
        <f t="shared" si="48"/>
        <v>-0.248</v>
      </c>
      <c r="L456">
        <f t="shared" ref="L456:L519" si="50">B456-0.0035</f>
        <v>-0.1056</v>
      </c>
      <c r="M456">
        <f t="shared" ref="M456:M519" si="51">C456</f>
        <v>-5.7999999999999996E-3</v>
      </c>
      <c r="N456">
        <f t="shared" ref="N456:N519" si="52">D456</f>
        <v>0.12300000000000001</v>
      </c>
      <c r="O456">
        <f t="shared" ref="O456:O519" si="53">E456</f>
        <v>0.13070000000000001</v>
      </c>
      <c r="P456">
        <f t="shared" ref="P456:P519" si="54">F456</f>
        <v>8.43E-2</v>
      </c>
    </row>
    <row r="457" spans="1:16">
      <c r="A457" s="230" t="s">
        <v>1101</v>
      </c>
      <c r="B457" s="147">
        <v>1.6899999999999998E-2</v>
      </c>
      <c r="C457" s="147">
        <v>3.2599999999999997E-2</v>
      </c>
      <c r="D457" s="147">
        <v>7.6100000000000001E-2</v>
      </c>
      <c r="E457" s="147">
        <v>1.7100000000000001E-2</v>
      </c>
      <c r="F457" s="147">
        <v>4.7899999999999998E-2</v>
      </c>
      <c r="G457" s="147">
        <v>5.8499999999999996E-2</v>
      </c>
      <c r="I457" s="27">
        <f t="shared" si="49"/>
        <v>0.16895814531131326</v>
      </c>
      <c r="J457">
        <f t="shared" ref="J457:J520" si="55">G457-0.0035</f>
        <v>5.4999999999999993E-2</v>
      </c>
      <c r="L457">
        <f t="shared" si="50"/>
        <v>1.3399999999999999E-2</v>
      </c>
      <c r="M457">
        <f t="shared" si="51"/>
        <v>3.2599999999999997E-2</v>
      </c>
      <c r="N457">
        <f t="shared" si="52"/>
        <v>7.6100000000000001E-2</v>
      </c>
      <c r="O457">
        <f t="shared" si="53"/>
        <v>1.7100000000000001E-2</v>
      </c>
      <c r="P457">
        <f t="shared" si="54"/>
        <v>4.7899999999999998E-2</v>
      </c>
    </row>
    <row r="458" spans="1:16">
      <c r="A458" s="230" t="s">
        <v>1102</v>
      </c>
      <c r="B458" s="147">
        <v>3.6700000000000003E-2</v>
      </c>
      <c r="C458" s="147">
        <v>5.4800000000000008E-2</v>
      </c>
      <c r="D458" s="147">
        <v>-5.0700000000000002E-2</v>
      </c>
      <c r="E458" s="147">
        <v>-4.6900000000000004E-2</v>
      </c>
      <c r="F458" s="147">
        <v>-5.0300000000000004E-2</v>
      </c>
      <c r="G458" s="147">
        <v>-5.9900000000000002E-2</v>
      </c>
      <c r="I458" s="27">
        <f t="shared" si="49"/>
        <v>-0.13035296694306683</v>
      </c>
      <c r="J458">
        <f t="shared" si="55"/>
        <v>-6.3399999999999998E-2</v>
      </c>
      <c r="L458">
        <f t="shared" si="50"/>
        <v>3.32E-2</v>
      </c>
      <c r="M458">
        <f t="shared" si="51"/>
        <v>5.4800000000000008E-2</v>
      </c>
      <c r="N458">
        <f t="shared" si="52"/>
        <v>-5.0700000000000002E-2</v>
      </c>
      <c r="O458">
        <f t="shared" si="53"/>
        <v>-4.6900000000000004E-2</v>
      </c>
      <c r="P458">
        <f t="shared" si="54"/>
        <v>-5.0300000000000004E-2</v>
      </c>
    </row>
    <row r="459" spans="1:16">
      <c r="A459" s="230" t="s">
        <v>389</v>
      </c>
      <c r="B459" s="147">
        <v>-9.6700000000000008E-2</v>
      </c>
      <c r="C459" s="147">
        <v>2.8300000000000002E-2</v>
      </c>
      <c r="D459" s="147">
        <v>0.12470000000000001</v>
      </c>
      <c r="E459" s="147">
        <v>9.0999999999999998E-2</v>
      </c>
      <c r="F459" s="147">
        <v>9.0700000000000003E-2</v>
      </c>
      <c r="G459" s="147">
        <v>-4.2300000000000004E-2</v>
      </c>
      <c r="I459" s="27">
        <f t="shared" si="49"/>
        <v>0.28290736648999276</v>
      </c>
      <c r="J459">
        <f t="shared" si="55"/>
        <v>-4.5800000000000007E-2</v>
      </c>
      <c r="L459">
        <f t="shared" si="50"/>
        <v>-0.10020000000000001</v>
      </c>
      <c r="M459">
        <f t="shared" si="51"/>
        <v>2.8300000000000002E-2</v>
      </c>
      <c r="N459">
        <f t="shared" si="52"/>
        <v>0.12470000000000001</v>
      </c>
      <c r="O459">
        <f t="shared" si="53"/>
        <v>9.0999999999999998E-2</v>
      </c>
      <c r="P459">
        <f t="shared" si="54"/>
        <v>9.0700000000000003E-2</v>
      </c>
    </row>
    <row r="460" spans="1:16">
      <c r="A460" s="230" t="s">
        <v>1103</v>
      </c>
      <c r="B460" s="147">
        <v>-6.8400000000000002E-2</v>
      </c>
      <c r="C460" s="147">
        <v>2.3300000000000001E-2</v>
      </c>
      <c r="D460" s="147">
        <v>6.4200000000000007E-2</v>
      </c>
      <c r="E460" s="147">
        <v>3.3500000000000002E-2</v>
      </c>
      <c r="F460" s="147">
        <v>3.9199999999999999E-2</v>
      </c>
      <c r="G460" s="147">
        <v>-3.0099999999999998E-2</v>
      </c>
      <c r="I460" s="27">
        <f t="shared" si="49"/>
        <v>8.8206539052341187E-2</v>
      </c>
      <c r="J460">
        <f t="shared" si="55"/>
        <v>-3.3599999999999998E-2</v>
      </c>
      <c r="L460">
        <f t="shared" si="50"/>
        <v>-7.1900000000000006E-2</v>
      </c>
      <c r="M460">
        <f t="shared" si="51"/>
        <v>2.3300000000000001E-2</v>
      </c>
      <c r="N460">
        <f t="shared" si="52"/>
        <v>6.4200000000000007E-2</v>
      </c>
      <c r="O460">
        <f t="shared" si="53"/>
        <v>3.3500000000000002E-2</v>
      </c>
      <c r="P460">
        <f t="shared" si="54"/>
        <v>3.9199999999999999E-2</v>
      </c>
    </row>
    <row r="461" spans="1:16">
      <c r="A461" s="230" t="s">
        <v>1104</v>
      </c>
      <c r="B461" s="147">
        <v>8.3300000000000013E-2</v>
      </c>
      <c r="C461" s="147">
        <v>-8.6E-3</v>
      </c>
      <c r="D461" s="147">
        <v>-4.6699999999999998E-2</v>
      </c>
      <c r="E461" s="147">
        <v>-3.0600000000000002E-2</v>
      </c>
      <c r="F461" s="147">
        <v>-3.2000000000000001E-2</v>
      </c>
      <c r="G461" s="147">
        <v>5.67E-2</v>
      </c>
      <c r="I461" s="27">
        <f t="shared" si="49"/>
        <v>-5.1156454750202529E-2</v>
      </c>
      <c r="J461">
        <f t="shared" si="55"/>
        <v>5.3199999999999997E-2</v>
      </c>
      <c r="L461">
        <f t="shared" si="50"/>
        <v>7.980000000000001E-2</v>
      </c>
      <c r="M461">
        <f t="shared" si="51"/>
        <v>-8.6E-3</v>
      </c>
      <c r="N461">
        <f t="shared" si="52"/>
        <v>-4.6699999999999998E-2</v>
      </c>
      <c r="O461">
        <f t="shared" si="53"/>
        <v>-3.0600000000000002E-2</v>
      </c>
      <c r="P461">
        <f t="shared" si="54"/>
        <v>-3.2000000000000001E-2</v>
      </c>
    </row>
    <row r="462" spans="1:16">
      <c r="A462" s="230" t="s">
        <v>1105</v>
      </c>
      <c r="B462" s="147">
        <v>1.04E-2</v>
      </c>
      <c r="C462" s="147">
        <v>3.6000000000000004E-2</v>
      </c>
      <c r="D462" s="147">
        <v>3.3599999999999998E-2</v>
      </c>
      <c r="E462" s="147">
        <v>2.5000000000000001E-3</v>
      </c>
      <c r="F462" s="147">
        <v>1.9099999999999999E-2</v>
      </c>
      <c r="G462" s="147">
        <v>3.0299999999999997E-2</v>
      </c>
      <c r="I462" s="27">
        <f t="shared" si="49"/>
        <v>7.5508362531089307E-2</v>
      </c>
      <c r="J462">
        <f t="shared" si="55"/>
        <v>2.6799999999999997E-2</v>
      </c>
      <c r="L462">
        <f t="shared" si="50"/>
        <v>6.8999999999999999E-3</v>
      </c>
      <c r="M462">
        <f t="shared" si="51"/>
        <v>3.6000000000000004E-2</v>
      </c>
      <c r="N462">
        <f t="shared" si="52"/>
        <v>3.3599999999999998E-2</v>
      </c>
      <c r="O462">
        <f t="shared" si="53"/>
        <v>2.5000000000000001E-3</v>
      </c>
      <c r="P462">
        <f t="shared" si="54"/>
        <v>1.9099999999999999E-2</v>
      </c>
    </row>
    <row r="463" spans="1:16">
      <c r="A463" s="230" t="s">
        <v>1106</v>
      </c>
      <c r="B463" s="147">
        <v>-1.66E-2</v>
      </c>
      <c r="C463" s="147">
        <v>6.5700000000000008E-2</v>
      </c>
      <c r="D463" s="147">
        <v>-1.1200000000000002E-2</v>
      </c>
      <c r="E463" s="147">
        <v>1.6E-2</v>
      </c>
      <c r="F463" s="147">
        <v>-1.5100000000000001E-2</v>
      </c>
      <c r="G463" s="147">
        <v>1.1000000000000001E-2</v>
      </c>
      <c r="I463" s="27">
        <f t="shared" si="49"/>
        <v>1.6921426608648486E-2</v>
      </c>
      <c r="J463">
        <f t="shared" si="55"/>
        <v>7.5000000000000015E-3</v>
      </c>
      <c r="L463">
        <f t="shared" si="50"/>
        <v>-2.01E-2</v>
      </c>
      <c r="M463">
        <f t="shared" si="51"/>
        <v>6.5700000000000008E-2</v>
      </c>
      <c r="N463">
        <f t="shared" si="52"/>
        <v>-1.1200000000000002E-2</v>
      </c>
      <c r="O463">
        <f t="shared" si="53"/>
        <v>1.6E-2</v>
      </c>
      <c r="P463">
        <f t="shared" si="54"/>
        <v>-1.5100000000000001E-2</v>
      </c>
    </row>
    <row r="464" spans="1:16">
      <c r="A464" s="230" t="s">
        <v>1107</v>
      </c>
      <c r="B464" s="147">
        <v>-1.83E-2</v>
      </c>
      <c r="C464" s="147">
        <v>-2.8199999999999999E-2</v>
      </c>
      <c r="D464" s="147">
        <v>5.21E-2</v>
      </c>
      <c r="E464" s="147">
        <v>7.4200000000000002E-2</v>
      </c>
      <c r="F464" s="147">
        <v>3.0600000000000002E-2</v>
      </c>
      <c r="G464" s="147">
        <v>-2.8700000000000003E-2</v>
      </c>
      <c r="I464" s="27">
        <f t="shared" si="49"/>
        <v>0.15956527380132035</v>
      </c>
      <c r="J464">
        <f t="shared" si="55"/>
        <v>-3.2200000000000006E-2</v>
      </c>
      <c r="L464">
        <f t="shared" si="50"/>
        <v>-2.18E-2</v>
      </c>
      <c r="M464">
        <f t="shared" si="51"/>
        <v>-2.8199999999999999E-2</v>
      </c>
      <c r="N464">
        <f t="shared" si="52"/>
        <v>5.21E-2</v>
      </c>
      <c r="O464">
        <f t="shared" si="53"/>
        <v>7.4200000000000002E-2</v>
      </c>
      <c r="P464">
        <f t="shared" si="54"/>
        <v>3.0600000000000002E-2</v>
      </c>
    </row>
    <row r="465" spans="1:16">
      <c r="A465" s="230" t="s">
        <v>1108</v>
      </c>
      <c r="B465" s="147">
        <v>-6.1500000000000006E-2</v>
      </c>
      <c r="C465" s="147">
        <v>2.7200000000000002E-2</v>
      </c>
      <c r="D465" s="147">
        <v>2.3100000000000002E-2</v>
      </c>
      <c r="E465" s="147">
        <v>4.0500000000000001E-2</v>
      </c>
      <c r="F465" s="147">
        <v>6.5599999999999992E-2</v>
      </c>
      <c r="G465" s="147">
        <v>-3.2899999999999999E-2</v>
      </c>
      <c r="I465" s="27">
        <f t="shared" si="49"/>
        <v>0.1845387556112808</v>
      </c>
      <c r="J465">
        <f t="shared" si="55"/>
        <v>-3.6400000000000002E-2</v>
      </c>
      <c r="L465">
        <f t="shared" si="50"/>
        <v>-6.5000000000000002E-2</v>
      </c>
      <c r="M465">
        <f t="shared" si="51"/>
        <v>2.7200000000000002E-2</v>
      </c>
      <c r="N465">
        <f t="shared" si="52"/>
        <v>2.3100000000000002E-2</v>
      </c>
      <c r="O465">
        <f t="shared" si="53"/>
        <v>4.0500000000000001E-2</v>
      </c>
      <c r="P465">
        <f t="shared" si="54"/>
        <v>6.5599999999999992E-2</v>
      </c>
    </row>
    <row r="466" spans="1:16">
      <c r="A466" s="230" t="s">
        <v>1109</v>
      </c>
      <c r="B466" s="147">
        <v>-8.9700000000000002E-2</v>
      </c>
      <c r="C466" s="147">
        <v>-5.7300000000000004E-2</v>
      </c>
      <c r="D466" s="147">
        <v>1.4499999999999999E-2</v>
      </c>
      <c r="E466" s="147">
        <v>4.99E-2</v>
      </c>
      <c r="F466" s="147">
        <v>3.2199999999999999E-2</v>
      </c>
      <c r="G466" s="147">
        <v>-7.5499999999999998E-2</v>
      </c>
      <c r="I466" s="27">
        <f t="shared" si="49"/>
        <v>3.6754769675681823E-2</v>
      </c>
      <c r="J466">
        <f t="shared" si="55"/>
        <v>-7.9000000000000001E-2</v>
      </c>
      <c r="L466">
        <f t="shared" si="50"/>
        <v>-9.3200000000000005E-2</v>
      </c>
      <c r="M466">
        <f t="shared" si="51"/>
        <v>-5.7300000000000004E-2</v>
      </c>
      <c r="N466">
        <f t="shared" si="52"/>
        <v>1.4499999999999999E-2</v>
      </c>
      <c r="O466">
        <f t="shared" si="53"/>
        <v>4.99E-2</v>
      </c>
      <c r="P466">
        <f t="shared" si="54"/>
        <v>3.2199999999999999E-2</v>
      </c>
    </row>
    <row r="467" spans="1:16">
      <c r="A467" s="230" t="s">
        <v>1110</v>
      </c>
      <c r="B467" s="147">
        <v>2.6800000000000001E-2</v>
      </c>
      <c r="C467" s="147">
        <v>5.2699999999999997E-2</v>
      </c>
      <c r="D467" s="147">
        <v>-7.6499999999999999E-2</v>
      </c>
      <c r="E467" s="147">
        <v>-2.98E-2</v>
      </c>
      <c r="F467" s="147">
        <v>-4.5599999999999995E-2</v>
      </c>
      <c r="G467" s="147">
        <v>2.3E-2</v>
      </c>
      <c r="I467" s="27">
        <f t="shared" si="49"/>
        <v>-9.3517562205510774E-2</v>
      </c>
      <c r="J467">
        <f t="shared" si="55"/>
        <v>1.95E-2</v>
      </c>
      <c r="L467">
        <f t="shared" si="50"/>
        <v>2.3300000000000001E-2</v>
      </c>
      <c r="M467">
        <f t="shared" si="51"/>
        <v>5.2699999999999997E-2</v>
      </c>
      <c r="N467">
        <f t="shared" si="52"/>
        <v>-7.6499999999999999E-2</v>
      </c>
      <c r="O467">
        <f t="shared" si="53"/>
        <v>-2.98E-2</v>
      </c>
      <c r="P467">
        <f t="shared" si="54"/>
        <v>-4.5599999999999995E-2</v>
      </c>
    </row>
    <row r="468" spans="1:16">
      <c r="A468" s="230" t="s">
        <v>1111</v>
      </c>
      <c r="B468" s="147">
        <v>7.7100000000000002E-2</v>
      </c>
      <c r="C468" s="147">
        <v>-3.0000000000000001E-3</v>
      </c>
      <c r="D468" s="147">
        <v>2.2100000000000002E-2</v>
      </c>
      <c r="E468" s="147">
        <v>-3.73E-2</v>
      </c>
      <c r="F468" s="147">
        <v>-1.6399999999999998E-2</v>
      </c>
      <c r="G468" s="147">
        <v>4.7300000000000009E-2</v>
      </c>
      <c r="I468" s="27">
        <f t="shared" si="49"/>
        <v>-4.1457761200354999E-2</v>
      </c>
      <c r="J468">
        <f t="shared" si="55"/>
        <v>4.3800000000000006E-2</v>
      </c>
      <c r="L468">
        <f t="shared" si="50"/>
        <v>7.3599999999999999E-2</v>
      </c>
      <c r="M468">
        <f t="shared" si="51"/>
        <v>-3.0000000000000001E-3</v>
      </c>
      <c r="N468">
        <f t="shared" si="52"/>
        <v>2.2100000000000002E-2</v>
      </c>
      <c r="O468">
        <f t="shared" si="53"/>
        <v>-3.73E-2</v>
      </c>
      <c r="P468">
        <f t="shared" si="54"/>
        <v>-1.6399999999999998E-2</v>
      </c>
    </row>
    <row r="469" spans="1:16">
      <c r="A469" s="230" t="s">
        <v>1112</v>
      </c>
      <c r="B469" s="147">
        <v>1.7500000000000002E-2</v>
      </c>
      <c r="C469" s="147">
        <v>5.16E-2</v>
      </c>
      <c r="D469" s="147">
        <v>8.3999999999999995E-3</v>
      </c>
      <c r="E469" s="147">
        <v>3.4000000000000002E-3</v>
      </c>
      <c r="F469" s="147">
        <v>-2.6000000000000003E-3</v>
      </c>
      <c r="G469" s="147">
        <v>4.9000000000000002E-2</v>
      </c>
      <c r="I469" s="27">
        <f t="shared" si="49"/>
        <v>4.5841709546520469E-2</v>
      </c>
      <c r="J469">
        <f t="shared" si="55"/>
        <v>4.5499999999999999E-2</v>
      </c>
      <c r="L469">
        <f t="shared" si="50"/>
        <v>1.4000000000000002E-2</v>
      </c>
      <c r="M469">
        <f t="shared" si="51"/>
        <v>5.16E-2</v>
      </c>
      <c r="N469">
        <f t="shared" si="52"/>
        <v>8.3999999999999995E-3</v>
      </c>
      <c r="O469">
        <f t="shared" si="53"/>
        <v>3.4000000000000002E-3</v>
      </c>
      <c r="P469">
        <f t="shared" si="54"/>
        <v>-2.6000000000000003E-3</v>
      </c>
    </row>
    <row r="470" spans="1:16">
      <c r="A470" s="230" t="s">
        <v>1113</v>
      </c>
      <c r="B470" s="147">
        <v>-1.2999999999999999E-2</v>
      </c>
      <c r="C470" s="147">
        <v>1.26E-2</v>
      </c>
      <c r="D470" s="147">
        <v>3.44E-2</v>
      </c>
      <c r="E470" s="147">
        <v>4.6900000000000004E-2</v>
      </c>
      <c r="F470" s="147">
        <v>2.86E-2</v>
      </c>
      <c r="G470" s="147">
        <v>-1.9E-3</v>
      </c>
      <c r="I470" s="27">
        <f t="shared" si="49"/>
        <v>0.14080491462830635</v>
      </c>
      <c r="J470">
        <f t="shared" si="55"/>
        <v>-5.4000000000000003E-3</v>
      </c>
      <c r="L470">
        <f t="shared" si="50"/>
        <v>-1.6500000000000001E-2</v>
      </c>
      <c r="M470">
        <f t="shared" si="51"/>
        <v>1.26E-2</v>
      </c>
      <c r="N470">
        <f t="shared" si="52"/>
        <v>3.44E-2</v>
      </c>
      <c r="O470">
        <f t="shared" si="53"/>
        <v>4.6900000000000004E-2</v>
      </c>
      <c r="P470">
        <f t="shared" si="54"/>
        <v>2.86E-2</v>
      </c>
    </row>
    <row r="471" spans="1:16">
      <c r="A471" s="230" t="s">
        <v>1114</v>
      </c>
      <c r="B471" s="147">
        <v>-2.1600000000000001E-2</v>
      </c>
      <c r="C471" s="147">
        <v>-3.5999999999999999E-3</v>
      </c>
      <c r="D471" s="147">
        <v>2.1600000000000001E-2</v>
      </c>
      <c r="E471" s="147">
        <v>8.0700000000000008E-2</v>
      </c>
      <c r="F471" s="147">
        <v>5.1100000000000007E-2</v>
      </c>
      <c r="G471" s="147">
        <v>-2.0199999999999999E-2</v>
      </c>
      <c r="I471" s="27">
        <f t="shared" si="49"/>
        <v>0.24151181578672162</v>
      </c>
      <c r="J471">
        <f t="shared" si="55"/>
        <v>-2.3699999999999999E-2</v>
      </c>
      <c r="L471">
        <f t="shared" si="50"/>
        <v>-2.5100000000000001E-2</v>
      </c>
      <c r="M471">
        <f t="shared" si="51"/>
        <v>-3.5999999999999999E-3</v>
      </c>
      <c r="N471">
        <f t="shared" si="52"/>
        <v>2.1600000000000001E-2</v>
      </c>
      <c r="O471">
        <f t="shared" si="53"/>
        <v>8.0700000000000008E-2</v>
      </c>
      <c r="P471">
        <f t="shared" si="54"/>
        <v>5.1100000000000007E-2</v>
      </c>
    </row>
    <row r="472" spans="1:16">
      <c r="A472" s="230" t="s">
        <v>390</v>
      </c>
      <c r="B472" s="147">
        <v>4.3700000000000003E-2</v>
      </c>
      <c r="C472" s="147">
        <v>4.2500000000000003E-2</v>
      </c>
      <c r="D472" s="147">
        <v>1.06E-2</v>
      </c>
      <c r="E472" s="147">
        <v>-1.78E-2</v>
      </c>
      <c r="F472" s="147">
        <v>5.8999999999999999E-3</v>
      </c>
      <c r="G472" s="147">
        <v>5.8300000000000005E-2</v>
      </c>
      <c r="I472" s="27">
        <f t="shared" si="49"/>
        <v>4.8223750851544782E-2</v>
      </c>
      <c r="J472">
        <f t="shared" si="55"/>
        <v>5.4800000000000001E-2</v>
      </c>
      <c r="L472">
        <f t="shared" si="50"/>
        <v>4.02E-2</v>
      </c>
      <c r="M472">
        <f t="shared" si="51"/>
        <v>4.2500000000000003E-2</v>
      </c>
      <c r="N472">
        <f t="shared" si="52"/>
        <v>1.06E-2</v>
      </c>
      <c r="O472">
        <f t="shared" si="53"/>
        <v>-1.78E-2</v>
      </c>
      <c r="P472">
        <f t="shared" si="54"/>
        <v>5.8999999999999999E-3</v>
      </c>
    </row>
    <row r="473" spans="1:16">
      <c r="A473" s="230" t="s">
        <v>1115</v>
      </c>
      <c r="B473" s="147">
        <v>-5.0500000000000003E-2</v>
      </c>
      <c r="C473" s="147">
        <v>6.7199999999999996E-2</v>
      </c>
      <c r="D473" s="147">
        <v>3.8800000000000001E-2</v>
      </c>
      <c r="E473" s="147">
        <v>4.5599999999999995E-2</v>
      </c>
      <c r="F473" s="147">
        <v>5.3700000000000005E-2</v>
      </c>
      <c r="G473" s="147">
        <v>-3.7000000000000002E-3</v>
      </c>
      <c r="I473" s="27">
        <f t="shared" si="49"/>
        <v>0.19822535996667592</v>
      </c>
      <c r="J473">
        <f t="shared" si="55"/>
        <v>-7.1999999999999998E-3</v>
      </c>
      <c r="L473">
        <f t="shared" si="50"/>
        <v>-5.4000000000000006E-2</v>
      </c>
      <c r="M473">
        <f t="shared" si="51"/>
        <v>6.7199999999999996E-2</v>
      </c>
      <c r="N473">
        <f t="shared" si="52"/>
        <v>3.8800000000000001E-2</v>
      </c>
      <c r="O473">
        <f t="shared" si="53"/>
        <v>4.5599999999999995E-2</v>
      </c>
      <c r="P473">
        <f t="shared" si="54"/>
        <v>5.3700000000000005E-2</v>
      </c>
    </row>
    <row r="474" spans="1:16">
      <c r="A474" s="230" t="s">
        <v>1116</v>
      </c>
      <c r="B474" s="147">
        <v>-1.24E-2</v>
      </c>
      <c r="C474" s="147">
        <v>-3.0099999999999998E-2</v>
      </c>
      <c r="D474" s="147">
        <v>1.5300000000000001E-2</v>
      </c>
      <c r="E474" s="147">
        <v>2.3599999999999999E-2</v>
      </c>
      <c r="F474" s="147">
        <v>2.4400000000000002E-2</v>
      </c>
      <c r="G474" s="147">
        <v>-2.58E-2</v>
      </c>
      <c r="I474" s="27">
        <f t="shared" si="49"/>
        <v>6.4611106069265345E-2</v>
      </c>
      <c r="J474">
        <f t="shared" si="55"/>
        <v>-2.93E-2</v>
      </c>
      <c r="L474">
        <f t="shared" si="50"/>
        <v>-1.5900000000000001E-2</v>
      </c>
      <c r="M474">
        <f t="shared" si="51"/>
        <v>-3.0099999999999998E-2</v>
      </c>
      <c r="N474">
        <f t="shared" si="52"/>
        <v>1.5300000000000001E-2</v>
      </c>
      <c r="O474">
        <f t="shared" si="53"/>
        <v>2.3599999999999999E-2</v>
      </c>
      <c r="P474">
        <f t="shared" si="54"/>
        <v>2.4400000000000002E-2</v>
      </c>
    </row>
    <row r="475" spans="1:16">
      <c r="A475" s="230" t="s">
        <v>1117</v>
      </c>
      <c r="B475" s="147">
        <v>-7.0800000000000002E-2</v>
      </c>
      <c r="C475" s="147">
        <v>3.8900000000000004E-2</v>
      </c>
      <c r="D475" s="147">
        <v>-5.0000000000000001E-4</v>
      </c>
      <c r="E475" s="147">
        <v>3.9300000000000002E-2</v>
      </c>
      <c r="F475" s="147">
        <v>2.52E-2</v>
      </c>
      <c r="G475" s="147">
        <v>-2.8999999999999998E-2</v>
      </c>
      <c r="I475" s="27">
        <f t="shared" si="49"/>
        <v>8.531161837534057E-2</v>
      </c>
      <c r="J475">
        <f t="shared" si="55"/>
        <v>-3.2500000000000001E-2</v>
      </c>
      <c r="L475">
        <f t="shared" si="50"/>
        <v>-7.4300000000000005E-2</v>
      </c>
      <c r="M475">
        <f t="shared" si="51"/>
        <v>3.8900000000000004E-2</v>
      </c>
      <c r="N475">
        <f t="shared" si="52"/>
        <v>-5.0000000000000001E-4</v>
      </c>
      <c r="O475">
        <f t="shared" si="53"/>
        <v>3.9300000000000002E-2</v>
      </c>
      <c r="P475">
        <f t="shared" si="54"/>
        <v>2.52E-2</v>
      </c>
    </row>
    <row r="476" spans="1:16">
      <c r="A476" s="230" t="s">
        <v>1118</v>
      </c>
      <c r="B476" s="147">
        <v>-8.0299999999999996E-2</v>
      </c>
      <c r="C476" s="147">
        <v>-6.4299999999999996E-2</v>
      </c>
      <c r="D476" s="147">
        <v>-3.85E-2</v>
      </c>
      <c r="E476" s="147">
        <v>3.7900000000000003E-2</v>
      </c>
      <c r="F476" s="147">
        <v>-9.9000000000000008E-3</v>
      </c>
      <c r="G476" s="147">
        <v>-0.1192</v>
      </c>
      <c r="I476" s="27">
        <f t="shared" si="49"/>
        <v>-7.3748201648165673E-2</v>
      </c>
      <c r="J476">
        <f t="shared" si="55"/>
        <v>-0.1227</v>
      </c>
      <c r="L476">
        <f t="shared" si="50"/>
        <v>-8.3799999999999999E-2</v>
      </c>
      <c r="M476">
        <f t="shared" si="51"/>
        <v>-6.4299999999999996E-2</v>
      </c>
      <c r="N476">
        <f t="shared" si="52"/>
        <v>-3.85E-2</v>
      </c>
      <c r="O476">
        <f t="shared" si="53"/>
        <v>3.7900000000000003E-2</v>
      </c>
      <c r="P476">
        <f t="shared" si="54"/>
        <v>-9.9000000000000008E-3</v>
      </c>
    </row>
    <row r="477" spans="1:16">
      <c r="A477" s="230" t="s">
        <v>1119</v>
      </c>
      <c r="B477" s="147">
        <v>6.4000000000000003E-3</v>
      </c>
      <c r="C477" s="147">
        <v>-1.3100000000000001E-2</v>
      </c>
      <c r="D477" s="147">
        <v>3.2799999999999996E-2</v>
      </c>
      <c r="E477" s="147">
        <v>1.3600000000000001E-2</v>
      </c>
      <c r="F477" s="147">
        <v>-1.46E-2</v>
      </c>
      <c r="G477" s="147">
        <v>1.3999999999999999E-2</v>
      </c>
      <c r="I477" s="27">
        <f t="shared" si="49"/>
        <v>-2.4119045545637385E-2</v>
      </c>
      <c r="J477">
        <f t="shared" si="55"/>
        <v>1.0499999999999999E-2</v>
      </c>
      <c r="L477">
        <f t="shared" si="50"/>
        <v>2.9000000000000002E-3</v>
      </c>
      <c r="M477">
        <f t="shared" si="51"/>
        <v>-1.3100000000000001E-2</v>
      </c>
      <c r="N477">
        <f t="shared" si="52"/>
        <v>3.2799999999999996E-2</v>
      </c>
      <c r="O477">
        <f t="shared" si="53"/>
        <v>1.3600000000000001E-2</v>
      </c>
      <c r="P477">
        <f t="shared" si="54"/>
        <v>-1.46E-2</v>
      </c>
    </row>
    <row r="478" spans="1:16">
      <c r="A478" s="230" t="s">
        <v>1120</v>
      </c>
      <c r="B478" s="147">
        <v>-0.1021</v>
      </c>
      <c r="C478" s="147">
        <v>3.0800000000000001E-2</v>
      </c>
      <c r="D478" s="147">
        <v>1.4499999999999999E-2</v>
      </c>
      <c r="E478" s="147">
        <v>3.2799999999999996E-2</v>
      </c>
      <c r="F478" s="147">
        <v>-2.2000000000000002E-2</v>
      </c>
      <c r="G478" s="147">
        <v>-3.09E-2</v>
      </c>
      <c r="I478" s="27">
        <f t="shared" si="49"/>
        <v>-8.3490405456373179E-2</v>
      </c>
      <c r="J478">
        <f t="shared" si="55"/>
        <v>-3.44E-2</v>
      </c>
      <c r="L478">
        <f t="shared" si="50"/>
        <v>-0.1056</v>
      </c>
      <c r="M478">
        <f t="shared" si="51"/>
        <v>3.0800000000000001E-2</v>
      </c>
      <c r="N478">
        <f t="shared" si="52"/>
        <v>1.4499999999999999E-2</v>
      </c>
      <c r="O478">
        <f t="shared" si="53"/>
        <v>3.2799999999999996E-2</v>
      </c>
      <c r="P478">
        <f t="shared" si="54"/>
        <v>-2.2000000000000002E-2</v>
      </c>
    </row>
    <row r="479" spans="1:16">
      <c r="A479" s="230" t="s">
        <v>1121</v>
      </c>
      <c r="B479" s="147">
        <v>7.9799999999999996E-2</v>
      </c>
      <c r="C479" s="147">
        <v>-4.3099999999999999E-2</v>
      </c>
      <c r="D479" s="147">
        <v>-3.9399999999999998E-2</v>
      </c>
      <c r="E479" s="147">
        <v>-3.39E-2</v>
      </c>
      <c r="F479" s="147">
        <v>7.7000000000000002E-3</v>
      </c>
      <c r="G479" s="147">
        <v>5.0300000000000004E-2</v>
      </c>
      <c r="I479" s="27">
        <f t="shared" si="49"/>
        <v>1.3792735977350718E-2</v>
      </c>
      <c r="J479">
        <f t="shared" si="55"/>
        <v>4.6800000000000001E-2</v>
      </c>
      <c r="L479">
        <f t="shared" si="50"/>
        <v>7.6299999999999993E-2</v>
      </c>
      <c r="M479">
        <f t="shared" si="51"/>
        <v>-4.3099999999999999E-2</v>
      </c>
      <c r="N479">
        <f t="shared" si="52"/>
        <v>-3.9399999999999998E-2</v>
      </c>
      <c r="O479">
        <f t="shared" si="53"/>
        <v>-3.39E-2</v>
      </c>
      <c r="P479">
        <f t="shared" si="54"/>
        <v>7.7000000000000002E-3</v>
      </c>
    </row>
    <row r="480" spans="1:16">
      <c r="A480" s="230" t="s">
        <v>1122</v>
      </c>
      <c r="B480" s="147">
        <v>6.08E-2</v>
      </c>
      <c r="C480" s="147">
        <v>2.9300000000000003E-2</v>
      </c>
      <c r="D480" s="147">
        <v>-1.26E-2</v>
      </c>
      <c r="E480" s="147">
        <v>-9.2200000000000004E-2</v>
      </c>
      <c r="F480" s="147">
        <v>5.1200000000000002E-2</v>
      </c>
      <c r="G480" s="147">
        <v>2.2599999999999999E-2</v>
      </c>
      <c r="I480" s="27">
        <f t="shared" si="49"/>
        <v>3.892112612688621E-2</v>
      </c>
      <c r="J480">
        <f t="shared" si="55"/>
        <v>1.9099999999999999E-2</v>
      </c>
      <c r="L480">
        <f t="shared" si="50"/>
        <v>5.7299999999999997E-2</v>
      </c>
      <c r="M480">
        <f t="shared" si="51"/>
        <v>2.9300000000000003E-2</v>
      </c>
      <c r="N480">
        <f t="shared" si="52"/>
        <v>-1.26E-2</v>
      </c>
      <c r="O480">
        <f t="shared" si="53"/>
        <v>-9.2200000000000004E-2</v>
      </c>
      <c r="P480">
        <f t="shared" si="54"/>
        <v>5.1200000000000002E-2</v>
      </c>
    </row>
    <row r="481" spans="1:16">
      <c r="A481" s="230" t="s">
        <v>1123</v>
      </c>
      <c r="B481" s="147">
        <v>-5.6500000000000002E-2</v>
      </c>
      <c r="C481" s="147">
        <v>6.1000000000000004E-3</v>
      </c>
      <c r="D481" s="147">
        <v>2.1400000000000002E-2</v>
      </c>
      <c r="E481" s="147">
        <v>6.3E-2</v>
      </c>
      <c r="F481" s="147">
        <v>-1.6799999999999999E-2</v>
      </c>
      <c r="G481" s="147">
        <v>-1.7500000000000002E-2</v>
      </c>
      <c r="I481" s="27">
        <f t="shared" si="49"/>
        <v>1.2210904072434119E-2</v>
      </c>
      <c r="J481">
        <f t="shared" si="55"/>
        <v>-2.1000000000000001E-2</v>
      </c>
      <c r="L481">
        <f t="shared" si="50"/>
        <v>-6.0000000000000005E-2</v>
      </c>
      <c r="M481">
        <f t="shared" si="51"/>
        <v>6.1000000000000004E-3</v>
      </c>
      <c r="N481">
        <f t="shared" si="52"/>
        <v>2.1400000000000002E-2</v>
      </c>
      <c r="O481">
        <f t="shared" si="53"/>
        <v>6.3E-2</v>
      </c>
      <c r="P481">
        <f t="shared" si="54"/>
        <v>-1.6799999999999999E-2</v>
      </c>
    </row>
    <row r="482" spans="1:16">
      <c r="A482" s="230" t="s">
        <v>1124</v>
      </c>
      <c r="B482" s="147">
        <v>-2.47E-2</v>
      </c>
      <c r="C482" s="147">
        <v>6.8999999999999999E-3</v>
      </c>
      <c r="D482" s="147">
        <v>-8.1000000000000013E-3</v>
      </c>
      <c r="E482" s="147">
        <v>-9.7000000000000003E-3</v>
      </c>
      <c r="F482" s="147">
        <v>6.9999999999999993E-3</v>
      </c>
      <c r="G482" s="147">
        <v>-1.29E-2</v>
      </c>
      <c r="I482" s="27">
        <f t="shared" si="49"/>
        <v>-2.2204919730655481E-2</v>
      </c>
      <c r="J482">
        <f t="shared" si="55"/>
        <v>-1.6400000000000001E-2</v>
      </c>
      <c r="L482">
        <f t="shared" si="50"/>
        <v>-2.8199999999999999E-2</v>
      </c>
      <c r="M482">
        <f t="shared" si="51"/>
        <v>6.8999999999999999E-3</v>
      </c>
      <c r="N482">
        <f t="shared" si="52"/>
        <v>-8.1000000000000013E-3</v>
      </c>
      <c r="O482">
        <f t="shared" si="53"/>
        <v>-9.7000000000000003E-3</v>
      </c>
      <c r="P482">
        <f t="shared" si="54"/>
        <v>6.9999999999999993E-3</v>
      </c>
    </row>
    <row r="483" spans="1:16">
      <c r="A483" s="230" t="s">
        <v>1125</v>
      </c>
      <c r="B483" s="147">
        <v>-1.7899999999999999E-2</v>
      </c>
      <c r="C483" s="147">
        <v>-9.4000000000000004E-3</v>
      </c>
      <c r="D483" s="147">
        <v>-1.3700000000000002E-2</v>
      </c>
      <c r="E483" s="147">
        <v>8.3999999999999995E-3</v>
      </c>
      <c r="F483" s="147">
        <v>-6.1000000000000004E-3</v>
      </c>
      <c r="G483" s="147">
        <v>3.7000000000000002E-3</v>
      </c>
      <c r="I483" s="27">
        <f t="shared" si="49"/>
        <v>-2.4610606743346721E-2</v>
      </c>
      <c r="J483">
        <f t="shared" si="55"/>
        <v>2.0000000000000009E-4</v>
      </c>
      <c r="L483">
        <f t="shared" si="50"/>
        <v>-2.1399999999999999E-2</v>
      </c>
      <c r="M483">
        <f t="shared" si="51"/>
        <v>-9.4000000000000004E-3</v>
      </c>
      <c r="N483">
        <f t="shared" si="52"/>
        <v>-1.3700000000000002E-2</v>
      </c>
      <c r="O483">
        <f t="shared" si="53"/>
        <v>8.3999999999999995E-3</v>
      </c>
      <c r="P483">
        <f t="shared" si="54"/>
        <v>-6.1000000000000004E-3</v>
      </c>
    </row>
    <row r="484" spans="1:16">
      <c r="A484" s="230" t="s">
        <v>1126</v>
      </c>
      <c r="B484" s="147">
        <v>1.1900000000000001E-2</v>
      </c>
      <c r="C484" s="147">
        <v>6.6000000000000008E-3</v>
      </c>
      <c r="D484" s="147">
        <v>-1.9400000000000001E-2</v>
      </c>
      <c r="E484" s="147">
        <v>1.8600000000000002E-2</v>
      </c>
      <c r="F484" s="147">
        <v>-7.8000000000000005E-3</v>
      </c>
      <c r="G484" s="147">
        <v>3.73E-2</v>
      </c>
      <c r="I484" s="27">
        <f t="shared" si="49"/>
        <v>3.1184556983393622E-2</v>
      </c>
      <c r="J484">
        <f t="shared" si="55"/>
        <v>3.3799999999999997E-2</v>
      </c>
      <c r="L484">
        <f t="shared" si="50"/>
        <v>8.4000000000000012E-3</v>
      </c>
      <c r="M484">
        <f t="shared" si="51"/>
        <v>6.6000000000000008E-3</v>
      </c>
      <c r="N484">
        <f t="shared" si="52"/>
        <v>-1.9400000000000001E-2</v>
      </c>
      <c r="O484">
        <f t="shared" si="53"/>
        <v>1.8600000000000002E-2</v>
      </c>
      <c r="P484">
        <f t="shared" si="54"/>
        <v>-7.8000000000000005E-3</v>
      </c>
    </row>
    <row r="485" spans="1:16">
      <c r="A485" s="230" t="s">
        <v>391</v>
      </c>
      <c r="B485" s="147">
        <v>8.320000000000001E-2</v>
      </c>
      <c r="C485" s="147">
        <v>1.01E-2</v>
      </c>
      <c r="D485" s="147">
        <v>1.15E-2</v>
      </c>
      <c r="E485" s="147">
        <v>-4.6699999999999998E-2</v>
      </c>
      <c r="F485" s="147">
        <v>1.0700000000000001E-2</v>
      </c>
      <c r="G485" s="147">
        <v>4.6300000000000001E-2</v>
      </c>
      <c r="I485" s="27">
        <f t="shared" si="49"/>
        <v>2.570480128294601E-2</v>
      </c>
      <c r="J485">
        <f t="shared" si="55"/>
        <v>4.2799999999999998E-2</v>
      </c>
      <c r="L485">
        <f t="shared" si="50"/>
        <v>7.9700000000000007E-2</v>
      </c>
      <c r="M485">
        <f t="shared" si="51"/>
        <v>1.01E-2</v>
      </c>
      <c r="N485">
        <f t="shared" si="52"/>
        <v>1.15E-2</v>
      </c>
      <c r="O485">
        <f t="shared" si="53"/>
        <v>-4.6699999999999998E-2</v>
      </c>
      <c r="P485">
        <f t="shared" si="54"/>
        <v>1.0700000000000001E-2</v>
      </c>
    </row>
    <row r="486" spans="1:16">
      <c r="A486" s="230" t="s">
        <v>1127</v>
      </c>
      <c r="B486" s="147">
        <v>6.1399999999999996E-2</v>
      </c>
      <c r="C486" s="147">
        <v>4.8200000000000007E-2</v>
      </c>
      <c r="D486" s="147">
        <v>3.9000000000000003E-3</v>
      </c>
      <c r="E486" s="147">
        <v>-7.0099999999999996E-2</v>
      </c>
      <c r="F486" s="147">
        <v>2.8999999999999998E-2</v>
      </c>
      <c r="G486" s="147">
        <v>7.110000000000001E-2</v>
      </c>
      <c r="I486" s="27">
        <f t="shared" si="49"/>
        <v>3.3472231279145295E-2</v>
      </c>
      <c r="J486">
        <f t="shared" si="55"/>
        <v>6.7600000000000007E-2</v>
      </c>
      <c r="L486">
        <f t="shared" si="50"/>
        <v>5.7899999999999993E-2</v>
      </c>
      <c r="M486">
        <f t="shared" si="51"/>
        <v>4.8200000000000007E-2</v>
      </c>
      <c r="N486">
        <f t="shared" si="52"/>
        <v>3.9000000000000003E-3</v>
      </c>
      <c r="O486">
        <f t="shared" si="53"/>
        <v>-7.0099999999999996E-2</v>
      </c>
      <c r="P486">
        <f t="shared" si="54"/>
        <v>2.8999999999999998E-2</v>
      </c>
    </row>
    <row r="487" spans="1:16">
      <c r="A487" s="230" t="s">
        <v>1128</v>
      </c>
      <c r="B487" s="147">
        <v>1.5199999999999998E-2</v>
      </c>
      <c r="C487" s="147">
        <v>1.66E-2</v>
      </c>
      <c r="D487" s="147">
        <v>1.1000000000000001E-3</v>
      </c>
      <c r="E487" s="147">
        <v>5.0000000000000001E-3</v>
      </c>
      <c r="F487" s="147">
        <v>-3.9000000000000003E-3</v>
      </c>
      <c r="G487" s="147">
        <v>1.7899999999999999E-2</v>
      </c>
      <c r="I487" s="27">
        <f t="shared" si="49"/>
        <v>2.1761541558667451E-2</v>
      </c>
      <c r="J487">
        <f t="shared" si="55"/>
        <v>1.44E-2</v>
      </c>
      <c r="L487">
        <f t="shared" si="50"/>
        <v>1.1699999999999999E-2</v>
      </c>
      <c r="M487">
        <f t="shared" si="51"/>
        <v>1.66E-2</v>
      </c>
      <c r="N487">
        <f t="shared" si="52"/>
        <v>1.1000000000000001E-3</v>
      </c>
      <c r="O487">
        <f t="shared" si="53"/>
        <v>5.0000000000000001E-3</v>
      </c>
      <c r="P487">
        <f t="shared" si="54"/>
        <v>-3.9000000000000003E-3</v>
      </c>
    </row>
    <row r="488" spans="1:16">
      <c r="A488" s="230" t="s">
        <v>1129</v>
      </c>
      <c r="B488" s="147">
        <v>2.4199999999999999E-2</v>
      </c>
      <c r="C488" s="147">
        <v>4.5400000000000003E-2</v>
      </c>
      <c r="D488" s="147">
        <v>-1.24E-2</v>
      </c>
      <c r="E488" s="147">
        <v>-4.1399999999999999E-2</v>
      </c>
      <c r="F488" s="147">
        <v>1.78E-2</v>
      </c>
      <c r="G488" s="147">
        <v>3.5200000000000002E-2</v>
      </c>
      <c r="I488" s="27">
        <f t="shared" si="49"/>
        <v>2.213313166268616E-2</v>
      </c>
      <c r="J488">
        <f t="shared" si="55"/>
        <v>3.1699999999999999E-2</v>
      </c>
      <c r="L488">
        <f t="shared" si="50"/>
        <v>2.07E-2</v>
      </c>
      <c r="M488">
        <f t="shared" si="51"/>
        <v>4.5400000000000003E-2</v>
      </c>
      <c r="N488">
        <f t="shared" si="52"/>
        <v>-1.24E-2</v>
      </c>
      <c r="O488">
        <f t="shared" si="53"/>
        <v>-4.1399999999999999E-2</v>
      </c>
      <c r="P488">
        <f t="shared" si="54"/>
        <v>1.78E-2</v>
      </c>
    </row>
    <row r="489" spans="1:16">
      <c r="A489" s="230" t="s">
        <v>1130</v>
      </c>
      <c r="B489" s="147">
        <v>2.41E-2</v>
      </c>
      <c r="C489" s="147">
        <v>2.4799999999999999E-2</v>
      </c>
      <c r="D489" s="147">
        <v>1.5300000000000001E-2</v>
      </c>
      <c r="E489" s="147">
        <v>-2.2499999999999999E-2</v>
      </c>
      <c r="F489" s="147">
        <v>2.1400000000000002E-2</v>
      </c>
      <c r="G489" s="147">
        <v>3.9700000000000006E-2</v>
      </c>
      <c r="I489" s="27">
        <f t="shared" si="49"/>
        <v>4.5989249903466277E-2</v>
      </c>
      <c r="J489">
        <f t="shared" si="55"/>
        <v>3.6200000000000003E-2</v>
      </c>
      <c r="L489">
        <f t="shared" si="50"/>
        <v>2.06E-2</v>
      </c>
      <c r="M489">
        <f t="shared" si="51"/>
        <v>2.4799999999999999E-2</v>
      </c>
      <c r="N489">
        <f t="shared" si="52"/>
        <v>1.5300000000000001E-2</v>
      </c>
      <c r="O489">
        <f t="shared" si="53"/>
        <v>-2.2499999999999999E-2</v>
      </c>
      <c r="P489">
        <f t="shared" si="54"/>
        <v>2.1400000000000002E-2</v>
      </c>
    </row>
    <row r="490" spans="1:16">
      <c r="A490" s="230" t="s">
        <v>1131</v>
      </c>
      <c r="B490" s="147">
        <v>-1.1599999999999999E-2</v>
      </c>
      <c r="C490" s="147">
        <v>5.4000000000000003E-3</v>
      </c>
      <c r="D490" s="147">
        <v>1.7000000000000001E-3</v>
      </c>
      <c r="E490" s="147">
        <v>1.01E-2</v>
      </c>
      <c r="F490" s="147">
        <v>3.4999999999999996E-3</v>
      </c>
      <c r="G490" s="147">
        <v>-1.3999999999999999E-2</v>
      </c>
      <c r="I490" s="27">
        <f t="shared" si="49"/>
        <v>1.5126166824310599E-2</v>
      </c>
      <c r="J490">
        <f t="shared" si="55"/>
        <v>-1.7499999999999998E-2</v>
      </c>
      <c r="L490">
        <f t="shared" si="50"/>
        <v>-1.5099999999999999E-2</v>
      </c>
      <c r="M490">
        <f t="shared" si="51"/>
        <v>5.4000000000000003E-3</v>
      </c>
      <c r="N490">
        <f t="shared" si="52"/>
        <v>1.7000000000000001E-3</v>
      </c>
      <c r="O490">
        <f t="shared" si="53"/>
        <v>1.01E-2</v>
      </c>
      <c r="P490">
        <f t="shared" si="54"/>
        <v>3.4999999999999996E-3</v>
      </c>
    </row>
    <row r="491" spans="1:16">
      <c r="A491" s="230" t="s">
        <v>1132</v>
      </c>
      <c r="B491" s="147">
        <v>6.1499999999999999E-2</v>
      </c>
      <c r="C491" s="147">
        <v>2.7099999999999999E-2</v>
      </c>
      <c r="D491" s="147">
        <v>1.9699999999999999E-2</v>
      </c>
      <c r="E491" s="147">
        <v>-1.3500000000000002E-2</v>
      </c>
      <c r="F491" s="147">
        <v>1.5500000000000002E-2</v>
      </c>
      <c r="G491" s="147">
        <v>0.1162</v>
      </c>
      <c r="I491" s="27">
        <f t="shared" si="49"/>
        <v>8.566845520849739E-2</v>
      </c>
      <c r="J491">
        <f t="shared" si="55"/>
        <v>0.11269999999999999</v>
      </c>
      <c r="L491">
        <f t="shared" si="50"/>
        <v>5.7999999999999996E-2</v>
      </c>
      <c r="M491">
        <f t="shared" si="51"/>
        <v>2.7099999999999999E-2</v>
      </c>
      <c r="N491">
        <f t="shared" si="52"/>
        <v>1.9699999999999999E-2</v>
      </c>
      <c r="O491">
        <f t="shared" si="53"/>
        <v>-1.3500000000000002E-2</v>
      </c>
      <c r="P491">
        <f t="shared" si="54"/>
        <v>1.5500000000000002E-2</v>
      </c>
    </row>
    <row r="492" spans="1:16">
      <c r="A492" s="230" t="s">
        <v>1133</v>
      </c>
      <c r="B492" s="147">
        <v>1.4200000000000001E-2</v>
      </c>
      <c r="C492" s="147">
        <v>2.3300000000000001E-2</v>
      </c>
      <c r="D492" s="147">
        <v>1.78E-2</v>
      </c>
      <c r="E492" s="147">
        <v>1.9E-3</v>
      </c>
      <c r="F492" s="147">
        <v>1.8100000000000002E-2</v>
      </c>
      <c r="G492" s="147">
        <v>3.1600000000000003E-2</v>
      </c>
      <c r="I492" s="27">
        <f t="shared" si="49"/>
        <v>7.0694552912153485E-2</v>
      </c>
      <c r="J492">
        <f t="shared" si="55"/>
        <v>2.8100000000000003E-2</v>
      </c>
      <c r="L492">
        <f t="shared" si="50"/>
        <v>1.0700000000000001E-2</v>
      </c>
      <c r="M492">
        <f t="shared" si="51"/>
        <v>2.3300000000000001E-2</v>
      </c>
      <c r="N492">
        <f t="shared" si="52"/>
        <v>1.78E-2</v>
      </c>
      <c r="O492">
        <f t="shared" si="53"/>
        <v>1.9E-3</v>
      </c>
      <c r="P492">
        <f t="shared" si="54"/>
        <v>1.8100000000000002E-2</v>
      </c>
    </row>
    <row r="493" spans="1:16">
      <c r="A493" s="230" t="s">
        <v>1134</v>
      </c>
      <c r="B493" s="147">
        <v>4.3700000000000003E-2</v>
      </c>
      <c r="C493" s="147">
        <v>-2.4900000000000002E-2</v>
      </c>
      <c r="D493" s="147">
        <v>1.6E-2</v>
      </c>
      <c r="E493" s="147">
        <v>5.6000000000000008E-3</v>
      </c>
      <c r="F493" s="147">
        <v>9.4000000000000004E-3</v>
      </c>
      <c r="G493" s="147">
        <v>-1.2500000000000001E-2</v>
      </c>
      <c r="I493" s="27">
        <f t="shared" si="49"/>
        <v>5.4030655235162636E-2</v>
      </c>
      <c r="J493">
        <f t="shared" si="55"/>
        <v>-1.6E-2</v>
      </c>
      <c r="L493">
        <f t="shared" si="50"/>
        <v>4.02E-2</v>
      </c>
      <c r="M493">
        <f t="shared" si="51"/>
        <v>-2.4900000000000002E-2</v>
      </c>
      <c r="N493">
        <f t="shared" si="52"/>
        <v>1.6E-2</v>
      </c>
      <c r="O493">
        <f t="shared" si="53"/>
        <v>5.6000000000000008E-3</v>
      </c>
      <c r="P493">
        <f t="shared" si="54"/>
        <v>9.4000000000000004E-3</v>
      </c>
    </row>
    <row r="494" spans="1:16">
      <c r="A494" s="230" t="s">
        <v>1135</v>
      </c>
      <c r="B494" s="147">
        <v>2.2199999999999998E-2</v>
      </c>
      <c r="C494" s="147">
        <v>2.4500000000000001E-2</v>
      </c>
      <c r="D494" s="147">
        <v>2.4900000000000002E-2</v>
      </c>
      <c r="E494" s="147">
        <v>-3.6600000000000001E-2</v>
      </c>
      <c r="F494" s="147">
        <v>3.3799999999999997E-2</v>
      </c>
      <c r="G494" s="147">
        <v>3.7200000000000004E-2</v>
      </c>
      <c r="I494" s="27">
        <f t="shared" si="49"/>
        <v>4.7085630610557087E-2</v>
      </c>
      <c r="J494">
        <f t="shared" si="55"/>
        <v>3.3700000000000001E-2</v>
      </c>
      <c r="L494">
        <f t="shared" si="50"/>
        <v>1.8699999999999998E-2</v>
      </c>
      <c r="M494">
        <f t="shared" si="51"/>
        <v>2.4500000000000001E-2</v>
      </c>
      <c r="N494">
        <f t="shared" si="52"/>
        <v>2.4900000000000002E-2</v>
      </c>
      <c r="O494">
        <f t="shared" si="53"/>
        <v>-3.6600000000000001E-2</v>
      </c>
      <c r="P494">
        <f t="shared" si="54"/>
        <v>3.3799999999999997E-2</v>
      </c>
    </row>
    <row r="495" spans="1:16">
      <c r="A495" s="230" t="s">
        <v>1136</v>
      </c>
      <c r="B495" s="147">
        <v>1.4599999999999998E-2</v>
      </c>
      <c r="C495" s="147">
        <v>-9.1999999999999998E-3</v>
      </c>
      <c r="D495" s="147">
        <v>8.8000000000000005E-3</v>
      </c>
      <c r="E495" s="147">
        <v>2.1600000000000001E-2</v>
      </c>
      <c r="F495" s="147">
        <v>-1.23E-2</v>
      </c>
      <c r="G495" s="147">
        <v>-1.5E-3</v>
      </c>
      <c r="I495" s="27">
        <f t="shared" si="49"/>
        <v>1.1893012000013376E-2</v>
      </c>
      <c r="J495">
        <f t="shared" si="55"/>
        <v>-5.0000000000000001E-3</v>
      </c>
      <c r="L495">
        <f t="shared" si="50"/>
        <v>1.1099999999999999E-2</v>
      </c>
      <c r="M495">
        <f t="shared" si="51"/>
        <v>-9.1999999999999998E-3</v>
      </c>
      <c r="N495">
        <f t="shared" si="52"/>
        <v>8.8000000000000005E-3</v>
      </c>
      <c r="O495">
        <f t="shared" si="53"/>
        <v>2.1600000000000001E-2</v>
      </c>
      <c r="P495">
        <f t="shared" si="54"/>
        <v>-1.23E-2</v>
      </c>
    </row>
    <row r="496" spans="1:16">
      <c r="A496" s="230" t="s">
        <v>1137</v>
      </c>
      <c r="B496" s="147">
        <v>-1.2300000000000002E-2</v>
      </c>
      <c r="C496" s="147">
        <v>2.1000000000000001E-2</v>
      </c>
      <c r="D496" s="147">
        <v>2.7000000000000001E-3</v>
      </c>
      <c r="E496" s="147">
        <v>1.5600000000000001E-2</v>
      </c>
      <c r="F496" s="147">
        <v>-9.7999999999999997E-3</v>
      </c>
      <c r="G496" s="147">
        <v>-1.47E-2</v>
      </c>
      <c r="I496" s="27">
        <f t="shared" si="49"/>
        <v>1.4096465108786971E-3</v>
      </c>
      <c r="J496">
        <f t="shared" si="55"/>
        <v>-1.8200000000000001E-2</v>
      </c>
      <c r="L496">
        <f t="shared" si="50"/>
        <v>-1.5800000000000002E-2</v>
      </c>
      <c r="M496">
        <f t="shared" si="51"/>
        <v>2.1000000000000001E-2</v>
      </c>
      <c r="N496">
        <f t="shared" si="52"/>
        <v>2.7000000000000001E-3</v>
      </c>
      <c r="O496">
        <f t="shared" si="53"/>
        <v>1.5600000000000001E-2</v>
      </c>
      <c r="P496">
        <f t="shared" si="54"/>
        <v>-9.7999999999999997E-3</v>
      </c>
    </row>
    <row r="497" spans="1:16">
      <c r="A497" s="230" t="s">
        <v>1138</v>
      </c>
      <c r="B497" s="147">
        <v>-1.7500000000000002E-2</v>
      </c>
      <c r="C497" s="147">
        <v>-2.0199999999999999E-2</v>
      </c>
      <c r="D497" s="147">
        <v>-3.0699999999999998E-2</v>
      </c>
      <c r="E497" s="147">
        <v>3.4700000000000002E-2</v>
      </c>
      <c r="F497" s="147">
        <v>-2.81E-2</v>
      </c>
      <c r="G497" s="147">
        <v>-7.7300000000000008E-2</v>
      </c>
      <c r="I497" s="27">
        <f t="shared" si="49"/>
        <v>-3.4642593283738116E-2</v>
      </c>
      <c r="J497">
        <f t="shared" si="55"/>
        <v>-8.0800000000000011E-2</v>
      </c>
      <c r="L497">
        <f t="shared" si="50"/>
        <v>-2.1000000000000001E-2</v>
      </c>
      <c r="M497">
        <f t="shared" si="51"/>
        <v>-2.0199999999999999E-2</v>
      </c>
      <c r="N497">
        <f t="shared" si="52"/>
        <v>-3.0699999999999998E-2</v>
      </c>
      <c r="O497">
        <f t="shared" si="53"/>
        <v>3.4700000000000002E-2</v>
      </c>
      <c r="P497">
        <f t="shared" si="54"/>
        <v>-2.81E-2</v>
      </c>
    </row>
    <row r="498" spans="1:16">
      <c r="A498" s="230" t="s">
        <v>392</v>
      </c>
      <c r="B498" s="147">
        <v>1.23E-2</v>
      </c>
      <c r="C498" s="147">
        <v>-3.8E-3</v>
      </c>
      <c r="D498" s="147">
        <v>-2.5000000000000001E-3</v>
      </c>
      <c r="E498" s="147">
        <v>-1.18E-2</v>
      </c>
      <c r="F498" s="147">
        <v>2.9999999999999997E-4</v>
      </c>
      <c r="G498" s="147">
        <v>2.7400000000000004E-2</v>
      </c>
      <c r="I498" s="27">
        <f t="shared" si="49"/>
        <v>-1.3856267507230317E-2</v>
      </c>
      <c r="J498">
        <f t="shared" si="55"/>
        <v>2.3900000000000005E-2</v>
      </c>
      <c r="L498">
        <f t="shared" si="50"/>
        <v>8.8000000000000005E-3</v>
      </c>
      <c r="M498">
        <f t="shared" si="51"/>
        <v>-3.8E-3</v>
      </c>
      <c r="N498">
        <f t="shared" si="52"/>
        <v>-2.5000000000000001E-3</v>
      </c>
      <c r="O498">
        <f t="shared" si="53"/>
        <v>-1.18E-2</v>
      </c>
      <c r="P498">
        <f t="shared" si="54"/>
        <v>2.9999999999999997E-4</v>
      </c>
    </row>
    <row r="499" spans="1:16">
      <c r="A499" s="230" t="s">
        <v>1139</v>
      </c>
      <c r="B499" s="147">
        <v>1.9400000000000001E-2</v>
      </c>
      <c r="C499" s="147">
        <v>2.5600000000000001E-2</v>
      </c>
      <c r="D499" s="147">
        <v>1.18E-2</v>
      </c>
      <c r="E499" s="147">
        <v>1.2E-2</v>
      </c>
      <c r="F499" s="147">
        <v>-3.9000000000000003E-3</v>
      </c>
      <c r="G499" s="147">
        <v>1.77E-2</v>
      </c>
      <c r="I499" s="27">
        <f t="shared" si="49"/>
        <v>4.2348779851742582E-2</v>
      </c>
      <c r="J499">
        <f t="shared" si="55"/>
        <v>1.4200000000000001E-2</v>
      </c>
      <c r="L499">
        <f t="shared" si="50"/>
        <v>1.5900000000000001E-2</v>
      </c>
      <c r="M499">
        <f t="shared" si="51"/>
        <v>2.5600000000000001E-2</v>
      </c>
      <c r="N499">
        <f t="shared" si="52"/>
        <v>1.18E-2</v>
      </c>
      <c r="O499">
        <f t="shared" si="53"/>
        <v>1.2E-2</v>
      </c>
      <c r="P499">
        <f t="shared" si="54"/>
        <v>-3.9000000000000003E-3</v>
      </c>
    </row>
    <row r="500" spans="1:16">
      <c r="A500" s="230" t="s">
        <v>1140</v>
      </c>
      <c r="B500" s="147">
        <v>-3.9599999999999996E-2</v>
      </c>
      <c r="C500" s="147">
        <v>-2.9600000000000001E-2</v>
      </c>
      <c r="D500" s="147">
        <v>3.2400000000000005E-2</v>
      </c>
      <c r="E500" s="147">
        <v>5.3200000000000004E-2</v>
      </c>
      <c r="F500" s="147">
        <v>-1.66E-2</v>
      </c>
      <c r="G500" s="147">
        <v>-8.6899999999999991E-2</v>
      </c>
      <c r="I500" s="27">
        <f t="shared" si="49"/>
        <v>-1.392509701489671E-2</v>
      </c>
      <c r="J500">
        <f t="shared" si="55"/>
        <v>-9.0399999999999994E-2</v>
      </c>
      <c r="L500">
        <f t="shared" si="50"/>
        <v>-4.3099999999999999E-2</v>
      </c>
      <c r="M500">
        <f t="shared" si="51"/>
        <v>-2.9600000000000001E-2</v>
      </c>
      <c r="N500">
        <f t="shared" si="52"/>
        <v>3.2400000000000005E-2</v>
      </c>
      <c r="O500">
        <f t="shared" si="53"/>
        <v>5.3200000000000004E-2</v>
      </c>
      <c r="P500">
        <f t="shared" si="54"/>
        <v>-1.66E-2</v>
      </c>
    </row>
    <row r="501" spans="1:16">
      <c r="A501" s="230" t="s">
        <v>1141</v>
      </c>
      <c r="B501" s="147">
        <v>1.9000000000000002E-3</v>
      </c>
      <c r="C501" s="147">
        <v>-1.1399999999999999E-2</v>
      </c>
      <c r="D501" s="147">
        <v>9.7000000000000003E-3</v>
      </c>
      <c r="E501" s="147">
        <v>1.23E-2</v>
      </c>
      <c r="F501" s="147">
        <v>-1.47E-2</v>
      </c>
      <c r="G501" s="147">
        <v>-2.1299999999999999E-2</v>
      </c>
      <c r="I501" s="27">
        <f t="shared" si="49"/>
        <v>-2.5289615260603863E-2</v>
      </c>
      <c r="J501">
        <f t="shared" si="55"/>
        <v>-2.4799999999999999E-2</v>
      </c>
      <c r="L501">
        <f t="shared" si="50"/>
        <v>-1.5999999999999999E-3</v>
      </c>
      <c r="M501">
        <f t="shared" si="51"/>
        <v>-1.1399999999999999E-2</v>
      </c>
      <c r="N501">
        <f t="shared" si="52"/>
        <v>9.7000000000000003E-3</v>
      </c>
      <c r="O501">
        <f t="shared" si="53"/>
        <v>1.23E-2</v>
      </c>
      <c r="P501">
        <f t="shared" si="54"/>
        <v>-1.47E-2</v>
      </c>
    </row>
    <row r="502" spans="1:16">
      <c r="A502" s="230" t="s">
        <v>1142</v>
      </c>
      <c r="B502" s="147">
        <v>1.7100000000000001E-2</v>
      </c>
      <c r="C502" s="147">
        <v>3.27E-2</v>
      </c>
      <c r="D502" s="147">
        <v>0</v>
      </c>
      <c r="E502" s="147">
        <v>-1.49E-2</v>
      </c>
      <c r="F502" s="147">
        <v>-1.8800000000000001E-2</v>
      </c>
      <c r="G502" s="147">
        <v>7.2700000000000001E-2</v>
      </c>
      <c r="I502" s="27">
        <f t="shared" si="49"/>
        <v>-3.868831831823491E-2</v>
      </c>
      <c r="J502">
        <f t="shared" si="55"/>
        <v>6.9199999999999998E-2</v>
      </c>
      <c r="L502">
        <f t="shared" si="50"/>
        <v>1.3600000000000001E-2</v>
      </c>
      <c r="M502">
        <f t="shared" si="51"/>
        <v>3.27E-2</v>
      </c>
      <c r="N502">
        <f t="shared" si="52"/>
        <v>0</v>
      </c>
      <c r="O502">
        <f t="shared" si="53"/>
        <v>-1.49E-2</v>
      </c>
      <c r="P502">
        <f t="shared" si="54"/>
        <v>-1.8800000000000001E-2</v>
      </c>
    </row>
    <row r="503" spans="1:16">
      <c r="A503" s="230" t="s">
        <v>1143</v>
      </c>
      <c r="B503" s="147">
        <v>1.54E-2</v>
      </c>
      <c r="C503" s="147">
        <v>1.9E-3</v>
      </c>
      <c r="D503" s="147">
        <v>-2.2000000000000001E-3</v>
      </c>
      <c r="E503" s="147">
        <v>-5.2000000000000006E-3</v>
      </c>
      <c r="F503" s="147">
        <v>4.8999999999999998E-3</v>
      </c>
      <c r="G503" s="147">
        <v>2.2400000000000003E-2</v>
      </c>
      <c r="I503" s="27">
        <f t="shared" si="49"/>
        <v>1.6335750486254092E-2</v>
      </c>
      <c r="J503">
        <f t="shared" si="55"/>
        <v>1.8900000000000004E-2</v>
      </c>
      <c r="L503">
        <f t="shared" si="50"/>
        <v>1.1900000000000001E-2</v>
      </c>
      <c r="M503">
        <f t="shared" si="51"/>
        <v>1.9E-3</v>
      </c>
      <c r="N503">
        <f t="shared" si="52"/>
        <v>-2.2000000000000001E-3</v>
      </c>
      <c r="O503">
        <f t="shared" si="53"/>
        <v>-5.2000000000000006E-3</v>
      </c>
      <c r="P503">
        <f t="shared" si="54"/>
        <v>4.8999999999999998E-3</v>
      </c>
    </row>
    <row r="504" spans="1:16">
      <c r="A504" s="230" t="s">
        <v>1144</v>
      </c>
      <c r="B504" s="147">
        <v>4.6900000000000004E-2</v>
      </c>
      <c r="C504" s="147">
        <v>4.1100000000000005E-2</v>
      </c>
      <c r="D504" s="147">
        <v>1.41E-2</v>
      </c>
      <c r="E504" s="147">
        <v>-5.7999999999999996E-3</v>
      </c>
      <c r="F504" s="147">
        <v>-2.2000000000000001E-3</v>
      </c>
      <c r="G504" s="147">
        <v>9.8599999999999993E-2</v>
      </c>
      <c r="I504" s="27">
        <f t="shared" si="49"/>
        <v>5.1444409833510819E-2</v>
      </c>
      <c r="J504">
        <f t="shared" si="55"/>
        <v>9.509999999999999E-2</v>
      </c>
      <c r="L504">
        <f t="shared" si="50"/>
        <v>4.3400000000000001E-2</v>
      </c>
      <c r="M504">
        <f t="shared" si="51"/>
        <v>4.1100000000000005E-2</v>
      </c>
      <c r="N504">
        <f t="shared" si="52"/>
        <v>1.41E-2</v>
      </c>
      <c r="O504">
        <f t="shared" si="53"/>
        <v>-5.7999999999999996E-3</v>
      </c>
      <c r="P504">
        <f t="shared" si="54"/>
        <v>-2.2000000000000001E-3</v>
      </c>
    </row>
    <row r="505" spans="1:16">
      <c r="A505" s="230" t="s">
        <v>1145</v>
      </c>
      <c r="B505" s="147">
        <v>3.5900000000000001E-2</v>
      </c>
      <c r="C505" s="147">
        <v>-5.0000000000000001E-4</v>
      </c>
      <c r="D505" s="147">
        <v>-2.2000000000000001E-3</v>
      </c>
      <c r="E505" s="147">
        <v>-1.1599999999999999E-2</v>
      </c>
      <c r="F505" s="147">
        <v>4.5999999999999999E-3</v>
      </c>
      <c r="G505" s="147">
        <v>2.07E-2</v>
      </c>
      <c r="I505" s="27">
        <f t="shared" si="49"/>
        <v>2.2892555431776731E-2</v>
      </c>
      <c r="J505">
        <f t="shared" si="55"/>
        <v>1.72E-2</v>
      </c>
      <c r="L505">
        <f t="shared" si="50"/>
        <v>3.2399999999999998E-2</v>
      </c>
      <c r="M505">
        <f t="shared" si="51"/>
        <v>-5.0000000000000001E-4</v>
      </c>
      <c r="N505">
        <f t="shared" si="52"/>
        <v>-2.2000000000000001E-3</v>
      </c>
      <c r="O505">
        <f t="shared" si="53"/>
        <v>-1.1599999999999999E-2</v>
      </c>
      <c r="P505">
        <f t="shared" si="54"/>
        <v>4.5999999999999999E-3</v>
      </c>
    </row>
    <row r="506" spans="1:16">
      <c r="A506" s="230" t="s">
        <v>1146</v>
      </c>
      <c r="B506" s="147">
        <v>-2.5999999999999999E-2</v>
      </c>
      <c r="C506" s="147">
        <v>-1.17E-2</v>
      </c>
      <c r="D506" s="147">
        <v>2.06E-2</v>
      </c>
      <c r="E506" s="147">
        <v>2.7400000000000004E-2</v>
      </c>
      <c r="F506" s="147">
        <v>-1.46E-2</v>
      </c>
      <c r="G506" s="147">
        <v>-4.0899999999999999E-2</v>
      </c>
      <c r="I506" s="27">
        <f t="shared" si="49"/>
        <v>-2.7992620088559395E-2</v>
      </c>
      <c r="J506">
        <f t="shared" si="55"/>
        <v>-4.4400000000000002E-2</v>
      </c>
      <c r="L506">
        <f t="shared" si="50"/>
        <v>-2.9499999999999998E-2</v>
      </c>
      <c r="M506">
        <f t="shared" si="51"/>
        <v>-1.17E-2</v>
      </c>
      <c r="N506">
        <f t="shared" si="52"/>
        <v>2.06E-2</v>
      </c>
      <c r="O506">
        <f t="shared" si="53"/>
        <v>2.7400000000000004E-2</v>
      </c>
      <c r="P506">
        <f t="shared" si="54"/>
        <v>-1.46E-2</v>
      </c>
    </row>
    <row r="507" spans="1:16">
      <c r="A507" s="230" t="s">
        <v>1147</v>
      </c>
      <c r="B507" s="147">
        <v>2.0500000000000001E-2</v>
      </c>
      <c r="C507" s="147">
        <v>-3.0999999999999999E-3</v>
      </c>
      <c r="D507" s="147">
        <v>1.54E-2</v>
      </c>
      <c r="E507" s="147">
        <v>1.43E-2</v>
      </c>
      <c r="F507" s="147">
        <v>-5.0000000000000001E-4</v>
      </c>
      <c r="G507" s="147">
        <v>5.4300000000000001E-2</v>
      </c>
      <c r="I507" s="27">
        <f t="shared" si="49"/>
        <v>3.647591731727734E-2</v>
      </c>
      <c r="J507">
        <f t="shared" si="55"/>
        <v>5.0799999999999998E-2</v>
      </c>
      <c r="L507">
        <f t="shared" si="50"/>
        <v>1.7000000000000001E-2</v>
      </c>
      <c r="M507">
        <f t="shared" si="51"/>
        <v>-3.0999999999999999E-3</v>
      </c>
      <c r="N507">
        <f t="shared" si="52"/>
        <v>1.54E-2</v>
      </c>
      <c r="O507">
        <f t="shared" si="53"/>
        <v>1.43E-2</v>
      </c>
      <c r="P507">
        <f t="shared" si="54"/>
        <v>-5.0000000000000001E-4</v>
      </c>
    </row>
    <row r="508" spans="1:16">
      <c r="A508" s="230" t="s">
        <v>1148</v>
      </c>
      <c r="B508" s="147">
        <v>-1.7599999999999998E-2</v>
      </c>
      <c r="C508" s="147">
        <v>-1.4199999999999999E-2</v>
      </c>
      <c r="D508" s="147">
        <v>2.0400000000000001E-2</v>
      </c>
      <c r="E508" s="147">
        <v>4.5999999999999999E-3</v>
      </c>
      <c r="F508" s="147">
        <v>1.29E-2</v>
      </c>
      <c r="G508" s="147">
        <v>-1.5300000000000001E-2</v>
      </c>
      <c r="I508" s="27">
        <f t="shared" si="49"/>
        <v>5.7158405822913295E-3</v>
      </c>
      <c r="J508">
        <f t="shared" si="55"/>
        <v>-1.8800000000000001E-2</v>
      </c>
      <c r="L508">
        <f t="shared" si="50"/>
        <v>-2.1099999999999997E-2</v>
      </c>
      <c r="M508">
        <f t="shared" si="51"/>
        <v>-1.4199999999999999E-2</v>
      </c>
      <c r="N508">
        <f t="shared" si="52"/>
        <v>2.0400000000000001E-2</v>
      </c>
      <c r="O508">
        <f t="shared" si="53"/>
        <v>4.5999999999999999E-3</v>
      </c>
      <c r="P508">
        <f t="shared" si="54"/>
        <v>1.29E-2</v>
      </c>
    </row>
    <row r="509" spans="1:16">
      <c r="A509" s="230" t="s">
        <v>1149</v>
      </c>
      <c r="B509" s="147">
        <v>-2.3999999999999997E-2</v>
      </c>
      <c r="C509" s="147">
        <v>-3.9800000000000002E-2</v>
      </c>
      <c r="D509" s="147">
        <v>7.000000000000001E-4</v>
      </c>
      <c r="E509" s="147">
        <v>9.7000000000000003E-3</v>
      </c>
      <c r="F509" s="147">
        <v>-9.4000000000000004E-3</v>
      </c>
      <c r="G509" s="147">
        <v>-6.4500000000000002E-2</v>
      </c>
      <c r="I509" s="27">
        <f t="shared" si="49"/>
        <v>-5.9513579756957119E-2</v>
      </c>
      <c r="J509">
        <f t="shared" si="55"/>
        <v>-6.8000000000000005E-2</v>
      </c>
      <c r="L509">
        <f t="shared" si="50"/>
        <v>-2.7499999999999997E-2</v>
      </c>
      <c r="M509">
        <f t="shared" si="51"/>
        <v>-3.9800000000000002E-2</v>
      </c>
      <c r="N509">
        <f t="shared" si="52"/>
        <v>7.000000000000001E-4</v>
      </c>
      <c r="O509">
        <f t="shared" si="53"/>
        <v>9.7000000000000003E-3</v>
      </c>
      <c r="P509">
        <f t="shared" si="54"/>
        <v>-9.4000000000000004E-3</v>
      </c>
    </row>
    <row r="510" spans="1:16">
      <c r="A510" s="230" t="s">
        <v>1150</v>
      </c>
      <c r="B510" s="147">
        <v>3.8899999999999997E-2</v>
      </c>
      <c r="C510" s="147">
        <v>2.7799999999999998E-2</v>
      </c>
      <c r="D510" s="147">
        <v>-6.4000000000000003E-3</v>
      </c>
      <c r="E510" s="147">
        <v>-0.01</v>
      </c>
      <c r="F510" s="147">
        <v>3.0000000000000001E-3</v>
      </c>
      <c r="G510" s="147">
        <v>6.4200000000000007E-2</v>
      </c>
      <c r="I510" s="27">
        <f t="shared" si="49"/>
        <v>4.4281646355725124E-2</v>
      </c>
      <c r="J510">
        <f t="shared" si="55"/>
        <v>6.0700000000000004E-2</v>
      </c>
      <c r="L510">
        <f t="shared" si="50"/>
        <v>3.5399999999999994E-2</v>
      </c>
      <c r="M510">
        <f t="shared" si="51"/>
        <v>2.7799999999999998E-2</v>
      </c>
      <c r="N510">
        <f t="shared" si="52"/>
        <v>-6.4000000000000003E-3</v>
      </c>
      <c r="O510">
        <f t="shared" si="53"/>
        <v>-0.01</v>
      </c>
      <c r="P510">
        <f t="shared" si="54"/>
        <v>3.0000000000000001E-3</v>
      </c>
    </row>
    <row r="511" spans="1:16">
      <c r="A511" s="230" t="s">
        <v>393</v>
      </c>
      <c r="B511" s="147">
        <v>8.0000000000000002E-3</v>
      </c>
      <c r="C511" s="147">
        <v>3.2799999999999996E-2</v>
      </c>
      <c r="D511" s="147">
        <v>2.8300000000000002E-2</v>
      </c>
      <c r="E511" s="147">
        <v>9.5999999999999992E-3</v>
      </c>
      <c r="F511" s="147">
        <v>-5.1000000000000004E-3</v>
      </c>
      <c r="G511" s="147">
        <v>5.5300000000000002E-2</v>
      </c>
      <c r="I511" s="27">
        <f t="shared" si="49"/>
        <v>2.4892387562900704E-2</v>
      </c>
      <c r="J511">
        <f t="shared" si="55"/>
        <v>5.1799999999999999E-2</v>
      </c>
      <c r="L511">
        <f t="shared" si="50"/>
        <v>4.5000000000000005E-3</v>
      </c>
      <c r="M511">
        <f t="shared" si="51"/>
        <v>3.2799999999999996E-2</v>
      </c>
      <c r="N511">
        <f t="shared" si="52"/>
        <v>2.8300000000000002E-2</v>
      </c>
      <c r="O511">
        <f t="shared" si="53"/>
        <v>9.5999999999999992E-3</v>
      </c>
      <c r="P511">
        <f t="shared" si="54"/>
        <v>-5.1000000000000004E-3</v>
      </c>
    </row>
    <row r="512" spans="1:16">
      <c r="A512" s="230" t="s">
        <v>1151</v>
      </c>
      <c r="B512" s="147">
        <v>4.1599999999999998E-2</v>
      </c>
      <c r="C512" s="147">
        <v>2.81E-2</v>
      </c>
      <c r="D512" s="147">
        <v>-7.9000000000000008E-3</v>
      </c>
      <c r="E512" s="147">
        <v>-1.18E-2</v>
      </c>
      <c r="F512" s="147">
        <v>-8.199999999999999E-3</v>
      </c>
      <c r="G512" s="147">
        <v>5.6600000000000004E-2</v>
      </c>
      <c r="I512" s="27">
        <f t="shared" si="49"/>
        <v>1.6401347640598037E-2</v>
      </c>
      <c r="J512">
        <f t="shared" si="55"/>
        <v>5.3100000000000001E-2</v>
      </c>
      <c r="L512">
        <f t="shared" si="50"/>
        <v>3.8099999999999995E-2</v>
      </c>
      <c r="M512">
        <f t="shared" si="51"/>
        <v>2.81E-2</v>
      </c>
      <c r="N512">
        <f t="shared" si="52"/>
        <v>-7.9000000000000008E-3</v>
      </c>
      <c r="O512">
        <f t="shared" si="53"/>
        <v>-1.18E-2</v>
      </c>
      <c r="P512">
        <f t="shared" si="54"/>
        <v>-8.199999999999999E-3</v>
      </c>
    </row>
    <row r="513" spans="1:16">
      <c r="A513" s="230" t="s">
        <v>1152</v>
      </c>
      <c r="B513" s="147">
        <v>-9.1999999999999998E-3</v>
      </c>
      <c r="C513" s="147">
        <v>-8.8999999999999999E-3</v>
      </c>
      <c r="D513" s="147">
        <v>1.3200000000000002E-2</v>
      </c>
      <c r="E513" s="147">
        <v>-2.0499999999999997E-2</v>
      </c>
      <c r="F513" s="147">
        <v>3.7000000000000002E-3</v>
      </c>
      <c r="G513" s="147">
        <v>1.23E-2</v>
      </c>
      <c r="I513" s="27">
        <f t="shared" si="49"/>
        <v>-4.9335426294965401E-2</v>
      </c>
      <c r="J513">
        <f t="shared" si="55"/>
        <v>8.8000000000000005E-3</v>
      </c>
      <c r="L513">
        <f t="shared" si="50"/>
        <v>-1.2699999999999999E-2</v>
      </c>
      <c r="M513">
        <f t="shared" si="51"/>
        <v>-8.8999999999999999E-3</v>
      </c>
      <c r="N513">
        <f t="shared" si="52"/>
        <v>1.3200000000000002E-2</v>
      </c>
      <c r="O513">
        <f t="shared" si="53"/>
        <v>-2.0499999999999997E-2</v>
      </c>
      <c r="P513">
        <f t="shared" si="54"/>
        <v>3.7000000000000002E-3</v>
      </c>
    </row>
    <row r="514" spans="1:16">
      <c r="A514" s="230" t="s">
        <v>1153</v>
      </c>
      <c r="B514" s="147">
        <v>7.7999999999999996E-3</v>
      </c>
      <c r="C514" s="147">
        <v>-3.4000000000000002E-3</v>
      </c>
      <c r="D514" s="147">
        <v>7.0999999999999995E-3</v>
      </c>
      <c r="E514" s="147">
        <v>2.7000000000000001E-3</v>
      </c>
      <c r="F514" s="147">
        <v>-6.0000000000000001E-3</v>
      </c>
      <c r="G514" s="147">
        <v>3.9100000000000003E-2</v>
      </c>
      <c r="I514" s="27">
        <f t="shared" si="49"/>
        <v>-9.4159558525155132E-3</v>
      </c>
      <c r="J514">
        <f t="shared" si="55"/>
        <v>3.56E-2</v>
      </c>
      <c r="L514">
        <f t="shared" si="50"/>
        <v>4.3E-3</v>
      </c>
      <c r="M514">
        <f t="shared" si="51"/>
        <v>-3.4000000000000002E-3</v>
      </c>
      <c r="N514">
        <f t="shared" si="52"/>
        <v>7.0999999999999995E-3</v>
      </c>
      <c r="O514">
        <f t="shared" si="53"/>
        <v>2.7000000000000001E-3</v>
      </c>
      <c r="P514">
        <f t="shared" si="54"/>
        <v>-6.0000000000000001E-3</v>
      </c>
    </row>
    <row r="515" spans="1:16">
      <c r="A515" s="230" t="s">
        <v>1154</v>
      </c>
      <c r="B515" s="147">
        <v>-1.7499999999999998E-2</v>
      </c>
      <c r="C515" s="147">
        <v>-1.4499999999999999E-2</v>
      </c>
      <c r="D515" s="147">
        <v>4.1999999999999997E-3</v>
      </c>
      <c r="E515" s="147">
        <v>-9.300000000000001E-3</v>
      </c>
      <c r="F515" s="147">
        <v>-1.29E-2</v>
      </c>
      <c r="G515" s="147">
        <v>-2.7799999999999998E-2</v>
      </c>
      <c r="I515" s="27">
        <f t="shared" si="49"/>
        <v>-8.0330326161532392E-2</v>
      </c>
      <c r="J515">
        <f t="shared" si="55"/>
        <v>-3.1300000000000001E-2</v>
      </c>
      <c r="L515">
        <f t="shared" si="50"/>
        <v>-2.0999999999999998E-2</v>
      </c>
      <c r="M515">
        <f t="shared" si="51"/>
        <v>-1.4499999999999999E-2</v>
      </c>
      <c r="N515">
        <f t="shared" si="52"/>
        <v>4.1999999999999997E-3</v>
      </c>
      <c r="O515">
        <f t="shared" si="53"/>
        <v>-9.300000000000001E-3</v>
      </c>
      <c r="P515">
        <f t="shared" si="54"/>
        <v>-1.29E-2</v>
      </c>
    </row>
    <row r="516" spans="1:16">
      <c r="A516" s="230" t="s">
        <v>1155</v>
      </c>
      <c r="B516" s="147">
        <v>3.9199999999999999E-2</v>
      </c>
      <c r="C516" s="147">
        <v>8.3999999999999995E-3</v>
      </c>
      <c r="D516" s="147">
        <v>-1.1599999999999999E-2</v>
      </c>
      <c r="E516" s="147">
        <v>-7.6E-3</v>
      </c>
      <c r="F516" s="147">
        <v>-1.1299999999999999E-2</v>
      </c>
      <c r="G516" s="147">
        <v>3.09E-2</v>
      </c>
      <c r="I516" s="27">
        <f t="shared" si="49"/>
        <v>1.7655089690844154E-3</v>
      </c>
      <c r="J516">
        <f t="shared" si="55"/>
        <v>2.7400000000000001E-2</v>
      </c>
      <c r="L516">
        <f t="shared" si="50"/>
        <v>3.5699999999999996E-2</v>
      </c>
      <c r="M516">
        <f t="shared" si="51"/>
        <v>8.3999999999999995E-3</v>
      </c>
      <c r="N516">
        <f t="shared" si="52"/>
        <v>-1.1599999999999999E-2</v>
      </c>
      <c r="O516">
        <f t="shared" si="53"/>
        <v>-7.6E-3</v>
      </c>
      <c r="P516">
        <f t="shared" si="54"/>
        <v>-1.1299999999999999E-2</v>
      </c>
    </row>
    <row r="517" spans="1:16">
      <c r="A517" s="230" t="s">
        <v>1156</v>
      </c>
      <c r="B517" s="147">
        <v>7.000000000000001E-4</v>
      </c>
      <c r="C517" s="147">
        <v>-2E-3</v>
      </c>
      <c r="D517" s="147">
        <v>2E-3</v>
      </c>
      <c r="E517" s="147">
        <v>2.2000000000000001E-3</v>
      </c>
      <c r="F517" s="147">
        <v>2.3E-3</v>
      </c>
      <c r="G517" s="147">
        <v>1.84E-2</v>
      </c>
      <c r="I517" s="27">
        <f t="shared" si="49"/>
        <v>5.1778149798820498E-3</v>
      </c>
      <c r="J517">
        <f t="shared" si="55"/>
        <v>1.49E-2</v>
      </c>
      <c r="L517">
        <f t="shared" si="50"/>
        <v>-2.8E-3</v>
      </c>
      <c r="M517">
        <f t="shared" si="51"/>
        <v>-2E-3</v>
      </c>
      <c r="N517">
        <f t="shared" si="52"/>
        <v>2E-3</v>
      </c>
      <c r="O517">
        <f t="shared" si="53"/>
        <v>2.2000000000000001E-3</v>
      </c>
      <c r="P517">
        <f t="shared" si="54"/>
        <v>2.3E-3</v>
      </c>
    </row>
    <row r="518" spans="1:16">
      <c r="A518" s="230" t="s">
        <v>1157</v>
      </c>
      <c r="B518" s="147">
        <v>3.39E-2</v>
      </c>
      <c r="C518" s="147">
        <v>5.7500000000000002E-2</v>
      </c>
      <c r="D518" s="147">
        <v>1.0800000000000001E-2</v>
      </c>
      <c r="E518" s="147">
        <v>-6.5000000000000006E-3</v>
      </c>
      <c r="F518" s="147">
        <v>-4.5000000000000005E-3</v>
      </c>
      <c r="G518" s="147">
        <v>9.8500000000000004E-2</v>
      </c>
      <c r="I518" s="27">
        <f t="shared" si="49"/>
        <v>4.2916714391604299E-2</v>
      </c>
      <c r="J518">
        <f t="shared" si="55"/>
        <v>9.5000000000000001E-2</v>
      </c>
      <c r="L518">
        <f t="shared" si="50"/>
        <v>3.04E-2</v>
      </c>
      <c r="M518">
        <f t="shared" si="51"/>
        <v>5.7500000000000002E-2</v>
      </c>
      <c r="N518">
        <f t="shared" si="52"/>
        <v>1.0800000000000001E-2</v>
      </c>
      <c r="O518">
        <f t="shared" si="53"/>
        <v>-6.5000000000000006E-3</v>
      </c>
      <c r="P518">
        <f t="shared" si="54"/>
        <v>-4.5000000000000005E-3</v>
      </c>
    </row>
    <row r="519" spans="1:16">
      <c r="A519" s="230" t="s">
        <v>1158</v>
      </c>
      <c r="B519" s="147">
        <v>4.0000000000000018E-4</v>
      </c>
      <c r="C519" s="147">
        <v>-4.1999999999999997E-3</v>
      </c>
      <c r="D519" s="147">
        <v>-3.4000000000000002E-3</v>
      </c>
      <c r="E519" s="147">
        <v>-5.1000000000000004E-3</v>
      </c>
      <c r="F519" s="147">
        <v>1.9099999999999999E-2</v>
      </c>
      <c r="G519" s="147">
        <v>-5.33E-2</v>
      </c>
      <c r="I519" s="27">
        <f t="shared" si="49"/>
        <v>3.3036626241650976E-2</v>
      </c>
      <c r="J519">
        <f t="shared" si="55"/>
        <v>-5.6800000000000003E-2</v>
      </c>
      <c r="L519">
        <f t="shared" si="50"/>
        <v>-3.0999999999999999E-3</v>
      </c>
      <c r="M519">
        <f t="shared" si="51"/>
        <v>-4.1999999999999997E-3</v>
      </c>
      <c r="N519">
        <f t="shared" si="52"/>
        <v>-3.4000000000000002E-3</v>
      </c>
      <c r="O519">
        <f t="shared" si="53"/>
        <v>-5.1000000000000004E-3</v>
      </c>
      <c r="P519">
        <f t="shared" si="54"/>
        <v>1.9099999999999999E-2</v>
      </c>
    </row>
    <row r="520" spans="1:16">
      <c r="A520" s="230" t="s">
        <v>1159</v>
      </c>
      <c r="B520" s="147">
        <v>1.83E-2</v>
      </c>
      <c r="C520" s="147">
        <v>3.39E-2</v>
      </c>
      <c r="D520" s="147">
        <v>6.0000000000000001E-3</v>
      </c>
      <c r="E520" s="147">
        <v>5.9999999999999995E-4</v>
      </c>
      <c r="F520" s="147">
        <v>-4.0000000000000001E-3</v>
      </c>
      <c r="G520" s="147">
        <v>4.5700000000000005E-2</v>
      </c>
      <c r="I520" s="27">
        <f t="shared" ref="I520:I583" si="56">SUMPRODUCT(B520:F520,$B$4:$F$4)-0.0035</f>
        <v>2.6958824517279364E-2</v>
      </c>
      <c r="J520">
        <f t="shared" si="55"/>
        <v>4.2200000000000001E-2</v>
      </c>
      <c r="L520">
        <f t="shared" ref="L520:L583" si="57">B520-0.0035</f>
        <v>1.4800000000000001E-2</v>
      </c>
      <c r="M520">
        <f t="shared" ref="M520:M583" si="58">C520</f>
        <v>3.39E-2</v>
      </c>
      <c r="N520">
        <f t="shared" ref="N520:N583" si="59">D520</f>
        <v>6.0000000000000001E-3</v>
      </c>
      <c r="O520">
        <f t="shared" ref="O520:O583" si="60">E520</f>
        <v>5.9999999999999995E-4</v>
      </c>
      <c r="P520">
        <f t="shared" ref="P520:P583" si="61">F520</f>
        <v>-4.0000000000000001E-3</v>
      </c>
    </row>
    <row r="521" spans="1:16">
      <c r="A521" s="230" t="s">
        <v>1160</v>
      </c>
      <c r="B521" s="147">
        <v>1.09E-2</v>
      </c>
      <c r="C521" s="147">
        <v>-8.3999999999999995E-3</v>
      </c>
      <c r="D521" s="147">
        <v>2.3400000000000001E-2</v>
      </c>
      <c r="E521" s="147">
        <v>1.8000000000000002E-2</v>
      </c>
      <c r="F521" s="147">
        <v>1E-4</v>
      </c>
      <c r="G521" s="147">
        <v>1.8100000000000002E-2</v>
      </c>
      <c r="I521" s="27">
        <f t="shared" si="56"/>
        <v>2.9935452932797296E-2</v>
      </c>
      <c r="J521">
        <f t="shared" ref="J521:J584" si="62">G521-0.0035</f>
        <v>1.4600000000000002E-2</v>
      </c>
      <c r="L521">
        <f t="shared" si="57"/>
        <v>7.4000000000000003E-3</v>
      </c>
      <c r="M521">
        <f t="shared" si="58"/>
        <v>-8.3999999999999995E-3</v>
      </c>
      <c r="N521">
        <f t="shared" si="59"/>
        <v>2.3400000000000001E-2</v>
      </c>
      <c r="O521">
        <f t="shared" si="60"/>
        <v>1.8000000000000002E-2</v>
      </c>
      <c r="P521">
        <f t="shared" si="61"/>
        <v>1E-4</v>
      </c>
    </row>
    <row r="522" spans="1:16">
      <c r="A522" s="230" t="s">
        <v>1161</v>
      </c>
      <c r="B522" s="147">
        <v>-3.1400000000000004E-2</v>
      </c>
      <c r="C522" s="147">
        <v>-2.8500000000000001E-2</v>
      </c>
      <c r="D522" s="147">
        <v>2.4100000000000003E-2</v>
      </c>
      <c r="E522" s="147">
        <v>1.15E-2</v>
      </c>
      <c r="F522" s="147">
        <v>1.46E-2</v>
      </c>
      <c r="G522" s="147">
        <v>-7.7800000000000008E-2</v>
      </c>
      <c r="I522" s="27">
        <f t="shared" si="56"/>
        <v>-1.4926120033785417E-3</v>
      </c>
      <c r="J522">
        <f t="shared" si="62"/>
        <v>-8.1300000000000011E-2</v>
      </c>
      <c r="L522">
        <f t="shared" si="57"/>
        <v>-3.4900000000000007E-2</v>
      </c>
      <c r="M522">
        <f t="shared" si="58"/>
        <v>-2.8500000000000001E-2</v>
      </c>
      <c r="N522">
        <f t="shared" si="59"/>
        <v>2.4100000000000003E-2</v>
      </c>
      <c r="O522">
        <f t="shared" si="60"/>
        <v>1.15E-2</v>
      </c>
      <c r="P522">
        <f t="shared" si="61"/>
        <v>1.46E-2</v>
      </c>
    </row>
    <row r="523" spans="1:16">
      <c r="A523" s="230" t="s">
        <v>1162</v>
      </c>
      <c r="B523" s="147">
        <v>5.0000000000000044E-4</v>
      </c>
      <c r="C523" s="147">
        <v>-2.3999999999999998E-3</v>
      </c>
      <c r="D523" s="147">
        <v>8.5000000000000006E-3</v>
      </c>
      <c r="E523" s="147">
        <v>1.3200000000000002E-2</v>
      </c>
      <c r="F523" s="147">
        <v>-7.000000000000001E-4</v>
      </c>
      <c r="G523" s="147">
        <v>-4.8999999999999998E-3</v>
      </c>
      <c r="I523" s="27">
        <f t="shared" si="56"/>
        <v>1.5881605793501345E-2</v>
      </c>
      <c r="J523">
        <f t="shared" si="62"/>
        <v>-8.3999999999999995E-3</v>
      </c>
      <c r="L523">
        <f t="shared" si="57"/>
        <v>-2.9999999999999996E-3</v>
      </c>
      <c r="M523">
        <f t="shared" si="58"/>
        <v>-2.3999999999999998E-3</v>
      </c>
      <c r="N523">
        <f t="shared" si="59"/>
        <v>8.5000000000000006E-3</v>
      </c>
      <c r="O523">
        <f t="shared" si="60"/>
        <v>1.3200000000000002E-2</v>
      </c>
      <c r="P523">
        <f t="shared" si="61"/>
        <v>-7.000000000000001E-4</v>
      </c>
    </row>
    <row r="524" spans="1:16">
      <c r="A524" s="230" t="s">
        <v>394</v>
      </c>
      <c r="B524" s="147">
        <v>-3.8000000000000004E-3</v>
      </c>
      <c r="C524" s="147">
        <v>-3.6299999999999999E-2</v>
      </c>
      <c r="D524" s="147">
        <v>2.6000000000000002E-2</v>
      </c>
      <c r="E524" s="147">
        <v>1.6299999999999999E-2</v>
      </c>
      <c r="F524" s="147">
        <v>9.0000000000000011E-3</v>
      </c>
      <c r="G524" s="147">
        <v>-6.3E-2</v>
      </c>
      <c r="I524" s="27">
        <f t="shared" si="56"/>
        <v>1.5395191035619878E-2</v>
      </c>
      <c r="J524">
        <f t="shared" si="62"/>
        <v>-6.6500000000000004E-2</v>
      </c>
      <c r="L524">
        <f t="shared" si="57"/>
        <v>-7.3000000000000009E-3</v>
      </c>
      <c r="M524">
        <f t="shared" si="58"/>
        <v>-3.6299999999999999E-2</v>
      </c>
      <c r="N524">
        <f t="shared" si="59"/>
        <v>2.6000000000000002E-2</v>
      </c>
      <c r="O524">
        <f t="shared" si="60"/>
        <v>1.6299999999999999E-2</v>
      </c>
      <c r="P524">
        <f t="shared" si="61"/>
        <v>9.0000000000000011E-3</v>
      </c>
    </row>
    <row r="525" spans="1:16">
      <c r="A525" s="230" t="s">
        <v>1163</v>
      </c>
      <c r="B525" s="147">
        <v>2.4499999999999997E-2</v>
      </c>
      <c r="C525" s="147">
        <v>4.4000000000000003E-3</v>
      </c>
      <c r="D525" s="147">
        <v>-2.06E-2</v>
      </c>
      <c r="E525" s="147">
        <v>-1.8600000000000002E-2</v>
      </c>
      <c r="F525" s="147">
        <v>2.0899999999999998E-2</v>
      </c>
      <c r="G525" s="147">
        <v>-1.9599999999999999E-2</v>
      </c>
      <c r="I525" s="27">
        <f t="shared" si="56"/>
        <v>4.6329755869834094E-2</v>
      </c>
      <c r="J525">
        <f t="shared" si="62"/>
        <v>-2.3099999999999999E-2</v>
      </c>
      <c r="L525">
        <f t="shared" si="57"/>
        <v>2.0999999999999998E-2</v>
      </c>
      <c r="M525">
        <f t="shared" si="58"/>
        <v>4.4000000000000003E-3</v>
      </c>
      <c r="N525">
        <f t="shared" si="59"/>
        <v>-2.06E-2</v>
      </c>
      <c r="O525">
        <f t="shared" si="60"/>
        <v>-1.8600000000000002E-2</v>
      </c>
      <c r="P525">
        <f t="shared" si="61"/>
        <v>2.0899999999999998E-2</v>
      </c>
    </row>
    <row r="526" spans="1:16">
      <c r="A526" s="230" t="s">
        <v>1164</v>
      </c>
      <c r="B526" s="147">
        <v>2.2499999999999999E-2</v>
      </c>
      <c r="C526" s="147">
        <v>-1.46E-2</v>
      </c>
      <c r="D526" s="147">
        <v>8.0000000000000004E-4</v>
      </c>
      <c r="E526" s="147">
        <v>8.199999999999999E-3</v>
      </c>
      <c r="F526" s="147">
        <v>6.0000000000000001E-3</v>
      </c>
      <c r="G526" s="147">
        <v>2.1299999999999999E-2</v>
      </c>
      <c r="I526" s="27">
        <f t="shared" si="56"/>
        <v>3.9042274651412426E-2</v>
      </c>
      <c r="J526">
        <f t="shared" si="62"/>
        <v>1.78E-2</v>
      </c>
      <c r="L526">
        <f t="shared" si="57"/>
        <v>1.9E-2</v>
      </c>
      <c r="M526">
        <f t="shared" si="58"/>
        <v>-1.46E-2</v>
      </c>
      <c r="N526">
        <f t="shared" si="59"/>
        <v>8.0000000000000004E-4</v>
      </c>
      <c r="O526">
        <f t="shared" si="60"/>
        <v>8.199999999999999E-3</v>
      </c>
      <c r="P526">
        <f t="shared" si="61"/>
        <v>6.0000000000000001E-3</v>
      </c>
    </row>
    <row r="527" spans="1:16">
      <c r="A527" s="230" t="s">
        <v>1165</v>
      </c>
      <c r="B527" s="147">
        <v>3.6400000000000002E-2</v>
      </c>
      <c r="C527" s="147">
        <v>1.9800000000000002E-2</v>
      </c>
      <c r="D527" s="147">
        <v>-3.0999999999999999E-3</v>
      </c>
      <c r="E527" s="147">
        <v>-1.1999999999999999E-3</v>
      </c>
      <c r="F527" s="147">
        <v>2.8000000000000004E-3</v>
      </c>
      <c r="G527" s="147">
        <v>6.4299999999999996E-2</v>
      </c>
      <c r="I527" s="27">
        <f t="shared" si="56"/>
        <v>5.1323749409154927E-2</v>
      </c>
      <c r="J527">
        <f t="shared" si="62"/>
        <v>6.0799999999999993E-2</v>
      </c>
      <c r="L527">
        <f t="shared" si="57"/>
        <v>3.2899999999999999E-2</v>
      </c>
      <c r="M527">
        <f t="shared" si="58"/>
        <v>1.9800000000000002E-2</v>
      </c>
      <c r="N527">
        <f t="shared" si="59"/>
        <v>-3.0999999999999999E-3</v>
      </c>
      <c r="O527">
        <f t="shared" si="60"/>
        <v>-1.1999999999999999E-3</v>
      </c>
      <c r="P527">
        <f t="shared" si="61"/>
        <v>2.8000000000000004E-3</v>
      </c>
    </row>
    <row r="528" spans="1:16">
      <c r="A528" s="230" t="s">
        <v>1166</v>
      </c>
      <c r="B528" s="147">
        <v>2.1299999999999999E-2</v>
      </c>
      <c r="C528" s="147">
        <v>7.0999999999999995E-3</v>
      </c>
      <c r="D528" s="147">
        <v>1.4000000000000002E-3</v>
      </c>
      <c r="E528" s="147">
        <v>1.5E-3</v>
      </c>
      <c r="F528" s="147">
        <v>-8.0000000000000002E-3</v>
      </c>
      <c r="G528" s="147">
        <v>2.2000000000000002E-2</v>
      </c>
      <c r="I528" s="27">
        <f t="shared" si="56"/>
        <v>5.0207845636523127E-3</v>
      </c>
      <c r="J528">
        <f t="shared" si="62"/>
        <v>1.8500000000000003E-2</v>
      </c>
      <c r="L528">
        <f t="shared" si="57"/>
        <v>1.78E-2</v>
      </c>
      <c r="M528">
        <f t="shared" si="58"/>
        <v>7.0999999999999995E-3</v>
      </c>
      <c r="N528">
        <f t="shared" si="59"/>
        <v>1.4000000000000002E-3</v>
      </c>
      <c r="O528">
        <f t="shared" si="60"/>
        <v>1.5E-3</v>
      </c>
      <c r="P528">
        <f t="shared" si="61"/>
        <v>-8.0000000000000002E-3</v>
      </c>
    </row>
    <row r="529" spans="1:16">
      <c r="A529" s="230" t="s">
        <v>1167</v>
      </c>
      <c r="B529" s="147">
        <v>1.2699999999999999E-2</v>
      </c>
      <c r="C529" s="147">
        <v>-8.199999999999999E-3</v>
      </c>
      <c r="D529" s="147">
        <v>2.7300000000000001E-2</v>
      </c>
      <c r="E529" s="147">
        <v>-7.1999999999999998E-3</v>
      </c>
      <c r="F529" s="147">
        <v>2.06E-2</v>
      </c>
      <c r="G529" s="147">
        <v>8.3999999999999995E-3</v>
      </c>
      <c r="I529" s="27">
        <f t="shared" si="56"/>
        <v>3.6213895552161604E-2</v>
      </c>
      <c r="J529">
        <f t="shared" si="62"/>
        <v>4.8999999999999998E-3</v>
      </c>
      <c r="L529">
        <f t="shared" si="57"/>
        <v>9.1999999999999998E-3</v>
      </c>
      <c r="M529">
        <f t="shared" si="58"/>
        <v>-8.199999999999999E-3</v>
      </c>
      <c r="N529">
        <f t="shared" si="59"/>
        <v>2.7300000000000001E-2</v>
      </c>
      <c r="O529">
        <f t="shared" si="60"/>
        <v>-7.1999999999999998E-3</v>
      </c>
      <c r="P529">
        <f t="shared" si="61"/>
        <v>2.06E-2</v>
      </c>
    </row>
    <row r="530" spans="1:16">
      <c r="A530" s="230" t="s">
        <v>1168</v>
      </c>
      <c r="B530" s="147">
        <v>1.84E-2</v>
      </c>
      <c r="C530" s="147">
        <v>7.000000000000001E-4</v>
      </c>
      <c r="D530" s="147">
        <v>-6.8000000000000005E-3</v>
      </c>
      <c r="E530" s="147">
        <v>2.6000000000000003E-3</v>
      </c>
      <c r="F530" s="147">
        <v>3.8E-3</v>
      </c>
      <c r="G530" s="147">
        <v>2.92E-2</v>
      </c>
      <c r="I530" s="27">
        <f t="shared" si="56"/>
        <v>3.0940196134511117E-2</v>
      </c>
      <c r="J530">
        <f t="shared" si="62"/>
        <v>2.5700000000000001E-2</v>
      </c>
      <c r="L530">
        <f t="shared" si="57"/>
        <v>1.49E-2</v>
      </c>
      <c r="M530">
        <f t="shared" si="58"/>
        <v>7.000000000000001E-4</v>
      </c>
      <c r="N530">
        <f t="shared" si="59"/>
        <v>-6.8000000000000005E-3</v>
      </c>
      <c r="O530">
        <f t="shared" si="60"/>
        <v>2.6000000000000003E-3</v>
      </c>
      <c r="P530">
        <f t="shared" si="61"/>
        <v>3.8E-3</v>
      </c>
    </row>
    <row r="531" spans="1:16">
      <c r="A531" s="230" t="s">
        <v>1169</v>
      </c>
      <c r="B531" s="147">
        <v>-1.5799999999999998E-2</v>
      </c>
      <c r="C531" s="147">
        <v>1.29E-2</v>
      </c>
      <c r="D531" s="147">
        <v>-1.4000000000000002E-3</v>
      </c>
      <c r="E531" s="147">
        <v>-5.1000000000000004E-3</v>
      </c>
      <c r="F531" s="147">
        <v>-7.0999999999999995E-3</v>
      </c>
      <c r="G531" s="147">
        <v>-2.7900000000000001E-2</v>
      </c>
      <c r="I531" s="27">
        <f t="shared" si="56"/>
        <v>-3.7436202566266591E-2</v>
      </c>
      <c r="J531">
        <f t="shared" si="62"/>
        <v>-3.1400000000000004E-2</v>
      </c>
      <c r="L531">
        <f t="shared" si="57"/>
        <v>-1.9299999999999998E-2</v>
      </c>
      <c r="M531">
        <f t="shared" si="58"/>
        <v>1.29E-2</v>
      </c>
      <c r="N531">
        <f t="shared" si="59"/>
        <v>-1.4000000000000002E-3</v>
      </c>
      <c r="O531">
        <f t="shared" si="60"/>
        <v>-5.1000000000000004E-3</v>
      </c>
      <c r="P531">
        <f t="shared" si="61"/>
        <v>-7.0999999999999995E-3</v>
      </c>
    </row>
    <row r="532" spans="1:16">
      <c r="A532" s="230" t="s">
        <v>1170</v>
      </c>
      <c r="B532" s="147">
        <v>1.11E-2</v>
      </c>
      <c r="C532" s="147">
        <v>2E-3</v>
      </c>
      <c r="D532" s="147">
        <v>-9.7000000000000003E-3</v>
      </c>
      <c r="E532" s="147">
        <v>6.4000000000000003E-3</v>
      </c>
      <c r="F532" s="147">
        <v>-6.5000000000000006E-3</v>
      </c>
      <c r="G532" s="147">
        <v>2.2200000000000001E-2</v>
      </c>
      <c r="I532" s="27">
        <f t="shared" si="56"/>
        <v>6.4138197351849072E-3</v>
      </c>
      <c r="J532">
        <f t="shared" si="62"/>
        <v>1.8700000000000001E-2</v>
      </c>
      <c r="L532">
        <f t="shared" si="57"/>
        <v>7.6000000000000009E-3</v>
      </c>
      <c r="M532">
        <f t="shared" si="58"/>
        <v>2E-3</v>
      </c>
      <c r="N532">
        <f t="shared" si="59"/>
        <v>-9.7000000000000003E-3</v>
      </c>
      <c r="O532">
        <f t="shared" si="60"/>
        <v>6.4000000000000003E-3</v>
      </c>
      <c r="P532">
        <f t="shared" si="61"/>
        <v>-6.5000000000000006E-3</v>
      </c>
    </row>
    <row r="533" spans="1:16">
      <c r="A533" s="230" t="s">
        <v>1171</v>
      </c>
      <c r="B533" s="147">
        <v>3.9300000000000002E-2</v>
      </c>
      <c r="C533" s="147">
        <v>-2.0400000000000001E-2</v>
      </c>
      <c r="D533" s="147">
        <v>-1.4499999999999999E-2</v>
      </c>
      <c r="E533" s="147">
        <v>1.15E-2</v>
      </c>
      <c r="F533" s="147">
        <v>1.03E-2</v>
      </c>
      <c r="G533" s="147">
        <v>2.1499999999999998E-2</v>
      </c>
      <c r="I533" s="27">
        <f t="shared" si="56"/>
        <v>7.1902379205996625E-2</v>
      </c>
      <c r="J533">
        <f t="shared" si="62"/>
        <v>1.7999999999999999E-2</v>
      </c>
      <c r="L533">
        <f t="shared" si="57"/>
        <v>3.5799999999999998E-2</v>
      </c>
      <c r="M533">
        <f t="shared" si="58"/>
        <v>-2.0400000000000001E-2</v>
      </c>
      <c r="N533">
        <f t="shared" si="59"/>
        <v>-1.4499999999999999E-2</v>
      </c>
      <c r="O533">
        <f t="shared" si="60"/>
        <v>1.15E-2</v>
      </c>
      <c r="P533">
        <f t="shared" si="61"/>
        <v>1.03E-2</v>
      </c>
    </row>
    <row r="534" spans="1:16">
      <c r="A534" s="230" t="s">
        <v>1172</v>
      </c>
      <c r="B534" s="147">
        <v>3.6500000000000005E-2</v>
      </c>
      <c r="C534" s="147">
        <v>4.0000000000000001E-3</v>
      </c>
      <c r="D534" s="147">
        <v>-6.5000000000000006E-3</v>
      </c>
      <c r="E534" s="147">
        <v>1.5800000000000002E-2</v>
      </c>
      <c r="F534" s="147">
        <v>-1.3700000000000002E-2</v>
      </c>
      <c r="G534" s="147">
        <v>5.3499999999999999E-2</v>
      </c>
      <c r="I534" s="27">
        <f t="shared" si="56"/>
        <v>3.1643648643043011E-2</v>
      </c>
      <c r="J534">
        <f t="shared" si="62"/>
        <v>4.9999999999999996E-2</v>
      </c>
      <c r="L534">
        <f t="shared" si="57"/>
        <v>3.3000000000000002E-2</v>
      </c>
      <c r="M534">
        <f t="shared" si="58"/>
        <v>4.0000000000000001E-3</v>
      </c>
      <c r="N534">
        <f t="shared" si="59"/>
        <v>-6.5000000000000006E-3</v>
      </c>
      <c r="O534">
        <f t="shared" si="60"/>
        <v>1.5800000000000002E-2</v>
      </c>
      <c r="P534">
        <f t="shared" si="61"/>
        <v>-1.3700000000000002E-2</v>
      </c>
    </row>
    <row r="535" spans="1:16">
      <c r="A535" s="230" t="s">
        <v>1173</v>
      </c>
      <c r="B535" s="147">
        <v>-1.5599999999999999E-2</v>
      </c>
      <c r="C535" s="147">
        <v>7.4000000000000003E-3</v>
      </c>
      <c r="D535" s="147">
        <v>-1.0500000000000001E-2</v>
      </c>
      <c r="E535" s="147">
        <v>5.3E-3</v>
      </c>
      <c r="F535" s="147">
        <v>8.0000000000000004E-4</v>
      </c>
      <c r="G535" s="147">
        <v>-1.17E-2</v>
      </c>
      <c r="I535" s="27">
        <f t="shared" si="56"/>
        <v>-4.3741530155552667E-4</v>
      </c>
      <c r="J535">
        <f t="shared" si="62"/>
        <v>-1.52E-2</v>
      </c>
      <c r="L535">
        <f t="shared" si="57"/>
        <v>-1.9099999999999999E-2</v>
      </c>
      <c r="M535">
        <f t="shared" si="58"/>
        <v>7.4000000000000003E-3</v>
      </c>
      <c r="N535">
        <f t="shared" si="59"/>
        <v>-1.0500000000000001E-2</v>
      </c>
      <c r="O535">
        <f t="shared" si="60"/>
        <v>5.3E-3</v>
      </c>
      <c r="P535">
        <f t="shared" si="61"/>
        <v>8.0000000000000004E-4</v>
      </c>
    </row>
    <row r="536" spans="1:16">
      <c r="A536" s="230" t="s">
        <v>1174</v>
      </c>
      <c r="B536" s="147">
        <v>-3.3299999999999996E-2</v>
      </c>
      <c r="C536" s="147">
        <v>-2.9900000000000003E-2</v>
      </c>
      <c r="D536" s="147">
        <v>-3.7100000000000001E-2</v>
      </c>
      <c r="E536" s="147">
        <v>2E-3</v>
      </c>
      <c r="F536" s="147">
        <v>-1.1299999999999999E-2</v>
      </c>
      <c r="G536" s="147">
        <v>-1.49E-2</v>
      </c>
      <c r="I536" s="27">
        <f t="shared" si="56"/>
        <v>-7.3124890657328467E-2</v>
      </c>
      <c r="J536">
        <f t="shared" si="62"/>
        <v>-1.84E-2</v>
      </c>
      <c r="L536">
        <f t="shared" si="57"/>
        <v>-3.6799999999999999E-2</v>
      </c>
      <c r="M536">
        <f t="shared" si="58"/>
        <v>-2.9900000000000003E-2</v>
      </c>
      <c r="N536">
        <f t="shared" si="59"/>
        <v>-3.7100000000000001E-2</v>
      </c>
      <c r="O536">
        <f t="shared" si="60"/>
        <v>2E-3</v>
      </c>
      <c r="P536">
        <f t="shared" si="61"/>
        <v>-1.1299999999999999E-2</v>
      </c>
    </row>
    <row r="537" spans="1:16">
      <c r="A537" s="230" t="s">
        <v>395</v>
      </c>
      <c r="B537" s="147">
        <v>1.3399999999999999E-2</v>
      </c>
      <c r="C537" s="147">
        <v>-3.8E-3</v>
      </c>
      <c r="D537" s="147">
        <v>-1.8600000000000002E-2</v>
      </c>
      <c r="E537" s="147">
        <v>-1.21E-2</v>
      </c>
      <c r="F537" s="147">
        <v>-5.4000000000000003E-3</v>
      </c>
      <c r="G537" s="147">
        <v>1.8700000000000001E-2</v>
      </c>
      <c r="I537" s="27">
        <f t="shared" si="56"/>
        <v>-2.4099236048940379E-2</v>
      </c>
      <c r="J537">
        <f t="shared" si="62"/>
        <v>1.5200000000000002E-2</v>
      </c>
      <c r="L537">
        <f t="shared" si="57"/>
        <v>9.8999999999999991E-3</v>
      </c>
      <c r="M537">
        <f t="shared" si="58"/>
        <v>-3.8E-3</v>
      </c>
      <c r="N537">
        <f t="shared" si="59"/>
        <v>-1.8600000000000002E-2</v>
      </c>
      <c r="O537">
        <f t="shared" si="60"/>
        <v>-1.21E-2</v>
      </c>
      <c r="P537">
        <f t="shared" si="61"/>
        <v>-5.4000000000000003E-3</v>
      </c>
    </row>
    <row r="538" spans="1:16">
      <c r="A538" s="230" t="s">
        <v>1175</v>
      </c>
      <c r="B538" s="147">
        <v>3.5400000000000001E-2</v>
      </c>
      <c r="C538" s="147">
        <v>-2.4400000000000002E-2</v>
      </c>
      <c r="D538" s="147">
        <v>-2.2100000000000002E-2</v>
      </c>
      <c r="E538" s="147">
        <v>-5.2000000000000006E-3</v>
      </c>
      <c r="F538" s="147">
        <v>-3.0200000000000001E-2</v>
      </c>
      <c r="G538" s="147">
        <v>7.7699999999999991E-2</v>
      </c>
      <c r="I538" s="27">
        <f t="shared" si="56"/>
        <v>-6.3969150695963609E-2</v>
      </c>
      <c r="J538">
        <f t="shared" si="62"/>
        <v>7.4199999999999988E-2</v>
      </c>
      <c r="L538">
        <f t="shared" si="57"/>
        <v>3.1899999999999998E-2</v>
      </c>
      <c r="M538">
        <f t="shared" si="58"/>
        <v>-2.4400000000000002E-2</v>
      </c>
      <c r="N538">
        <f t="shared" si="59"/>
        <v>-2.2100000000000002E-2</v>
      </c>
      <c r="O538">
        <f t="shared" si="60"/>
        <v>-5.2000000000000006E-3</v>
      </c>
      <c r="P538">
        <f t="shared" si="61"/>
        <v>-3.0200000000000001E-2</v>
      </c>
    </row>
    <row r="539" spans="1:16">
      <c r="A539" s="230" t="s">
        <v>1176</v>
      </c>
      <c r="B539" s="147">
        <v>2.1200000000000004E-2</v>
      </c>
      <c r="C539" s="147">
        <v>-8.0000000000000004E-4</v>
      </c>
      <c r="D539" s="147">
        <v>-2.98E-2</v>
      </c>
      <c r="E539" s="147">
        <v>-2.8999999999999998E-3</v>
      </c>
      <c r="F539" s="147">
        <v>-8.9999999999999998E-4</v>
      </c>
      <c r="G539" s="147">
        <v>7.5999999999999998E-2</v>
      </c>
      <c r="I539" s="27">
        <f t="shared" si="56"/>
        <v>1.5893874228616628E-2</v>
      </c>
      <c r="J539">
        <f t="shared" si="62"/>
        <v>7.2499999999999995E-2</v>
      </c>
      <c r="L539">
        <f t="shared" si="57"/>
        <v>1.7700000000000004E-2</v>
      </c>
      <c r="M539">
        <f t="shared" si="58"/>
        <v>-8.0000000000000004E-4</v>
      </c>
      <c r="N539">
        <f t="shared" si="59"/>
        <v>-2.98E-2</v>
      </c>
      <c r="O539">
        <f t="shared" si="60"/>
        <v>-2.8999999999999998E-3</v>
      </c>
      <c r="P539">
        <f t="shared" si="61"/>
        <v>-8.9999999999999998E-4</v>
      </c>
    </row>
    <row r="540" spans="1:16">
      <c r="A540" s="230" t="s">
        <v>1177</v>
      </c>
      <c r="B540" s="147">
        <v>-4.4900000000000002E-2</v>
      </c>
      <c r="C540" s="147">
        <v>-3.0200000000000001E-2</v>
      </c>
      <c r="D540" s="147">
        <v>-9.4000000000000004E-3</v>
      </c>
      <c r="E540" s="147">
        <v>1.89E-2</v>
      </c>
      <c r="F540" s="147">
        <v>-2.8999999999999998E-3</v>
      </c>
      <c r="G540" s="147">
        <v>-5.9699999999999996E-2</v>
      </c>
      <c r="I540" s="27">
        <f t="shared" si="56"/>
        <v>-3.9148508970267774E-2</v>
      </c>
      <c r="J540">
        <f t="shared" si="62"/>
        <v>-6.3199999999999992E-2</v>
      </c>
      <c r="L540">
        <f t="shared" si="57"/>
        <v>-4.8400000000000006E-2</v>
      </c>
      <c r="M540">
        <f t="shared" si="58"/>
        <v>-3.0200000000000001E-2</v>
      </c>
      <c r="N540">
        <f t="shared" si="59"/>
        <v>-9.4000000000000004E-3</v>
      </c>
      <c r="O540">
        <f t="shared" si="60"/>
        <v>1.89E-2</v>
      </c>
      <c r="P540">
        <f t="shared" si="61"/>
        <v>-2.8999999999999998E-3</v>
      </c>
    </row>
    <row r="541" spans="1:16">
      <c r="A541" s="230" t="s">
        <v>1178</v>
      </c>
      <c r="B541" s="147">
        <v>-5.9999999999999993E-3</v>
      </c>
      <c r="C541" s="147">
        <v>1.5E-3</v>
      </c>
      <c r="D541" s="147">
        <v>-5.5000000000000005E-3</v>
      </c>
      <c r="E541" s="147">
        <v>8.6999999999999994E-3</v>
      </c>
      <c r="F541" s="147">
        <v>-1.0500000000000001E-2</v>
      </c>
      <c r="G541" s="147">
        <v>4.3099999999999999E-2</v>
      </c>
      <c r="I541" s="27">
        <f t="shared" si="56"/>
        <v>-1.7650867050555269E-2</v>
      </c>
      <c r="J541">
        <f t="shared" si="62"/>
        <v>3.9599999999999996E-2</v>
      </c>
      <c r="L541">
        <f t="shared" si="57"/>
        <v>-9.4999999999999998E-3</v>
      </c>
      <c r="M541">
        <f t="shared" si="58"/>
        <v>1.5E-3</v>
      </c>
      <c r="N541">
        <f t="shared" si="59"/>
        <v>-5.5000000000000005E-3</v>
      </c>
      <c r="O541">
        <f t="shared" si="60"/>
        <v>8.6999999999999994E-3</v>
      </c>
      <c r="P541">
        <f t="shared" si="61"/>
        <v>-1.0500000000000001E-2</v>
      </c>
    </row>
    <row r="542" spans="1:16">
      <c r="A542" s="230" t="s">
        <v>1179</v>
      </c>
      <c r="B542" s="147">
        <v>-6.1500000000000006E-2</v>
      </c>
      <c r="C542" s="147">
        <v>-6.5000000000000006E-3</v>
      </c>
      <c r="D542" s="147">
        <v>3.9700000000000006E-2</v>
      </c>
      <c r="E542" s="147">
        <v>2.1499999999999998E-2</v>
      </c>
      <c r="F542" s="147">
        <v>2.1400000000000002E-2</v>
      </c>
      <c r="G542" s="147">
        <v>-0.1318</v>
      </c>
      <c r="I542" s="27">
        <f t="shared" si="56"/>
        <v>1.4646887679758507E-2</v>
      </c>
      <c r="J542">
        <f t="shared" si="62"/>
        <v>-0.1353</v>
      </c>
      <c r="L542">
        <f t="shared" si="57"/>
        <v>-6.5000000000000002E-2</v>
      </c>
      <c r="M542">
        <f t="shared" si="58"/>
        <v>-6.5000000000000006E-3</v>
      </c>
      <c r="N542">
        <f t="shared" si="59"/>
        <v>3.9700000000000006E-2</v>
      </c>
      <c r="O542">
        <f t="shared" si="60"/>
        <v>2.1499999999999998E-2</v>
      </c>
      <c r="P542">
        <f t="shared" si="61"/>
        <v>2.1400000000000002E-2</v>
      </c>
    </row>
    <row r="543" spans="1:16">
      <c r="A543" s="230" t="s">
        <v>1180</v>
      </c>
      <c r="B543" s="147">
        <v>-2.9600000000000001E-2</v>
      </c>
      <c r="C543" s="147">
        <v>-6.6000000000000008E-3</v>
      </c>
      <c r="D543" s="147">
        <v>-8.3999999999999995E-3</v>
      </c>
      <c r="E543" s="147">
        <v>8.6999999999999994E-3</v>
      </c>
      <c r="F543" s="147">
        <v>-9.1999999999999998E-3</v>
      </c>
      <c r="G543" s="147">
        <v>2.0499999999999997E-2</v>
      </c>
      <c r="I543" s="27">
        <f t="shared" si="56"/>
        <v>-4.2734469785686548E-2</v>
      </c>
      <c r="J543">
        <f t="shared" si="62"/>
        <v>1.6999999999999998E-2</v>
      </c>
      <c r="L543">
        <f t="shared" si="57"/>
        <v>-3.3100000000000004E-2</v>
      </c>
      <c r="M543">
        <f t="shared" si="58"/>
        <v>-6.6000000000000008E-3</v>
      </c>
      <c r="N543">
        <f t="shared" si="59"/>
        <v>-8.3999999999999995E-3</v>
      </c>
      <c r="O543">
        <f t="shared" si="60"/>
        <v>8.6999999999999994E-3</v>
      </c>
      <c r="P543">
        <f t="shared" si="61"/>
        <v>-9.1999999999999998E-3</v>
      </c>
    </row>
    <row r="544" spans="1:16">
      <c r="A544" s="230" t="s">
        <v>1181</v>
      </c>
      <c r="B544" s="147">
        <v>-7.6000000000000009E-3</v>
      </c>
      <c r="C544" s="147">
        <v>5.6000000000000008E-3</v>
      </c>
      <c r="D544" s="147">
        <v>3.0000000000000001E-3</v>
      </c>
      <c r="E544" s="147">
        <v>7.9000000000000008E-3</v>
      </c>
      <c r="F544" s="147">
        <v>5.0000000000000001E-3</v>
      </c>
      <c r="G544" s="147">
        <v>-3.4000000000000002E-3</v>
      </c>
      <c r="I544" s="27">
        <f t="shared" si="56"/>
        <v>1.8717087935883267E-2</v>
      </c>
      <c r="J544">
        <f t="shared" si="62"/>
        <v>-6.8999999999999999E-3</v>
      </c>
      <c r="L544">
        <f t="shared" si="57"/>
        <v>-1.11E-2</v>
      </c>
      <c r="M544">
        <f t="shared" si="58"/>
        <v>5.6000000000000008E-3</v>
      </c>
      <c r="N544">
        <f t="shared" si="59"/>
        <v>3.0000000000000001E-3</v>
      </c>
      <c r="O544">
        <f t="shared" si="60"/>
        <v>7.9000000000000008E-3</v>
      </c>
      <c r="P544">
        <f t="shared" si="61"/>
        <v>5.0000000000000001E-3</v>
      </c>
    </row>
    <row r="545" spans="1:16">
      <c r="A545" s="230" t="s">
        <v>1182</v>
      </c>
      <c r="B545" s="147">
        <v>4.7800000000000002E-2</v>
      </c>
      <c r="C545" s="147">
        <v>-1.2E-2</v>
      </c>
      <c r="D545" s="147">
        <v>-9.4000000000000004E-3</v>
      </c>
      <c r="E545" s="147">
        <v>1.6299999999999999E-2</v>
      </c>
      <c r="F545" s="147">
        <v>-2.4700000000000003E-2</v>
      </c>
      <c r="G545" s="147">
        <v>9.6799999999999997E-2</v>
      </c>
      <c r="I545" s="27">
        <f t="shared" si="56"/>
        <v>6.6268637768950762E-3</v>
      </c>
      <c r="J545">
        <f t="shared" si="62"/>
        <v>9.3299999999999994E-2</v>
      </c>
      <c r="L545">
        <f t="shared" si="57"/>
        <v>4.4299999999999999E-2</v>
      </c>
      <c r="M545">
        <f t="shared" si="58"/>
        <v>-1.2E-2</v>
      </c>
      <c r="N545">
        <f t="shared" si="59"/>
        <v>-9.4000000000000004E-3</v>
      </c>
      <c r="O545">
        <f t="shared" si="60"/>
        <v>1.6299999999999999E-2</v>
      </c>
      <c r="P545">
        <f t="shared" si="61"/>
        <v>-2.4700000000000003E-2</v>
      </c>
    </row>
    <row r="546" spans="1:16">
      <c r="A546" s="230" t="s">
        <v>1183</v>
      </c>
      <c r="B546" s="147">
        <v>2.0400000000000001E-2</v>
      </c>
      <c r="C546" s="147">
        <v>3.0200000000000001E-2</v>
      </c>
      <c r="D546" s="147">
        <v>-1.43E-2</v>
      </c>
      <c r="E546" s="147">
        <v>9.300000000000001E-3</v>
      </c>
      <c r="F546" s="147">
        <v>-5.9999999999999995E-4</v>
      </c>
      <c r="G546" s="147">
        <v>6.9199999999999998E-2</v>
      </c>
      <c r="I546" s="27">
        <f t="shared" si="56"/>
        <v>5.5112100609445977E-2</v>
      </c>
      <c r="J546">
        <f t="shared" si="62"/>
        <v>6.5699999999999995E-2</v>
      </c>
      <c r="L546">
        <f t="shared" si="57"/>
        <v>1.6900000000000002E-2</v>
      </c>
      <c r="M546">
        <f t="shared" si="58"/>
        <v>3.0200000000000001E-2</v>
      </c>
      <c r="N546">
        <f t="shared" si="59"/>
        <v>-1.43E-2</v>
      </c>
      <c r="O546">
        <f t="shared" si="60"/>
        <v>9.300000000000001E-3</v>
      </c>
      <c r="P546">
        <f t="shared" si="61"/>
        <v>-5.9999999999999995E-4</v>
      </c>
    </row>
    <row r="547" spans="1:16">
      <c r="A547" s="230" t="s">
        <v>1184</v>
      </c>
      <c r="B547" s="147">
        <v>-8.2699999999999996E-2</v>
      </c>
      <c r="C547" s="147">
        <v>1.18E-2</v>
      </c>
      <c r="D547" s="147">
        <v>-2.7099999999999999E-2</v>
      </c>
      <c r="E547" s="147">
        <v>4.9599999999999998E-2</v>
      </c>
      <c r="F547" s="147">
        <v>-5.5000000000000005E-3</v>
      </c>
      <c r="G547" s="147">
        <v>-4.8999999999999998E-3</v>
      </c>
      <c r="I547" s="27">
        <f t="shared" si="56"/>
        <v>3.6145398903124622E-3</v>
      </c>
      <c r="J547">
        <f t="shared" si="62"/>
        <v>-8.3999999999999995E-3</v>
      </c>
      <c r="L547">
        <f t="shared" si="57"/>
        <v>-8.6199999999999999E-2</v>
      </c>
      <c r="M547">
        <f t="shared" si="58"/>
        <v>1.18E-2</v>
      </c>
      <c r="N547">
        <f t="shared" si="59"/>
        <v>-2.7099999999999999E-2</v>
      </c>
      <c r="O547">
        <f t="shared" si="60"/>
        <v>4.9599999999999998E-2</v>
      </c>
      <c r="P547">
        <f t="shared" si="61"/>
        <v>-5.5000000000000005E-3</v>
      </c>
    </row>
    <row r="548" spans="1:16">
      <c r="A548" s="230" t="s">
        <v>1185</v>
      </c>
      <c r="B548" s="147">
        <v>-6.2000000000000006E-3</v>
      </c>
      <c r="C548" s="147">
        <v>3.7200000000000004E-2</v>
      </c>
      <c r="D548" s="147">
        <v>5.4199999999999998E-2</v>
      </c>
      <c r="E548" s="147">
        <v>-1.3600000000000001E-2</v>
      </c>
      <c r="F548" s="147">
        <v>1.06E-2</v>
      </c>
      <c r="G548" s="147">
        <v>-9.3399999999999997E-2</v>
      </c>
      <c r="I548" s="27">
        <f t="shared" si="56"/>
        <v>5.0440627468256241E-3</v>
      </c>
      <c r="J548">
        <f t="shared" si="62"/>
        <v>-9.69E-2</v>
      </c>
      <c r="L548">
        <f t="shared" si="57"/>
        <v>-9.7000000000000003E-3</v>
      </c>
      <c r="M548">
        <f t="shared" si="58"/>
        <v>3.7200000000000004E-2</v>
      </c>
      <c r="N548">
        <f t="shared" si="59"/>
        <v>5.4199999999999998E-2</v>
      </c>
      <c r="O548">
        <f t="shared" si="60"/>
        <v>-1.3600000000000001E-2</v>
      </c>
      <c r="P548">
        <f t="shared" si="61"/>
        <v>1.06E-2</v>
      </c>
    </row>
    <row r="549" spans="1:16">
      <c r="A549" s="230" t="s">
        <v>1186</v>
      </c>
      <c r="B549" s="147">
        <v>1.66E-2</v>
      </c>
      <c r="C549" s="147">
        <v>3.4599999999999999E-2</v>
      </c>
      <c r="D549" s="147">
        <v>1.5900000000000001E-2</v>
      </c>
      <c r="E549" s="147">
        <v>1.8600000000000002E-2</v>
      </c>
      <c r="F549" s="147">
        <v>8.3999999999999995E-3</v>
      </c>
      <c r="G549" s="147">
        <v>-2.8799999999999999E-2</v>
      </c>
      <c r="I549" s="27">
        <f t="shared" si="56"/>
        <v>8.7141627813463352E-2</v>
      </c>
      <c r="J549">
        <f t="shared" si="62"/>
        <v>-3.2300000000000002E-2</v>
      </c>
      <c r="L549">
        <f t="shared" si="57"/>
        <v>1.3100000000000001E-2</v>
      </c>
      <c r="M549">
        <f t="shared" si="58"/>
        <v>3.4599999999999999E-2</v>
      </c>
      <c r="N549">
        <f t="shared" si="59"/>
        <v>1.5900000000000001E-2</v>
      </c>
      <c r="O549">
        <f t="shared" si="60"/>
        <v>1.8600000000000002E-2</v>
      </c>
      <c r="P549">
        <f t="shared" si="61"/>
        <v>8.3999999999999995E-3</v>
      </c>
    </row>
    <row r="550" spans="1:16">
      <c r="A550" s="230" t="s">
        <v>396</v>
      </c>
      <c r="B550" s="147">
        <v>-9.0900000000000009E-2</v>
      </c>
      <c r="C550" s="147">
        <v>2.5000000000000001E-3</v>
      </c>
      <c r="D550" s="147">
        <v>5.91E-2</v>
      </c>
      <c r="E550" s="147">
        <v>2.4199999999999999E-2</v>
      </c>
      <c r="F550" s="147">
        <v>1.78E-2</v>
      </c>
      <c r="G550" s="147">
        <v>-0.15230000000000002</v>
      </c>
      <c r="I550" s="27">
        <f t="shared" si="56"/>
        <v>-1.6933434966729315E-2</v>
      </c>
      <c r="J550">
        <f t="shared" si="62"/>
        <v>-0.15580000000000002</v>
      </c>
      <c r="L550">
        <f t="shared" si="57"/>
        <v>-9.4400000000000012E-2</v>
      </c>
      <c r="M550">
        <f t="shared" si="58"/>
        <v>2.5000000000000001E-3</v>
      </c>
      <c r="N550">
        <f t="shared" si="59"/>
        <v>5.91E-2</v>
      </c>
      <c r="O550">
        <f t="shared" si="60"/>
        <v>2.4199999999999999E-2</v>
      </c>
      <c r="P550">
        <f t="shared" si="61"/>
        <v>1.78E-2</v>
      </c>
    </row>
    <row r="551" spans="1:16">
      <c r="A551" s="230" t="s">
        <v>1187</v>
      </c>
      <c r="B551" s="147">
        <v>-0.17150000000000001</v>
      </c>
      <c r="C551" s="147">
        <v>-3.3399999999999999E-2</v>
      </c>
      <c r="D551" s="147">
        <v>-2.3E-2</v>
      </c>
      <c r="E551" s="147">
        <v>3.04E-2</v>
      </c>
      <c r="F551" s="147">
        <v>2.0499999999999997E-2</v>
      </c>
      <c r="G551" s="147">
        <v>-0.15160000000000001</v>
      </c>
      <c r="I551" s="27">
        <f t="shared" si="56"/>
        <v>-8.5999375019010865E-2</v>
      </c>
      <c r="J551">
        <f t="shared" si="62"/>
        <v>-0.15510000000000002</v>
      </c>
      <c r="L551">
        <f t="shared" si="57"/>
        <v>-0.17500000000000002</v>
      </c>
      <c r="M551">
        <f t="shared" si="58"/>
        <v>-3.3399999999999999E-2</v>
      </c>
      <c r="N551">
        <f t="shared" si="59"/>
        <v>-2.3E-2</v>
      </c>
      <c r="O551">
        <f t="shared" si="60"/>
        <v>3.04E-2</v>
      </c>
      <c r="P551">
        <f t="shared" si="61"/>
        <v>2.0499999999999997E-2</v>
      </c>
    </row>
    <row r="552" spans="1:16">
      <c r="A552" s="230" t="s">
        <v>1188</v>
      </c>
      <c r="B552" s="147">
        <v>-7.8300000000000008E-2</v>
      </c>
      <c r="C552" s="147">
        <v>-3.9E-2</v>
      </c>
      <c r="D552" s="147">
        <v>-6.3100000000000003E-2</v>
      </c>
      <c r="E552" s="147">
        <v>4.53E-2</v>
      </c>
      <c r="F552" s="147">
        <v>2.75E-2</v>
      </c>
      <c r="G552" s="147">
        <v>-7.5400000000000009E-2</v>
      </c>
      <c r="I552" s="27">
        <f t="shared" si="56"/>
        <v>5.6341547654424298E-2</v>
      </c>
      <c r="J552">
        <f t="shared" si="62"/>
        <v>-7.8900000000000012E-2</v>
      </c>
      <c r="L552">
        <f t="shared" si="57"/>
        <v>-8.1800000000000012E-2</v>
      </c>
      <c r="M552">
        <f t="shared" si="58"/>
        <v>-3.9E-2</v>
      </c>
      <c r="N552">
        <f t="shared" si="59"/>
        <v>-6.3100000000000003E-2</v>
      </c>
      <c r="O552">
        <f t="shared" si="60"/>
        <v>4.53E-2</v>
      </c>
      <c r="P552">
        <f t="shared" si="61"/>
        <v>2.75E-2</v>
      </c>
    </row>
    <row r="553" spans="1:16">
      <c r="A553" s="230" t="s">
        <v>1189</v>
      </c>
      <c r="B553" s="147">
        <v>1.7399999999999999E-2</v>
      </c>
      <c r="C553" s="147">
        <v>3.2899999999999999E-2</v>
      </c>
      <c r="D553" s="147">
        <v>1.4000000000000002E-3</v>
      </c>
      <c r="E553" s="147">
        <v>7.000000000000001E-4</v>
      </c>
      <c r="F553" s="147">
        <v>-1.4999999999999999E-2</v>
      </c>
      <c r="G553" s="147">
        <v>8.0000000000000002E-3</v>
      </c>
      <c r="I553" s="27">
        <f t="shared" si="56"/>
        <v>-7.8071982439034378E-4</v>
      </c>
      <c r="J553">
        <f t="shared" si="62"/>
        <v>4.5000000000000005E-3</v>
      </c>
      <c r="L553">
        <f t="shared" si="57"/>
        <v>1.3899999999999999E-2</v>
      </c>
      <c r="M553">
        <f t="shared" si="58"/>
        <v>3.2899999999999999E-2</v>
      </c>
      <c r="N553">
        <f t="shared" si="59"/>
        <v>1.4000000000000002E-3</v>
      </c>
      <c r="O553">
        <f t="shared" si="60"/>
        <v>7.000000000000001E-4</v>
      </c>
      <c r="P553">
        <f t="shared" si="61"/>
        <v>-1.4999999999999999E-2</v>
      </c>
    </row>
    <row r="554" spans="1:16">
      <c r="A554" s="230" t="s">
        <v>1190</v>
      </c>
      <c r="B554" s="147">
        <v>-8.1199999999999994E-2</v>
      </c>
      <c r="C554" s="147">
        <v>-2.1400000000000002E-2</v>
      </c>
      <c r="D554" s="147">
        <v>-0.1129</v>
      </c>
      <c r="E554" s="147">
        <v>1.8E-3</v>
      </c>
      <c r="F554" s="147">
        <v>-1.1599999999999999E-2</v>
      </c>
      <c r="G554" s="147">
        <v>-0.12039999999999999</v>
      </c>
      <c r="I554" s="27">
        <f t="shared" si="56"/>
        <v>-0.1007281979506941</v>
      </c>
      <c r="J554">
        <f t="shared" si="62"/>
        <v>-0.1239</v>
      </c>
      <c r="L554">
        <f t="shared" si="57"/>
        <v>-8.4699999999999998E-2</v>
      </c>
      <c r="M554">
        <f t="shared" si="58"/>
        <v>-2.1400000000000002E-2</v>
      </c>
      <c r="N554">
        <f t="shared" si="59"/>
        <v>-0.1129</v>
      </c>
      <c r="O554">
        <f t="shared" si="60"/>
        <v>1.8E-3</v>
      </c>
      <c r="P554">
        <f t="shared" si="61"/>
        <v>-1.1599999999999999E-2</v>
      </c>
    </row>
    <row r="555" spans="1:16">
      <c r="A555" s="230" t="s">
        <v>1191</v>
      </c>
      <c r="B555" s="147">
        <v>-0.10089999999999999</v>
      </c>
      <c r="C555" s="147">
        <v>-1.3300000000000001E-2</v>
      </c>
      <c r="D555" s="147">
        <v>-6.9500000000000006E-2</v>
      </c>
      <c r="E555" s="147">
        <v>1.2E-2</v>
      </c>
      <c r="F555" s="147">
        <v>-1.0200000000000001E-2</v>
      </c>
      <c r="G555" s="147">
        <v>-5.5599999999999997E-2</v>
      </c>
      <c r="I555" s="27">
        <f t="shared" si="56"/>
        <v>-0.10216960456969013</v>
      </c>
      <c r="J555">
        <f t="shared" si="62"/>
        <v>-5.91E-2</v>
      </c>
      <c r="L555">
        <f t="shared" si="57"/>
        <v>-0.10439999999999999</v>
      </c>
      <c r="M555">
        <f t="shared" si="58"/>
        <v>-1.3300000000000001E-2</v>
      </c>
      <c r="N555">
        <f t="shared" si="59"/>
        <v>-6.9500000000000006E-2</v>
      </c>
      <c r="O555">
        <f t="shared" si="60"/>
        <v>1.2E-2</v>
      </c>
      <c r="P555">
        <f t="shared" si="61"/>
        <v>-1.0200000000000001E-2</v>
      </c>
    </row>
    <row r="556" spans="1:16">
      <c r="A556" s="230" t="s">
        <v>1192</v>
      </c>
      <c r="B556" s="147">
        <v>8.9700000000000002E-2</v>
      </c>
      <c r="C556" s="147">
        <v>6.7000000000000002E-3</v>
      </c>
      <c r="D556" s="147">
        <v>3.4700000000000002E-2</v>
      </c>
      <c r="E556" s="147">
        <v>-2.52E-2</v>
      </c>
      <c r="F556" s="147">
        <v>-2.2499999999999999E-2</v>
      </c>
      <c r="G556" s="147">
        <v>5.4699999999999999E-2</v>
      </c>
      <c r="I556" s="27">
        <f t="shared" si="56"/>
        <v>-1.8299022154541673E-2</v>
      </c>
      <c r="J556">
        <f t="shared" si="62"/>
        <v>5.1199999999999996E-2</v>
      </c>
      <c r="L556">
        <f t="shared" si="57"/>
        <v>8.6199999999999999E-2</v>
      </c>
      <c r="M556">
        <f t="shared" si="58"/>
        <v>6.7000000000000002E-3</v>
      </c>
      <c r="N556">
        <f t="shared" si="59"/>
        <v>3.4700000000000002E-2</v>
      </c>
      <c r="O556">
        <f t="shared" si="60"/>
        <v>-2.52E-2</v>
      </c>
      <c r="P556">
        <f t="shared" si="61"/>
        <v>-2.2499999999999999E-2</v>
      </c>
    </row>
    <row r="557" spans="1:16">
      <c r="A557" s="230" t="s">
        <v>1193</v>
      </c>
      <c r="B557" s="147">
        <v>0.1019</v>
      </c>
      <c r="C557" s="147">
        <v>7.1300000000000002E-2</v>
      </c>
      <c r="D557" s="147">
        <v>5.3600000000000002E-2</v>
      </c>
      <c r="E557" s="147">
        <v>1.3100000000000001E-2</v>
      </c>
      <c r="F557" s="147">
        <v>1.1999999999999999E-3</v>
      </c>
      <c r="G557" s="147">
        <v>-1.1999999999999999E-3</v>
      </c>
      <c r="I557" s="27">
        <f t="shared" si="56"/>
        <v>0.16079468938213334</v>
      </c>
      <c r="J557">
        <f t="shared" si="62"/>
        <v>-4.7000000000000002E-3</v>
      </c>
      <c r="L557">
        <f t="shared" si="57"/>
        <v>9.8400000000000001E-2</v>
      </c>
      <c r="M557">
        <f t="shared" si="58"/>
        <v>7.1300000000000002E-2</v>
      </c>
      <c r="N557">
        <f t="shared" si="59"/>
        <v>5.3600000000000002E-2</v>
      </c>
      <c r="O557">
        <f t="shared" si="60"/>
        <v>1.3100000000000001E-2</v>
      </c>
      <c r="P557">
        <f t="shared" si="61"/>
        <v>1.1999999999999999E-3</v>
      </c>
    </row>
    <row r="558" spans="1:16">
      <c r="A558" s="230" t="s">
        <v>1194</v>
      </c>
      <c r="B558" s="147">
        <v>5.21E-2</v>
      </c>
      <c r="C558" s="147">
        <v>-2.3199999999999998E-2</v>
      </c>
      <c r="D558" s="147">
        <v>2.8000000000000004E-3</v>
      </c>
      <c r="E558" s="147">
        <v>-7.8000000000000005E-3</v>
      </c>
      <c r="F558" s="147">
        <v>-2.1600000000000001E-2</v>
      </c>
      <c r="G558" s="147">
        <v>1.77E-2</v>
      </c>
      <c r="I558" s="27">
        <f t="shared" si="56"/>
        <v>-3.5037859547204023E-2</v>
      </c>
      <c r="J558">
        <f t="shared" si="62"/>
        <v>1.4200000000000001E-2</v>
      </c>
      <c r="L558">
        <f t="shared" si="57"/>
        <v>4.8599999999999997E-2</v>
      </c>
      <c r="M558">
        <f t="shared" si="58"/>
        <v>-2.3199999999999998E-2</v>
      </c>
      <c r="N558">
        <f t="shared" si="59"/>
        <v>2.8000000000000004E-3</v>
      </c>
      <c r="O558">
        <f t="shared" si="60"/>
        <v>-7.8000000000000005E-3</v>
      </c>
      <c r="P558">
        <f t="shared" si="61"/>
        <v>-2.1600000000000001E-2</v>
      </c>
    </row>
    <row r="559" spans="1:16">
      <c r="A559" s="230" t="s">
        <v>1195</v>
      </c>
      <c r="B559" s="147">
        <v>4.4000000000000003E-3</v>
      </c>
      <c r="C559" s="147">
        <v>2.29E-2</v>
      </c>
      <c r="D559" s="147">
        <v>-2.7300000000000001E-2</v>
      </c>
      <c r="E559" s="147">
        <v>-1.41E-2</v>
      </c>
      <c r="F559" s="147">
        <v>-3.3000000000000004E-3</v>
      </c>
      <c r="G559" s="147">
        <v>3.0299999999999997E-2</v>
      </c>
      <c r="I559" s="27">
        <f t="shared" si="56"/>
        <v>-1.2167629836512768E-2</v>
      </c>
      <c r="J559">
        <f t="shared" si="62"/>
        <v>2.6799999999999997E-2</v>
      </c>
      <c r="L559">
        <f t="shared" si="57"/>
        <v>9.0000000000000019E-4</v>
      </c>
      <c r="M559">
        <f t="shared" si="58"/>
        <v>2.29E-2</v>
      </c>
      <c r="N559">
        <f t="shared" si="59"/>
        <v>-2.7300000000000001E-2</v>
      </c>
      <c r="O559">
        <f t="shared" si="60"/>
        <v>-1.41E-2</v>
      </c>
      <c r="P559">
        <f t="shared" si="61"/>
        <v>-3.3000000000000004E-3</v>
      </c>
    </row>
    <row r="560" spans="1:16">
      <c r="A560" s="230" t="s">
        <v>1196</v>
      </c>
      <c r="B560" s="147">
        <v>7.7300000000000008E-2</v>
      </c>
      <c r="C560" s="147">
        <v>2.3900000000000001E-2</v>
      </c>
      <c r="D560" s="147">
        <v>4.8300000000000003E-2</v>
      </c>
      <c r="E560" s="147">
        <v>-4.5999999999999999E-3</v>
      </c>
      <c r="F560" s="147">
        <v>3.1300000000000001E-2</v>
      </c>
      <c r="G560" s="147">
        <v>5.62E-2</v>
      </c>
      <c r="I560" s="27">
        <f t="shared" si="56"/>
        <v>0.14880732620583709</v>
      </c>
      <c r="J560">
        <f t="shared" si="62"/>
        <v>5.2699999999999997E-2</v>
      </c>
      <c r="L560">
        <f t="shared" si="57"/>
        <v>7.3800000000000004E-2</v>
      </c>
      <c r="M560">
        <f t="shared" si="58"/>
        <v>2.3900000000000001E-2</v>
      </c>
      <c r="N560">
        <f t="shared" si="59"/>
        <v>4.8300000000000003E-2</v>
      </c>
      <c r="O560">
        <f t="shared" si="60"/>
        <v>-4.5999999999999999E-3</v>
      </c>
      <c r="P560">
        <f t="shared" si="61"/>
        <v>3.1300000000000001E-2</v>
      </c>
    </row>
    <row r="561" spans="1:16">
      <c r="A561" s="230" t="s">
        <v>1197</v>
      </c>
      <c r="B561" s="147">
        <v>3.3400000000000006E-2</v>
      </c>
      <c r="C561" s="147">
        <v>-8.9999999999999998E-4</v>
      </c>
      <c r="D561" s="147">
        <v>7.6300000000000007E-2</v>
      </c>
      <c r="E561" s="147">
        <v>-3.0299999999999997E-2</v>
      </c>
      <c r="F561" s="147">
        <v>3.3399999999999999E-2</v>
      </c>
      <c r="G561" s="147">
        <v>1.7000000000000001E-3</v>
      </c>
      <c r="I561" s="27">
        <f t="shared" si="56"/>
        <v>4.1325024571216201E-2</v>
      </c>
      <c r="J561">
        <f t="shared" si="62"/>
        <v>-1.8E-3</v>
      </c>
      <c r="L561">
        <f t="shared" si="57"/>
        <v>2.9900000000000006E-2</v>
      </c>
      <c r="M561">
        <f t="shared" si="58"/>
        <v>-8.9999999999999998E-4</v>
      </c>
      <c r="N561">
        <f t="shared" si="59"/>
        <v>7.6300000000000007E-2</v>
      </c>
      <c r="O561">
        <f t="shared" si="60"/>
        <v>-3.0299999999999997E-2</v>
      </c>
      <c r="P561">
        <f t="shared" si="61"/>
        <v>3.3399999999999999E-2</v>
      </c>
    </row>
    <row r="562" spans="1:16">
      <c r="A562" s="230" t="s">
        <v>1198</v>
      </c>
      <c r="B562" s="147">
        <v>4.0900000000000006E-2</v>
      </c>
      <c r="C562" s="147">
        <v>2.7300000000000001E-2</v>
      </c>
      <c r="D562" s="147">
        <v>1.0400000000000001E-2</v>
      </c>
      <c r="E562" s="147">
        <v>1.3100000000000001E-2</v>
      </c>
      <c r="F562" s="147">
        <v>3.5999999999999999E-3</v>
      </c>
      <c r="G562" s="147">
        <v>4.6500000000000007E-2</v>
      </c>
      <c r="I562" s="27">
        <f t="shared" si="56"/>
        <v>8.5885386593596444E-2</v>
      </c>
      <c r="J562">
        <f t="shared" si="62"/>
        <v>4.3000000000000003E-2</v>
      </c>
      <c r="L562">
        <f t="shared" si="57"/>
        <v>3.7400000000000003E-2</v>
      </c>
      <c r="M562">
        <f t="shared" si="58"/>
        <v>2.7300000000000001E-2</v>
      </c>
      <c r="N562">
        <f t="shared" si="59"/>
        <v>1.0400000000000001E-2</v>
      </c>
      <c r="O562">
        <f t="shared" si="60"/>
        <v>1.3100000000000001E-2</v>
      </c>
      <c r="P562">
        <f t="shared" si="61"/>
        <v>3.5999999999999999E-3</v>
      </c>
    </row>
    <row r="563" spans="1:16">
      <c r="A563" s="230" t="s">
        <v>397</v>
      </c>
      <c r="B563" s="147">
        <v>-2.5899999999999999E-2</v>
      </c>
      <c r="C563" s="147">
        <v>-4.9400000000000006E-2</v>
      </c>
      <c r="D563" s="147">
        <v>-4.2099999999999999E-2</v>
      </c>
      <c r="E563" s="147">
        <v>4.1700000000000001E-2</v>
      </c>
      <c r="F563" s="147">
        <v>-1.4999999999999999E-2</v>
      </c>
      <c r="G563" s="147">
        <v>-3.8300000000000001E-2</v>
      </c>
      <c r="I563" s="27">
        <f t="shared" si="56"/>
        <v>-1.4581720060720376E-2</v>
      </c>
      <c r="J563">
        <f t="shared" si="62"/>
        <v>-4.1800000000000004E-2</v>
      </c>
      <c r="L563">
        <f t="shared" si="57"/>
        <v>-2.9399999999999999E-2</v>
      </c>
      <c r="M563">
        <f t="shared" si="58"/>
        <v>-4.9400000000000006E-2</v>
      </c>
      <c r="N563">
        <f t="shared" si="59"/>
        <v>-4.2099999999999999E-2</v>
      </c>
      <c r="O563">
        <f t="shared" si="60"/>
        <v>4.1700000000000001E-2</v>
      </c>
      <c r="P563">
        <f t="shared" si="61"/>
        <v>-1.4999999999999999E-2</v>
      </c>
    </row>
    <row r="564" spans="1:16">
      <c r="A564" s="230" t="s">
        <v>1199</v>
      </c>
      <c r="B564" s="147">
        <v>5.5599999999999997E-2</v>
      </c>
      <c r="C564" s="147">
        <v>-2.6800000000000001E-2</v>
      </c>
      <c r="D564" s="147">
        <v>-3.4000000000000002E-3</v>
      </c>
      <c r="E564" s="147">
        <v>0.01</v>
      </c>
      <c r="F564" s="147">
        <v>1.3000000000000002E-3</v>
      </c>
      <c r="G564" s="147">
        <v>6.5000000000000002E-2</v>
      </c>
      <c r="I564" s="27">
        <f t="shared" si="56"/>
        <v>5.6602341353459248E-2</v>
      </c>
      <c r="J564">
        <f t="shared" si="62"/>
        <v>6.1499999999999999E-2</v>
      </c>
      <c r="L564">
        <f t="shared" si="57"/>
        <v>5.2099999999999994E-2</v>
      </c>
      <c r="M564">
        <f t="shared" si="58"/>
        <v>-2.6800000000000001E-2</v>
      </c>
      <c r="N564">
        <f t="shared" si="59"/>
        <v>-3.4000000000000002E-3</v>
      </c>
      <c r="O564">
        <f t="shared" si="60"/>
        <v>0.01</v>
      </c>
      <c r="P564">
        <f t="shared" si="61"/>
        <v>1.3000000000000002E-3</v>
      </c>
    </row>
    <row r="565" spans="1:16">
      <c r="A565" s="230" t="s">
        <v>1200</v>
      </c>
      <c r="B565" s="147">
        <v>2.76E-2</v>
      </c>
      <c r="C565" s="147">
        <v>6.2400000000000004E-2</v>
      </c>
      <c r="D565" s="147">
        <v>-1.6000000000000001E-3</v>
      </c>
      <c r="E565" s="147">
        <v>1.0200000000000001E-2</v>
      </c>
      <c r="F565" s="147">
        <v>-8.9999999999999998E-4</v>
      </c>
      <c r="G565" s="147">
        <v>6.2899999999999998E-2</v>
      </c>
      <c r="I565" s="27">
        <f t="shared" si="56"/>
        <v>8.1691910107890384E-2</v>
      </c>
      <c r="J565">
        <f t="shared" si="62"/>
        <v>5.9399999999999994E-2</v>
      </c>
      <c r="L565">
        <f t="shared" si="57"/>
        <v>2.41E-2</v>
      </c>
      <c r="M565">
        <f t="shared" si="58"/>
        <v>6.2400000000000004E-2</v>
      </c>
      <c r="N565">
        <f t="shared" si="59"/>
        <v>-1.6000000000000001E-3</v>
      </c>
      <c r="O565">
        <f t="shared" si="60"/>
        <v>1.0200000000000001E-2</v>
      </c>
      <c r="P565">
        <f t="shared" si="61"/>
        <v>-8.9999999999999998E-4</v>
      </c>
    </row>
    <row r="566" spans="1:16">
      <c r="A566" s="230" t="s">
        <v>1201</v>
      </c>
      <c r="B566" s="147">
        <v>-3.3599999999999998E-2</v>
      </c>
      <c r="C566" s="147">
        <v>3.4000000000000002E-3</v>
      </c>
      <c r="D566" s="147">
        <v>4.3E-3</v>
      </c>
      <c r="E566" s="147">
        <v>-1.2700000000000001E-2</v>
      </c>
      <c r="F566" s="147">
        <v>4.5999999999999999E-3</v>
      </c>
      <c r="G566" s="147">
        <v>-6.6200000000000009E-2</v>
      </c>
      <c r="I566" s="27">
        <f t="shared" si="56"/>
        <v>-4.7401288936587169E-2</v>
      </c>
      <c r="J566">
        <f t="shared" si="62"/>
        <v>-6.9700000000000012E-2</v>
      </c>
      <c r="L566">
        <f t="shared" si="57"/>
        <v>-3.7100000000000001E-2</v>
      </c>
      <c r="M566">
        <f t="shared" si="58"/>
        <v>3.4000000000000002E-3</v>
      </c>
      <c r="N566">
        <f t="shared" si="59"/>
        <v>4.3E-3</v>
      </c>
      <c r="O566">
        <f t="shared" si="60"/>
        <v>-1.2700000000000001E-2</v>
      </c>
      <c r="P566">
        <f t="shared" si="61"/>
        <v>4.5999999999999999E-3</v>
      </c>
    </row>
    <row r="567" spans="1:16">
      <c r="A567" s="230" t="s">
        <v>1202</v>
      </c>
      <c r="B567" s="147">
        <v>3.4000000000000002E-2</v>
      </c>
      <c r="C567" s="147">
        <v>1.5100000000000001E-2</v>
      </c>
      <c r="D567" s="147">
        <v>3.2199999999999999E-2</v>
      </c>
      <c r="E567" s="147">
        <v>-2.7000000000000001E-3</v>
      </c>
      <c r="F567" s="147">
        <v>1.4199999999999999E-2</v>
      </c>
      <c r="G567" s="147">
        <v>8.4600000000000009E-2</v>
      </c>
      <c r="I567" s="27">
        <f t="shared" si="56"/>
        <v>6.4063062481028943E-2</v>
      </c>
      <c r="J567">
        <f t="shared" si="62"/>
        <v>8.1100000000000005E-2</v>
      </c>
      <c r="L567">
        <f t="shared" si="57"/>
        <v>3.0500000000000003E-2</v>
      </c>
      <c r="M567">
        <f t="shared" si="58"/>
        <v>1.5100000000000001E-2</v>
      </c>
      <c r="N567">
        <f t="shared" si="59"/>
        <v>3.2199999999999999E-2</v>
      </c>
      <c r="O567">
        <f t="shared" si="60"/>
        <v>-2.7000000000000001E-3</v>
      </c>
      <c r="P567">
        <f t="shared" si="61"/>
        <v>1.4199999999999999E-2</v>
      </c>
    </row>
    <row r="568" spans="1:16">
      <c r="A568" s="230" t="s">
        <v>1203</v>
      </c>
      <c r="B568" s="147">
        <v>6.3200000000000006E-2</v>
      </c>
      <c r="C568" s="147">
        <v>1.8500000000000003E-2</v>
      </c>
      <c r="D568" s="147">
        <v>2.2100000000000002E-2</v>
      </c>
      <c r="E568" s="147">
        <v>-6.5000000000000006E-3</v>
      </c>
      <c r="F568" s="147">
        <v>1.6899999999999998E-2</v>
      </c>
      <c r="G568" s="147">
        <v>8.6400000000000005E-2</v>
      </c>
      <c r="I568" s="27">
        <f t="shared" si="56"/>
        <v>9.741028394434692E-2</v>
      </c>
      <c r="J568">
        <f t="shared" si="62"/>
        <v>8.2900000000000001E-2</v>
      </c>
      <c r="L568">
        <f t="shared" si="57"/>
        <v>5.9700000000000003E-2</v>
      </c>
      <c r="M568">
        <f t="shared" si="58"/>
        <v>1.8500000000000003E-2</v>
      </c>
      <c r="N568">
        <f t="shared" si="59"/>
        <v>2.2100000000000002E-2</v>
      </c>
      <c r="O568">
        <f t="shared" si="60"/>
        <v>-6.5000000000000006E-3</v>
      </c>
      <c r="P568">
        <f t="shared" si="61"/>
        <v>1.6899999999999998E-2</v>
      </c>
    </row>
    <row r="569" spans="1:16">
      <c r="A569" s="230" t="s">
        <v>1204</v>
      </c>
      <c r="B569" s="147">
        <v>2.01E-2</v>
      </c>
      <c r="C569" s="147">
        <v>4.9800000000000004E-2</v>
      </c>
      <c r="D569" s="147">
        <v>2.8900000000000002E-2</v>
      </c>
      <c r="E569" s="147">
        <v>6.8999999999999999E-3</v>
      </c>
      <c r="F569" s="147">
        <v>1.72E-2</v>
      </c>
      <c r="G569" s="147">
        <v>6.8099999999999994E-2</v>
      </c>
      <c r="I569" s="27">
        <f t="shared" si="56"/>
        <v>9.85208723067557E-2</v>
      </c>
      <c r="J569">
        <f t="shared" si="62"/>
        <v>6.4599999999999991E-2</v>
      </c>
      <c r="L569">
        <f t="shared" si="57"/>
        <v>1.66E-2</v>
      </c>
      <c r="M569">
        <f t="shared" si="58"/>
        <v>4.9800000000000004E-2</v>
      </c>
      <c r="N569">
        <f t="shared" si="59"/>
        <v>2.8900000000000002E-2</v>
      </c>
      <c r="O569">
        <f t="shared" si="60"/>
        <v>6.8999999999999999E-3</v>
      </c>
      <c r="P569">
        <f t="shared" si="61"/>
        <v>1.72E-2</v>
      </c>
    </row>
    <row r="570" spans="1:16">
      <c r="A570" s="230" t="s">
        <v>1205</v>
      </c>
      <c r="B570" s="147">
        <v>-7.8799999999999995E-2</v>
      </c>
      <c r="C570" s="147">
        <v>5.0000000000000001E-4</v>
      </c>
      <c r="D570" s="147">
        <v>-2.4400000000000002E-2</v>
      </c>
      <c r="E570" s="147">
        <v>1.3000000000000001E-2</v>
      </c>
      <c r="F570" s="147">
        <v>-2.2000000000000001E-3</v>
      </c>
      <c r="G570" s="147">
        <v>-9.9100000000000008E-2</v>
      </c>
      <c r="I570" s="27">
        <f t="shared" si="56"/>
        <v>-5.8735346301368112E-2</v>
      </c>
      <c r="J570">
        <f t="shared" si="62"/>
        <v>-0.10260000000000001</v>
      </c>
      <c r="L570">
        <f t="shared" si="57"/>
        <v>-8.2299999999999998E-2</v>
      </c>
      <c r="M570">
        <f t="shared" si="58"/>
        <v>5.0000000000000001E-4</v>
      </c>
      <c r="N570">
        <f t="shared" si="59"/>
        <v>-2.4400000000000002E-2</v>
      </c>
      <c r="O570">
        <f t="shared" si="60"/>
        <v>1.3000000000000001E-2</v>
      </c>
      <c r="P570">
        <f t="shared" si="61"/>
        <v>-2.2000000000000001E-3</v>
      </c>
    </row>
    <row r="571" spans="1:16">
      <c r="A571" s="230" t="s">
        <v>1206</v>
      </c>
      <c r="B571" s="147">
        <v>-5.5600000000000004E-2</v>
      </c>
      <c r="C571" s="147">
        <v>-2.4700000000000003E-2</v>
      </c>
      <c r="D571" s="147">
        <v>-4.7E-2</v>
      </c>
      <c r="E571" s="147">
        <v>-1.6000000000000001E-3</v>
      </c>
      <c r="F571" s="147">
        <v>-1.5500000000000002E-2</v>
      </c>
      <c r="G571" s="147">
        <v>-0.11</v>
      </c>
      <c r="I571" s="27">
        <f t="shared" si="56"/>
        <v>-0.10691452293985863</v>
      </c>
      <c r="J571">
        <f t="shared" si="62"/>
        <v>-0.1135</v>
      </c>
      <c r="L571">
        <f t="shared" si="57"/>
        <v>-5.9100000000000007E-2</v>
      </c>
      <c r="M571">
        <f t="shared" si="58"/>
        <v>-2.4700000000000003E-2</v>
      </c>
      <c r="N571">
        <f t="shared" si="59"/>
        <v>-4.7E-2</v>
      </c>
      <c r="O571">
        <f t="shared" si="60"/>
        <v>-1.6000000000000001E-3</v>
      </c>
      <c r="P571">
        <f t="shared" si="61"/>
        <v>-1.5500000000000002E-2</v>
      </c>
    </row>
    <row r="572" spans="1:16">
      <c r="A572" s="230" t="s">
        <v>1207</v>
      </c>
      <c r="B572" s="147">
        <v>6.9400000000000003E-2</v>
      </c>
      <c r="C572" s="147">
        <v>1.1999999999999999E-3</v>
      </c>
      <c r="D572" s="147">
        <v>-3.0999999999999999E-3</v>
      </c>
      <c r="E572" s="147">
        <v>2.3999999999999998E-3</v>
      </c>
      <c r="F572" s="147">
        <v>0.02</v>
      </c>
      <c r="G572" s="147">
        <v>0.10210000000000001</v>
      </c>
      <c r="I572" s="27">
        <f t="shared" si="56"/>
        <v>0.12137494726425165</v>
      </c>
      <c r="J572">
        <f t="shared" si="62"/>
        <v>9.8600000000000007E-2</v>
      </c>
      <c r="L572">
        <f t="shared" si="57"/>
        <v>6.59E-2</v>
      </c>
      <c r="M572">
        <f t="shared" si="58"/>
        <v>1.1999999999999999E-3</v>
      </c>
      <c r="N572">
        <f t="shared" si="59"/>
        <v>-3.0999999999999999E-3</v>
      </c>
      <c r="O572">
        <f t="shared" si="60"/>
        <v>2.3999999999999998E-3</v>
      </c>
      <c r="P572">
        <f t="shared" si="61"/>
        <v>0.02</v>
      </c>
    </row>
    <row r="573" spans="1:16">
      <c r="A573" s="230" t="s">
        <v>1208</v>
      </c>
      <c r="B573" s="147">
        <v>-4.7599999999999996E-2</v>
      </c>
      <c r="C573" s="147">
        <v>-3.15E-2</v>
      </c>
      <c r="D573" s="147">
        <v>-1.9E-2</v>
      </c>
      <c r="E573" s="147">
        <v>5.3E-3</v>
      </c>
      <c r="F573" s="147">
        <v>-1.5900000000000001E-2</v>
      </c>
      <c r="G573" s="147">
        <v>-5.5300000000000002E-2</v>
      </c>
      <c r="I573" s="27">
        <f t="shared" si="56"/>
        <v>-9.768809225564673E-2</v>
      </c>
      <c r="J573">
        <f t="shared" si="62"/>
        <v>-5.8800000000000005E-2</v>
      </c>
      <c r="L573">
        <f t="shared" si="57"/>
        <v>-5.11E-2</v>
      </c>
      <c r="M573">
        <f t="shared" si="58"/>
        <v>-3.15E-2</v>
      </c>
      <c r="N573">
        <f t="shared" si="59"/>
        <v>-1.9E-2</v>
      </c>
      <c r="O573">
        <f t="shared" si="60"/>
        <v>5.3E-3</v>
      </c>
      <c r="P573">
        <f t="shared" si="61"/>
        <v>-1.5900000000000001E-2</v>
      </c>
    </row>
    <row r="574" spans="1:16">
      <c r="A574" s="230" t="s">
        <v>1209</v>
      </c>
      <c r="B574" s="147">
        <v>9.5500000000000002E-2</v>
      </c>
      <c r="C574" s="147">
        <v>3.7499999999999999E-2</v>
      </c>
      <c r="D574" s="147">
        <v>-3.1600000000000003E-2</v>
      </c>
      <c r="E574" s="147">
        <v>-2.0999999999999999E-3</v>
      </c>
      <c r="F574" s="147">
        <v>3.8E-3</v>
      </c>
      <c r="G574" s="147">
        <v>0.13650000000000001</v>
      </c>
      <c r="I574" s="27">
        <f t="shared" si="56"/>
        <v>0.12884468000955013</v>
      </c>
      <c r="J574">
        <f t="shared" si="62"/>
        <v>0.13300000000000001</v>
      </c>
      <c r="L574">
        <f t="shared" si="57"/>
        <v>9.1999999999999998E-2</v>
      </c>
      <c r="M574">
        <f t="shared" si="58"/>
        <v>3.7499999999999999E-2</v>
      </c>
      <c r="N574">
        <f t="shared" si="59"/>
        <v>-3.1600000000000003E-2</v>
      </c>
      <c r="O574">
        <f t="shared" si="60"/>
        <v>-2.0999999999999999E-3</v>
      </c>
      <c r="P574">
        <f t="shared" si="61"/>
        <v>3.8E-3</v>
      </c>
    </row>
    <row r="575" spans="1:16">
      <c r="A575" s="230" t="s">
        <v>1210</v>
      </c>
      <c r="B575" s="147">
        <v>3.8900000000000004E-2</v>
      </c>
      <c r="C575" s="147">
        <v>8.0000000000000002E-3</v>
      </c>
      <c r="D575" s="147">
        <v>-2.4199999999999999E-2</v>
      </c>
      <c r="E575" s="147">
        <v>1.1899999999999999E-2</v>
      </c>
      <c r="F575" s="147">
        <v>-2.7000000000000001E-3</v>
      </c>
      <c r="G575" s="147">
        <v>5.3899999999999997E-2</v>
      </c>
      <c r="I575" s="27">
        <f t="shared" si="56"/>
        <v>6.0607666262530252E-2</v>
      </c>
      <c r="J575">
        <f t="shared" si="62"/>
        <v>5.0399999999999993E-2</v>
      </c>
      <c r="L575">
        <f t="shared" si="57"/>
        <v>3.5400000000000001E-2</v>
      </c>
      <c r="M575">
        <f t="shared" si="58"/>
        <v>8.0000000000000002E-3</v>
      </c>
      <c r="N575">
        <f t="shared" si="59"/>
        <v>-2.4199999999999999E-2</v>
      </c>
      <c r="O575">
        <f t="shared" si="60"/>
        <v>1.1899999999999999E-2</v>
      </c>
      <c r="P575">
        <f t="shared" si="61"/>
        <v>-2.7000000000000001E-3</v>
      </c>
    </row>
    <row r="576" spans="1:16">
      <c r="A576" s="230" t="s">
        <v>398</v>
      </c>
      <c r="B576" s="147">
        <v>6.1000000000000004E-3</v>
      </c>
      <c r="C576" s="147">
        <v>3.6700000000000003E-2</v>
      </c>
      <c r="D576" s="147">
        <v>-9.5999999999999992E-3</v>
      </c>
      <c r="E576" s="147">
        <v>4.5999999999999999E-3</v>
      </c>
      <c r="F576" s="147">
        <v>1.5900000000000001E-2</v>
      </c>
      <c r="G576" s="147">
        <v>6.1600000000000002E-2</v>
      </c>
      <c r="I576" s="27">
        <f t="shared" si="56"/>
        <v>7.6550964205164176E-2</v>
      </c>
      <c r="J576">
        <f t="shared" si="62"/>
        <v>5.8099999999999999E-2</v>
      </c>
      <c r="L576">
        <f t="shared" si="57"/>
        <v>2.6000000000000003E-3</v>
      </c>
      <c r="M576">
        <f t="shared" si="58"/>
        <v>3.6700000000000003E-2</v>
      </c>
      <c r="N576">
        <f t="shared" si="59"/>
        <v>-9.5999999999999992E-3</v>
      </c>
      <c r="O576">
        <f t="shared" si="60"/>
        <v>4.5999999999999999E-3</v>
      </c>
      <c r="P576">
        <f t="shared" si="61"/>
        <v>1.5900000000000001E-2</v>
      </c>
    </row>
    <row r="577" spans="1:16">
      <c r="A577" s="230" t="s">
        <v>1211</v>
      </c>
      <c r="B577" s="147">
        <v>6.8300000000000013E-2</v>
      </c>
      <c r="C577" s="147">
        <v>1.0400000000000001E-2</v>
      </c>
      <c r="D577" s="147">
        <v>3.6900000000000002E-2</v>
      </c>
      <c r="E577" s="147">
        <v>-3.44E-2</v>
      </c>
      <c r="F577" s="147">
        <v>3.1699999999999999E-2</v>
      </c>
      <c r="G577" s="147">
        <v>4.3499999999999997E-2</v>
      </c>
      <c r="I577" s="27">
        <f t="shared" si="56"/>
        <v>8.0201236690687627E-2</v>
      </c>
      <c r="J577">
        <f t="shared" si="62"/>
        <v>3.9999999999999994E-2</v>
      </c>
      <c r="L577">
        <f t="shared" si="57"/>
        <v>6.480000000000001E-2</v>
      </c>
      <c r="M577">
        <f t="shared" si="58"/>
        <v>1.0400000000000001E-2</v>
      </c>
      <c r="N577">
        <f t="shared" si="59"/>
        <v>3.6900000000000002E-2</v>
      </c>
      <c r="O577">
        <f t="shared" si="60"/>
        <v>-3.44E-2</v>
      </c>
      <c r="P577">
        <f t="shared" si="61"/>
        <v>3.1699999999999999E-2</v>
      </c>
    </row>
    <row r="578" spans="1:16">
      <c r="A578" s="230" t="s">
        <v>1212</v>
      </c>
      <c r="B578" s="147">
        <v>0.02</v>
      </c>
      <c r="C578" s="147">
        <v>-2.4300000000000002E-2</v>
      </c>
      <c r="D578" s="147">
        <v>8.199999999999999E-3</v>
      </c>
      <c r="E578" s="147">
        <v>-7.6E-3</v>
      </c>
      <c r="F578" s="147">
        <v>8.3000000000000001E-3</v>
      </c>
      <c r="G578" s="147">
        <v>5.6999999999999993E-3</v>
      </c>
      <c r="I578" s="27">
        <f t="shared" si="56"/>
        <v>5.6497269095594216E-3</v>
      </c>
      <c r="J578">
        <f t="shared" si="62"/>
        <v>2.1999999999999993E-3</v>
      </c>
      <c r="L578">
        <f t="shared" si="57"/>
        <v>1.6500000000000001E-2</v>
      </c>
      <c r="M578">
        <f t="shared" si="58"/>
        <v>-2.4300000000000002E-2</v>
      </c>
      <c r="N578">
        <f t="shared" si="59"/>
        <v>8.199999999999999E-3</v>
      </c>
      <c r="O578">
        <f t="shared" si="60"/>
        <v>-7.6E-3</v>
      </c>
      <c r="P578">
        <f t="shared" si="61"/>
        <v>8.3000000000000001E-3</v>
      </c>
    </row>
    <row r="579" spans="1:16">
      <c r="A579" s="230" t="s">
        <v>1213</v>
      </c>
      <c r="B579" s="147">
        <v>3.5000000000000003E-2</v>
      </c>
      <c r="C579" s="147">
        <v>1.6500000000000001E-2</v>
      </c>
      <c r="D579" s="147">
        <v>1.2700000000000001E-2</v>
      </c>
      <c r="E579" s="147">
        <v>-1.9400000000000001E-2</v>
      </c>
      <c r="F579" s="147">
        <v>8.8000000000000005E-3</v>
      </c>
      <c r="G579" s="147">
        <v>3.9800000000000002E-2</v>
      </c>
      <c r="I579" s="27">
        <f t="shared" si="56"/>
        <v>2.6312501054469889E-2</v>
      </c>
      <c r="J579">
        <f t="shared" si="62"/>
        <v>3.6299999999999999E-2</v>
      </c>
      <c r="L579">
        <f t="shared" si="57"/>
        <v>3.15E-2</v>
      </c>
      <c r="M579">
        <f t="shared" si="58"/>
        <v>1.6500000000000001E-2</v>
      </c>
      <c r="N579">
        <f t="shared" si="59"/>
        <v>1.2700000000000001E-2</v>
      </c>
      <c r="O579">
        <f t="shared" si="60"/>
        <v>-1.9400000000000001E-2</v>
      </c>
      <c r="P579">
        <f t="shared" si="61"/>
        <v>8.8000000000000005E-3</v>
      </c>
    </row>
    <row r="580" spans="1:16">
      <c r="A580" s="230" t="s">
        <v>1214</v>
      </c>
      <c r="B580" s="147">
        <v>4.7000000000000002E-3</v>
      </c>
      <c r="C580" s="147">
        <v>2.6200000000000001E-2</v>
      </c>
      <c r="D580" s="147">
        <v>-1.83E-2</v>
      </c>
      <c r="E580" s="147">
        <v>1.7600000000000001E-2</v>
      </c>
      <c r="F580" s="147">
        <v>-2.9999999999999997E-4</v>
      </c>
      <c r="G580" s="147">
        <v>2.9300000000000003E-2</v>
      </c>
      <c r="I580" s="27">
        <f t="shared" si="56"/>
        <v>5.3438551616075095E-2</v>
      </c>
      <c r="J580">
        <f t="shared" si="62"/>
        <v>2.5800000000000003E-2</v>
      </c>
      <c r="L580">
        <f t="shared" si="57"/>
        <v>1.2000000000000001E-3</v>
      </c>
      <c r="M580">
        <f t="shared" si="58"/>
        <v>2.6200000000000001E-2</v>
      </c>
      <c r="N580">
        <f t="shared" si="59"/>
        <v>-1.83E-2</v>
      </c>
      <c r="O580">
        <f t="shared" si="60"/>
        <v>1.7600000000000001E-2</v>
      </c>
      <c r="P580">
        <f t="shared" si="61"/>
        <v>-2.9999999999999997E-4</v>
      </c>
    </row>
    <row r="581" spans="1:16">
      <c r="A581" s="230" t="s">
        <v>1215</v>
      </c>
      <c r="B581" s="147">
        <v>2.8999999999999998E-2</v>
      </c>
      <c r="C581" s="147">
        <v>-5.5000000000000005E-3</v>
      </c>
      <c r="D581" s="147">
        <v>-2.4300000000000002E-2</v>
      </c>
      <c r="E581" s="147">
        <v>1.01E-2</v>
      </c>
      <c r="F581" s="147">
        <v>-8.0000000000000002E-3</v>
      </c>
      <c r="G581" s="147">
        <v>3.2400000000000005E-2</v>
      </c>
      <c r="I581" s="27">
        <f t="shared" si="56"/>
        <v>2.5430331662082726E-2</v>
      </c>
      <c r="J581">
        <f t="shared" si="62"/>
        <v>2.8900000000000006E-2</v>
      </c>
      <c r="L581">
        <f t="shared" si="57"/>
        <v>2.5499999999999998E-2</v>
      </c>
      <c r="M581">
        <f t="shared" si="58"/>
        <v>-5.5000000000000005E-3</v>
      </c>
      <c r="N581">
        <f t="shared" si="59"/>
        <v>-2.4300000000000002E-2</v>
      </c>
      <c r="O581">
        <f t="shared" si="60"/>
        <v>1.01E-2</v>
      </c>
      <c r="P581">
        <f t="shared" si="61"/>
        <v>-8.0000000000000002E-3</v>
      </c>
    </row>
    <row r="582" spans="1:16">
      <c r="A582" s="230" t="s">
        <v>1216</v>
      </c>
      <c r="B582" s="147">
        <v>-1.2700000000000001E-2</v>
      </c>
      <c r="C582" s="147">
        <v>-6.1999999999999998E-3</v>
      </c>
      <c r="D582" s="147">
        <v>-2.12E-2</v>
      </c>
      <c r="E582" s="147">
        <v>2.0800000000000003E-2</v>
      </c>
      <c r="F582" s="147">
        <v>-1.5800000000000002E-2</v>
      </c>
      <c r="G582" s="147">
        <v>-2.8999999999999998E-2</v>
      </c>
      <c r="I582" s="27">
        <f t="shared" si="56"/>
        <v>-1.7321427734826245E-2</v>
      </c>
      <c r="J582">
        <f t="shared" si="62"/>
        <v>-3.2500000000000001E-2</v>
      </c>
      <c r="L582">
        <f t="shared" si="57"/>
        <v>-1.6200000000000003E-2</v>
      </c>
      <c r="M582">
        <f t="shared" si="58"/>
        <v>-6.1999999999999998E-3</v>
      </c>
      <c r="N582">
        <f t="shared" si="59"/>
        <v>-2.12E-2</v>
      </c>
      <c r="O582">
        <f t="shared" si="60"/>
        <v>2.0800000000000003E-2</v>
      </c>
      <c r="P582">
        <f t="shared" si="61"/>
        <v>-1.5800000000000002E-2</v>
      </c>
    </row>
    <row r="583" spans="1:16">
      <c r="A583" s="230" t="s">
        <v>1217</v>
      </c>
      <c r="B583" s="147">
        <v>-1.7500000000000002E-2</v>
      </c>
      <c r="C583" s="147">
        <v>1.6000000000000001E-3</v>
      </c>
      <c r="D583" s="147">
        <v>-4.1999999999999997E-3</v>
      </c>
      <c r="E583" s="147">
        <v>2.4900000000000002E-2</v>
      </c>
      <c r="F583" s="147">
        <v>-1.5300000000000001E-2</v>
      </c>
      <c r="G583" s="147">
        <v>1E-4</v>
      </c>
      <c r="I583" s="27">
        <f t="shared" si="56"/>
        <v>-1.186154725051938E-2</v>
      </c>
      <c r="J583">
        <f t="shared" si="62"/>
        <v>-3.4000000000000002E-3</v>
      </c>
      <c r="L583">
        <f t="shared" si="57"/>
        <v>-2.1000000000000001E-2</v>
      </c>
      <c r="M583">
        <f t="shared" si="58"/>
        <v>1.6000000000000001E-3</v>
      </c>
      <c r="N583">
        <f t="shared" si="59"/>
        <v>-4.1999999999999997E-3</v>
      </c>
      <c r="O583">
        <f t="shared" si="60"/>
        <v>2.4900000000000002E-2</v>
      </c>
      <c r="P583">
        <f t="shared" si="61"/>
        <v>-1.5300000000000001E-2</v>
      </c>
    </row>
    <row r="584" spans="1:16">
      <c r="A584" s="230" t="s">
        <v>1218</v>
      </c>
      <c r="B584" s="147">
        <v>-2.35E-2</v>
      </c>
      <c r="C584" s="147">
        <v>-1.2E-2</v>
      </c>
      <c r="D584" s="147">
        <v>-8.8999999999999999E-3</v>
      </c>
      <c r="E584" s="147">
        <v>2.6800000000000001E-2</v>
      </c>
      <c r="F584" s="147">
        <v>-1.8100000000000002E-2</v>
      </c>
      <c r="G584" s="147">
        <v>-1.61E-2</v>
      </c>
      <c r="I584" s="27">
        <f t="shared" ref="I584:I647" si="63">SUMPRODUCT(B584:F584,$B$4:$F$4)-0.0035</f>
        <v>-2.9314968699930478E-2</v>
      </c>
      <c r="J584">
        <f t="shared" si="62"/>
        <v>-1.9599999999999999E-2</v>
      </c>
      <c r="L584">
        <f t="shared" ref="L584:L647" si="64">B584-0.0035</f>
        <v>-2.7E-2</v>
      </c>
      <c r="M584">
        <f t="shared" ref="M584:M647" si="65">C584</f>
        <v>-1.2E-2</v>
      </c>
      <c r="N584">
        <f t="shared" ref="N584:N647" si="66">D584</f>
        <v>-8.8999999999999999E-3</v>
      </c>
      <c r="O584">
        <f t="shared" ref="O584:O647" si="67">E584</f>
        <v>2.6800000000000001E-2</v>
      </c>
      <c r="P584">
        <f t="shared" ref="P584:P647" si="68">F584</f>
        <v>-1.8100000000000002E-2</v>
      </c>
    </row>
    <row r="585" spans="1:16">
      <c r="A585" s="230" t="s">
        <v>1219</v>
      </c>
      <c r="B585" s="147">
        <v>-5.9799999999999999E-2</v>
      </c>
      <c r="C585" s="147">
        <v>-3.2000000000000001E-2</v>
      </c>
      <c r="D585" s="147">
        <v>-2.3599999999999999E-2</v>
      </c>
      <c r="E585" s="147">
        <v>3.3000000000000002E-2</v>
      </c>
      <c r="F585" s="147">
        <v>-3.8E-3</v>
      </c>
      <c r="G585" s="147">
        <v>-8.6300000000000016E-2</v>
      </c>
      <c r="I585" s="27">
        <f t="shared" si="63"/>
        <v>-2.889650333523466E-2</v>
      </c>
      <c r="J585">
        <f t="shared" ref="J585:J648" si="69">G585-0.0035</f>
        <v>-8.9800000000000019E-2</v>
      </c>
      <c r="L585">
        <f t="shared" si="64"/>
        <v>-6.3299999999999995E-2</v>
      </c>
      <c r="M585">
        <f t="shared" si="65"/>
        <v>-3.2000000000000001E-2</v>
      </c>
      <c r="N585">
        <f t="shared" si="66"/>
        <v>-2.3599999999999999E-2</v>
      </c>
      <c r="O585">
        <f t="shared" si="67"/>
        <v>3.3000000000000002E-2</v>
      </c>
      <c r="P585">
        <f t="shared" si="68"/>
        <v>-3.8E-3</v>
      </c>
    </row>
    <row r="586" spans="1:16">
      <c r="A586" s="230" t="s">
        <v>1220</v>
      </c>
      <c r="B586" s="147">
        <v>-7.5899999999999995E-2</v>
      </c>
      <c r="C586" s="147">
        <v>-3.6600000000000001E-2</v>
      </c>
      <c r="D586" s="147">
        <v>-1.7299999999999999E-2</v>
      </c>
      <c r="E586" s="147">
        <v>2.0400000000000001E-2</v>
      </c>
      <c r="F586" s="147">
        <v>2.5000000000000001E-3</v>
      </c>
      <c r="G586" s="147">
        <v>-0.1565</v>
      </c>
      <c r="I586" s="27">
        <f t="shared" si="63"/>
        <v>-5.6563442835956296E-2</v>
      </c>
      <c r="J586">
        <f t="shared" si="69"/>
        <v>-0.16</v>
      </c>
      <c r="L586">
        <f t="shared" si="64"/>
        <v>-7.9399999999999998E-2</v>
      </c>
      <c r="M586">
        <f t="shared" si="65"/>
        <v>-3.6600000000000001E-2</v>
      </c>
      <c r="N586">
        <f t="shared" si="66"/>
        <v>-1.7299999999999999E-2</v>
      </c>
      <c r="O586">
        <f t="shared" si="67"/>
        <v>2.0400000000000001E-2</v>
      </c>
      <c r="P586">
        <f t="shared" si="68"/>
        <v>2.5000000000000001E-3</v>
      </c>
    </row>
    <row r="587" spans="1:16">
      <c r="A587" s="230" t="s">
        <v>1221</v>
      </c>
      <c r="B587" s="147">
        <v>0.1135</v>
      </c>
      <c r="C587" s="147">
        <v>3.4599999999999999E-2</v>
      </c>
      <c r="D587" s="147">
        <v>1.1000000000000001E-3</v>
      </c>
      <c r="E587" s="147">
        <v>-2.1600000000000001E-2</v>
      </c>
      <c r="F587" s="147">
        <v>-8.6E-3</v>
      </c>
      <c r="G587" s="147">
        <v>0.14130000000000001</v>
      </c>
      <c r="I587" s="27">
        <f t="shared" si="63"/>
        <v>7.1900186651027584E-2</v>
      </c>
      <c r="J587">
        <f t="shared" si="69"/>
        <v>0.13780000000000001</v>
      </c>
      <c r="L587">
        <f t="shared" si="64"/>
        <v>0.11</v>
      </c>
      <c r="M587">
        <f t="shared" si="65"/>
        <v>3.4599999999999999E-2</v>
      </c>
      <c r="N587">
        <f t="shared" si="66"/>
        <v>1.1000000000000001E-3</v>
      </c>
      <c r="O587">
        <f t="shared" si="67"/>
        <v>-2.1600000000000001E-2</v>
      </c>
      <c r="P587">
        <f t="shared" si="68"/>
        <v>-8.6E-3</v>
      </c>
    </row>
    <row r="588" spans="1:16">
      <c r="A588" s="230" t="s">
        <v>1222</v>
      </c>
      <c r="B588" s="147">
        <v>-2.8000000000000004E-3</v>
      </c>
      <c r="C588" s="147">
        <v>-2.8000000000000004E-3</v>
      </c>
      <c r="D588" s="147">
        <v>-4.5000000000000005E-3</v>
      </c>
      <c r="E588" s="147">
        <v>1.8600000000000002E-2</v>
      </c>
      <c r="F588" s="147">
        <v>1.49E-2</v>
      </c>
      <c r="G588" s="147">
        <v>-1.41E-2</v>
      </c>
      <c r="I588" s="27">
        <f t="shared" si="63"/>
        <v>6.3590714502574724E-2</v>
      </c>
      <c r="J588">
        <f t="shared" si="69"/>
        <v>-1.7600000000000001E-2</v>
      </c>
      <c r="L588">
        <f t="shared" si="64"/>
        <v>-6.3E-3</v>
      </c>
      <c r="M588">
        <f t="shared" si="65"/>
        <v>-2.8000000000000004E-3</v>
      </c>
      <c r="N588">
        <f t="shared" si="66"/>
        <v>-4.5000000000000005E-3</v>
      </c>
      <c r="O588">
        <f t="shared" si="67"/>
        <v>1.8600000000000002E-2</v>
      </c>
      <c r="P588">
        <f t="shared" si="68"/>
        <v>1.49E-2</v>
      </c>
    </row>
    <row r="589" spans="1:16">
      <c r="A589" s="230" t="s">
        <v>399</v>
      </c>
      <c r="B589" s="147">
        <v>7.4000000000000003E-3</v>
      </c>
      <c r="C589" s="147">
        <v>-3.3000000000000004E-3</v>
      </c>
      <c r="D589" s="147">
        <v>1.6299999999999999E-2</v>
      </c>
      <c r="E589" s="147">
        <v>9.7999999999999997E-3</v>
      </c>
      <c r="F589" s="147">
        <v>2.52E-2</v>
      </c>
      <c r="G589" s="147">
        <v>-1.18E-2</v>
      </c>
      <c r="I589" s="27">
        <f t="shared" si="63"/>
        <v>7.8725692413980683E-2</v>
      </c>
      <c r="J589">
        <f t="shared" si="69"/>
        <v>-1.5299999999999999E-2</v>
      </c>
      <c r="L589">
        <f t="shared" si="64"/>
        <v>3.9000000000000003E-3</v>
      </c>
      <c r="M589">
        <f t="shared" si="65"/>
        <v>-3.3000000000000004E-3</v>
      </c>
      <c r="N589">
        <f t="shared" si="66"/>
        <v>1.6299999999999999E-2</v>
      </c>
      <c r="O589">
        <f t="shared" si="67"/>
        <v>9.7999999999999997E-3</v>
      </c>
      <c r="P589">
        <f t="shared" si="68"/>
        <v>2.52E-2</v>
      </c>
    </row>
    <row r="590" spans="1:16">
      <c r="A590" s="230" t="s">
        <v>1223</v>
      </c>
      <c r="B590" s="147">
        <v>5.0499999999999996E-2</v>
      </c>
      <c r="C590" s="147">
        <v>2.06E-2</v>
      </c>
      <c r="D590" s="147">
        <v>-9.7000000000000003E-3</v>
      </c>
      <c r="E590" s="147">
        <v>-2.01E-2</v>
      </c>
      <c r="F590" s="147">
        <v>-1.44E-2</v>
      </c>
      <c r="G590" s="147">
        <v>2.63E-2</v>
      </c>
      <c r="I590" s="27">
        <f t="shared" si="63"/>
        <v>-9.7210408242307776E-3</v>
      </c>
      <c r="J590">
        <f t="shared" si="69"/>
        <v>2.2800000000000001E-2</v>
      </c>
      <c r="L590">
        <f t="shared" si="64"/>
        <v>4.6999999999999993E-2</v>
      </c>
      <c r="M590">
        <f t="shared" si="65"/>
        <v>2.06E-2</v>
      </c>
      <c r="N590">
        <f t="shared" si="66"/>
        <v>-9.7000000000000003E-3</v>
      </c>
      <c r="O590">
        <f t="shared" si="67"/>
        <v>-2.01E-2</v>
      </c>
      <c r="P590">
        <f t="shared" si="68"/>
        <v>-1.44E-2</v>
      </c>
    </row>
    <row r="591" spans="1:16">
      <c r="A591" s="230" t="s">
        <v>1224</v>
      </c>
      <c r="B591" s="147">
        <v>4.4200000000000003E-2</v>
      </c>
      <c r="C591" s="147">
        <v>-1.7100000000000001E-2</v>
      </c>
      <c r="D591" s="147">
        <v>4.3E-3</v>
      </c>
      <c r="E591" s="147">
        <v>-4.7999999999999996E-3</v>
      </c>
      <c r="F591" s="147">
        <v>-1E-4</v>
      </c>
      <c r="G591" s="147">
        <v>5.7999999999999996E-2</v>
      </c>
      <c r="I591" s="27">
        <f t="shared" si="63"/>
        <v>1.9609731204909712E-2</v>
      </c>
      <c r="J591">
        <f t="shared" si="69"/>
        <v>5.4499999999999993E-2</v>
      </c>
      <c r="L591">
        <f t="shared" si="64"/>
        <v>4.07E-2</v>
      </c>
      <c r="M591">
        <f t="shared" si="65"/>
        <v>-1.7100000000000001E-2</v>
      </c>
      <c r="N591">
        <f t="shared" si="66"/>
        <v>4.3E-3</v>
      </c>
      <c r="O591">
        <f t="shared" si="67"/>
        <v>-4.7999999999999996E-3</v>
      </c>
      <c r="P591">
        <f t="shared" si="68"/>
        <v>-1E-4</v>
      </c>
    </row>
    <row r="592" spans="1:16">
      <c r="A592" s="230" t="s">
        <v>1225</v>
      </c>
      <c r="B592" s="147">
        <v>3.1099999999999999E-2</v>
      </c>
      <c r="C592" s="147">
        <v>-4.7000000000000002E-3</v>
      </c>
      <c r="D592" s="147">
        <v>1.1399999999999999E-2</v>
      </c>
      <c r="E592" s="147">
        <v>-5.4000000000000003E-3</v>
      </c>
      <c r="F592" s="147">
        <v>7.4000000000000003E-3</v>
      </c>
      <c r="G592" s="147">
        <v>5.0800000000000005E-2</v>
      </c>
      <c r="I592" s="27">
        <f t="shared" si="63"/>
        <v>3.0710148708691282E-2</v>
      </c>
      <c r="J592">
        <f t="shared" si="69"/>
        <v>4.7300000000000002E-2</v>
      </c>
      <c r="L592">
        <f t="shared" si="64"/>
        <v>2.76E-2</v>
      </c>
      <c r="M592">
        <f t="shared" si="65"/>
        <v>-4.7000000000000002E-3</v>
      </c>
      <c r="N592">
        <f t="shared" si="66"/>
        <v>1.1399999999999999E-2</v>
      </c>
      <c r="O592">
        <f t="shared" si="67"/>
        <v>-5.4000000000000003E-3</v>
      </c>
      <c r="P592">
        <f t="shared" si="68"/>
        <v>7.4000000000000003E-3</v>
      </c>
    </row>
    <row r="593" spans="1:16">
      <c r="A593" s="230" t="s">
        <v>1226</v>
      </c>
      <c r="B593" s="147">
        <v>-8.5000000000000006E-3</v>
      </c>
      <c r="C593" s="147">
        <v>-5.5000000000000005E-3</v>
      </c>
      <c r="D593" s="147">
        <v>-7.8000000000000005E-3</v>
      </c>
      <c r="E593" s="147">
        <v>1.3000000000000001E-2</v>
      </c>
      <c r="F593" s="147">
        <v>6.5000000000000006E-3</v>
      </c>
      <c r="G593" s="147">
        <v>3.7000000000000002E-3</v>
      </c>
      <c r="I593" s="27">
        <f t="shared" si="63"/>
        <v>2.5771195058807966E-2</v>
      </c>
      <c r="J593">
        <f t="shared" si="69"/>
        <v>2.0000000000000009E-4</v>
      </c>
      <c r="L593">
        <f t="shared" si="64"/>
        <v>-1.2E-2</v>
      </c>
      <c r="M593">
        <f t="shared" si="65"/>
        <v>-5.5000000000000005E-3</v>
      </c>
      <c r="N593">
        <f t="shared" si="66"/>
        <v>-7.8000000000000005E-3</v>
      </c>
      <c r="O593">
        <f t="shared" si="67"/>
        <v>1.3000000000000001E-2</v>
      </c>
      <c r="P593">
        <f t="shared" si="68"/>
        <v>6.5000000000000006E-3</v>
      </c>
    </row>
    <row r="594" spans="1:16">
      <c r="A594" s="230" t="s">
        <v>1227</v>
      </c>
      <c r="B594" s="147">
        <v>-6.1800000000000001E-2</v>
      </c>
      <c r="C594" s="147">
        <v>-1.1999999999999999E-3</v>
      </c>
      <c r="D594" s="147">
        <v>-1.0700000000000001E-2</v>
      </c>
      <c r="E594" s="147">
        <v>2.0800000000000003E-2</v>
      </c>
      <c r="F594" s="147">
        <v>2.3100000000000002E-2</v>
      </c>
      <c r="G594" s="147">
        <v>-4.7500000000000001E-2</v>
      </c>
      <c r="I594" s="27">
        <f t="shared" si="63"/>
        <v>3.13001370030907E-2</v>
      </c>
      <c r="J594">
        <f t="shared" si="69"/>
        <v>-5.1000000000000004E-2</v>
      </c>
      <c r="L594">
        <f t="shared" si="64"/>
        <v>-6.5299999999999997E-2</v>
      </c>
      <c r="M594">
        <f t="shared" si="65"/>
        <v>-1.1999999999999999E-3</v>
      </c>
      <c r="N594">
        <f t="shared" si="66"/>
        <v>-1.0700000000000001E-2</v>
      </c>
      <c r="O594">
        <f t="shared" si="67"/>
        <v>2.0800000000000003E-2</v>
      </c>
      <c r="P594">
        <f t="shared" si="68"/>
        <v>2.3100000000000002E-2</v>
      </c>
    </row>
    <row r="595" spans="1:16">
      <c r="A595" s="230" t="s">
        <v>1228</v>
      </c>
      <c r="B595" s="147">
        <v>3.8900000000000004E-2</v>
      </c>
      <c r="C595" s="147">
        <v>8.3999999999999995E-3</v>
      </c>
      <c r="D595" s="147">
        <v>6.1999999999999998E-3</v>
      </c>
      <c r="E595" s="147">
        <v>-1.1000000000000001E-2</v>
      </c>
      <c r="F595" s="147">
        <v>4.5999999999999999E-3</v>
      </c>
      <c r="G595" s="147">
        <v>1.9800000000000002E-2</v>
      </c>
      <c r="I595" s="27">
        <f t="shared" si="63"/>
        <v>3.1072113650118239E-2</v>
      </c>
      <c r="J595">
        <f t="shared" si="69"/>
        <v>1.6300000000000002E-2</v>
      </c>
      <c r="L595">
        <f t="shared" si="64"/>
        <v>3.5400000000000001E-2</v>
      </c>
      <c r="M595">
        <f t="shared" si="65"/>
        <v>8.3999999999999995E-3</v>
      </c>
      <c r="N595">
        <f t="shared" si="66"/>
        <v>6.1999999999999998E-3</v>
      </c>
      <c r="O595">
        <f t="shared" si="67"/>
        <v>-1.1000000000000001E-2</v>
      </c>
      <c r="P595">
        <f t="shared" si="68"/>
        <v>4.5999999999999999E-3</v>
      </c>
    </row>
    <row r="596" spans="1:16">
      <c r="A596" s="230" t="s">
        <v>1229</v>
      </c>
      <c r="B596" s="147">
        <v>7.9000000000000008E-3</v>
      </c>
      <c r="C596" s="147">
        <v>-2.7799999999999998E-2</v>
      </c>
      <c r="D596" s="147">
        <v>-2.0000000000000001E-4</v>
      </c>
      <c r="E596" s="147">
        <v>1.1000000000000001E-2</v>
      </c>
      <c r="F596" s="147">
        <v>5.0000000000000001E-4</v>
      </c>
      <c r="G596" s="147">
        <v>2.53E-2</v>
      </c>
      <c r="I596" s="27">
        <f t="shared" si="63"/>
        <v>7.4064227288043148E-3</v>
      </c>
      <c r="J596">
        <f t="shared" si="69"/>
        <v>2.18E-2</v>
      </c>
      <c r="L596">
        <f t="shared" si="64"/>
        <v>4.4000000000000011E-3</v>
      </c>
      <c r="M596">
        <f t="shared" si="65"/>
        <v>-2.7799999999999998E-2</v>
      </c>
      <c r="N596">
        <f t="shared" si="66"/>
        <v>-2.0000000000000001E-4</v>
      </c>
      <c r="O596">
        <f t="shared" si="67"/>
        <v>1.1000000000000001E-2</v>
      </c>
      <c r="P596">
        <f t="shared" si="68"/>
        <v>5.0000000000000001E-4</v>
      </c>
    </row>
    <row r="597" spans="1:16">
      <c r="A597" s="230" t="s">
        <v>1230</v>
      </c>
      <c r="B597" s="147">
        <v>2.5599999999999998E-2</v>
      </c>
      <c r="C597" s="147">
        <v>4.4000000000000003E-3</v>
      </c>
      <c r="D597" s="147">
        <v>1.3000000000000001E-2</v>
      </c>
      <c r="E597" s="147">
        <v>-1.3300000000000001E-2</v>
      </c>
      <c r="F597" s="147">
        <v>-8.3999999999999995E-3</v>
      </c>
      <c r="G597" s="147">
        <v>3.8900000000000004E-2</v>
      </c>
      <c r="I597" s="27">
        <f t="shared" si="63"/>
        <v>-2.2743536554024248E-2</v>
      </c>
      <c r="J597">
        <f t="shared" si="69"/>
        <v>3.5400000000000001E-2</v>
      </c>
      <c r="L597">
        <f t="shared" si="64"/>
        <v>2.2099999999999998E-2</v>
      </c>
      <c r="M597">
        <f t="shared" si="65"/>
        <v>4.4000000000000003E-3</v>
      </c>
      <c r="N597">
        <f t="shared" si="66"/>
        <v>1.3000000000000001E-2</v>
      </c>
      <c r="O597">
        <f t="shared" si="67"/>
        <v>-1.3300000000000001E-2</v>
      </c>
      <c r="P597">
        <f t="shared" si="68"/>
        <v>-8.3999999999999995E-3</v>
      </c>
    </row>
    <row r="598" spans="1:16">
      <c r="A598" s="230" t="s">
        <v>1231</v>
      </c>
      <c r="B598" s="147">
        <v>2.7400000000000001E-2</v>
      </c>
      <c r="C598" s="147">
        <v>6.1000000000000004E-3</v>
      </c>
      <c r="D598" s="147">
        <v>1.6E-2</v>
      </c>
      <c r="E598" s="147">
        <v>-1.49E-2</v>
      </c>
      <c r="F598" s="147">
        <v>1.54E-2</v>
      </c>
      <c r="G598" s="147">
        <v>2.2200000000000001E-2</v>
      </c>
      <c r="I598" s="27">
        <f t="shared" si="63"/>
        <v>3.5761892794727287E-2</v>
      </c>
      <c r="J598">
        <f t="shared" si="69"/>
        <v>1.8700000000000001E-2</v>
      </c>
      <c r="L598">
        <f t="shared" si="64"/>
        <v>2.3900000000000001E-2</v>
      </c>
      <c r="M598">
        <f t="shared" si="65"/>
        <v>6.1000000000000004E-3</v>
      </c>
      <c r="N598">
        <f t="shared" si="66"/>
        <v>1.6E-2</v>
      </c>
      <c r="O598">
        <f t="shared" si="67"/>
        <v>-1.49E-2</v>
      </c>
      <c r="P598">
        <f t="shared" si="68"/>
        <v>1.54E-2</v>
      </c>
    </row>
    <row r="599" spans="1:16">
      <c r="A599" s="230" t="s">
        <v>1232</v>
      </c>
      <c r="B599" s="147">
        <v>-1.7500000000000002E-2</v>
      </c>
      <c r="C599" s="147">
        <v>-8.8999999999999999E-3</v>
      </c>
      <c r="D599" s="147">
        <v>3.5900000000000001E-2</v>
      </c>
      <c r="E599" s="147">
        <v>-1.34E-2</v>
      </c>
      <c r="F599" s="147">
        <v>2.5000000000000001E-2</v>
      </c>
      <c r="G599" s="147">
        <v>-5.9500000000000004E-2</v>
      </c>
      <c r="I599" s="27">
        <f t="shared" si="63"/>
        <v>3.4298987261214167E-3</v>
      </c>
      <c r="J599">
        <f t="shared" si="69"/>
        <v>-6.3E-2</v>
      </c>
      <c r="L599">
        <f t="shared" si="64"/>
        <v>-2.1000000000000001E-2</v>
      </c>
      <c r="M599">
        <f t="shared" si="65"/>
        <v>-8.8999999999999999E-3</v>
      </c>
      <c r="N599">
        <f t="shared" si="66"/>
        <v>3.5900000000000001E-2</v>
      </c>
      <c r="O599">
        <f t="shared" si="67"/>
        <v>-1.34E-2</v>
      </c>
      <c r="P599">
        <f t="shared" si="68"/>
        <v>2.5000000000000001E-2</v>
      </c>
    </row>
    <row r="600" spans="1:16">
      <c r="A600" s="230" t="s">
        <v>1233</v>
      </c>
      <c r="B600" s="147">
        <v>7.9000000000000008E-3</v>
      </c>
      <c r="C600" s="147">
        <v>4.5999999999999999E-3</v>
      </c>
      <c r="D600" s="147">
        <v>-8.3999999999999995E-3</v>
      </c>
      <c r="E600" s="147">
        <v>6.1000000000000004E-3</v>
      </c>
      <c r="F600" s="147">
        <v>8.5000000000000006E-3</v>
      </c>
      <c r="G600" s="147">
        <v>1.67E-2</v>
      </c>
      <c r="I600" s="27">
        <f t="shared" si="63"/>
        <v>4.1365931328323349E-2</v>
      </c>
      <c r="J600">
        <f t="shared" si="69"/>
        <v>1.32E-2</v>
      </c>
      <c r="L600">
        <f t="shared" si="64"/>
        <v>4.4000000000000011E-3</v>
      </c>
      <c r="M600">
        <f t="shared" si="65"/>
        <v>4.5999999999999999E-3</v>
      </c>
      <c r="N600">
        <f t="shared" si="66"/>
        <v>-8.3999999999999995E-3</v>
      </c>
      <c r="O600">
        <f t="shared" si="67"/>
        <v>6.1000000000000004E-3</v>
      </c>
      <c r="P600">
        <f t="shared" si="68"/>
        <v>8.5000000000000006E-3</v>
      </c>
    </row>
    <row r="601" spans="1:16">
      <c r="A601" s="230" t="s">
        <v>1234</v>
      </c>
      <c r="B601" s="147">
        <v>1.1899999999999999E-2</v>
      </c>
      <c r="C601" s="147">
        <v>1.89E-2</v>
      </c>
      <c r="D601" s="147">
        <v>3.5099999999999999E-2</v>
      </c>
      <c r="E601" s="147">
        <v>-1.8500000000000003E-2</v>
      </c>
      <c r="F601" s="147">
        <v>9.1000000000000004E-3</v>
      </c>
      <c r="G601" s="147">
        <v>1.9E-2</v>
      </c>
      <c r="I601" s="27">
        <f t="shared" si="63"/>
        <v>2.4916204604518012E-3</v>
      </c>
      <c r="J601">
        <f t="shared" si="69"/>
        <v>1.55E-2</v>
      </c>
      <c r="L601">
        <f t="shared" si="64"/>
        <v>8.3999999999999995E-3</v>
      </c>
      <c r="M601">
        <f t="shared" si="65"/>
        <v>1.89E-2</v>
      </c>
      <c r="N601">
        <f t="shared" si="66"/>
        <v>3.5099999999999999E-2</v>
      </c>
      <c r="O601">
        <f t="shared" si="67"/>
        <v>-1.8500000000000003E-2</v>
      </c>
      <c r="P601">
        <f t="shared" si="68"/>
        <v>9.1000000000000004E-3</v>
      </c>
    </row>
    <row r="602" spans="1:16">
      <c r="A602" s="230" t="s">
        <v>1235</v>
      </c>
      <c r="B602" s="147">
        <v>5.5700000000000006E-2</v>
      </c>
      <c r="C602" s="147">
        <v>4.7999999999999996E-3</v>
      </c>
      <c r="D602" s="147">
        <v>9.5999999999999992E-3</v>
      </c>
      <c r="E602" s="147">
        <v>-1.9300000000000001E-2</v>
      </c>
      <c r="F602" s="147">
        <v>1.41E-2</v>
      </c>
      <c r="G602" s="147">
        <v>5.91E-2</v>
      </c>
      <c r="I602" s="27">
        <f t="shared" si="63"/>
        <v>5.3324865975470863E-2</v>
      </c>
      <c r="J602">
        <f t="shared" si="69"/>
        <v>5.5599999999999997E-2</v>
      </c>
      <c r="L602">
        <f t="shared" si="64"/>
        <v>5.2200000000000003E-2</v>
      </c>
      <c r="M602">
        <f t="shared" si="65"/>
        <v>4.7999999999999996E-3</v>
      </c>
      <c r="N602">
        <f t="shared" si="66"/>
        <v>9.5999999999999992E-3</v>
      </c>
      <c r="O602">
        <f t="shared" si="67"/>
        <v>-1.9300000000000001E-2</v>
      </c>
      <c r="P602">
        <f t="shared" si="68"/>
        <v>1.41E-2</v>
      </c>
    </row>
    <row r="603" spans="1:16">
      <c r="A603" s="230" t="s">
        <v>1236</v>
      </c>
      <c r="B603" s="147">
        <v>1.29E-2</v>
      </c>
      <c r="C603" s="147">
        <v>-2.5000000000000001E-3</v>
      </c>
      <c r="D603" s="147">
        <v>1.1000000000000001E-3</v>
      </c>
      <c r="E603" s="147">
        <v>-6.7000000000000002E-3</v>
      </c>
      <c r="F603" s="147">
        <v>5.2000000000000006E-3</v>
      </c>
      <c r="G603" s="147">
        <v>1.9E-2</v>
      </c>
      <c r="I603" s="27">
        <f t="shared" si="63"/>
        <v>8.2791511170253688E-3</v>
      </c>
      <c r="J603">
        <f t="shared" si="69"/>
        <v>1.55E-2</v>
      </c>
      <c r="L603">
        <f t="shared" si="64"/>
        <v>9.4000000000000004E-3</v>
      </c>
      <c r="M603">
        <f t="shared" si="65"/>
        <v>-2.5000000000000001E-3</v>
      </c>
      <c r="N603">
        <f t="shared" si="66"/>
        <v>1.1000000000000001E-3</v>
      </c>
      <c r="O603">
        <f t="shared" si="67"/>
        <v>-6.7000000000000002E-3</v>
      </c>
      <c r="P603">
        <f t="shared" si="68"/>
        <v>5.2000000000000006E-3</v>
      </c>
    </row>
    <row r="604" spans="1:16">
      <c r="A604" s="230" t="s">
        <v>1237</v>
      </c>
      <c r="B604" s="147">
        <v>4.0300000000000002E-2</v>
      </c>
      <c r="C604" s="147">
        <v>8.5000000000000006E-3</v>
      </c>
      <c r="D604" s="147">
        <v>-1.9E-3</v>
      </c>
      <c r="E604" s="147">
        <v>1.3000000000000002E-3</v>
      </c>
      <c r="F604" s="147">
        <v>1.38E-2</v>
      </c>
      <c r="G604" s="147">
        <v>5.4199999999999998E-2</v>
      </c>
      <c r="I604" s="27">
        <f t="shared" si="63"/>
        <v>7.9418633637986846E-2</v>
      </c>
      <c r="J604">
        <f t="shared" si="69"/>
        <v>5.0699999999999995E-2</v>
      </c>
      <c r="L604">
        <f t="shared" si="64"/>
        <v>3.6799999999999999E-2</v>
      </c>
      <c r="M604">
        <f t="shared" si="65"/>
        <v>8.5000000000000006E-3</v>
      </c>
      <c r="N604">
        <f t="shared" si="66"/>
        <v>-1.9E-3</v>
      </c>
      <c r="O604">
        <f t="shared" si="67"/>
        <v>1.3000000000000002E-3</v>
      </c>
      <c r="P604">
        <f t="shared" si="68"/>
        <v>1.38E-2</v>
      </c>
    </row>
    <row r="605" spans="1:16">
      <c r="A605" s="230" t="s">
        <v>1238</v>
      </c>
      <c r="B605" s="147">
        <v>1.5500000000000002E-2</v>
      </c>
      <c r="C605" s="147">
        <v>-2.2499999999999999E-2</v>
      </c>
      <c r="D605" s="147">
        <v>4.5000000000000005E-3</v>
      </c>
      <c r="E605" s="147">
        <v>2.7000000000000001E-3</v>
      </c>
      <c r="F605" s="147">
        <v>3.8E-3</v>
      </c>
      <c r="G605" s="147">
        <v>2.5000000000000001E-3</v>
      </c>
      <c r="I605" s="27">
        <f t="shared" si="63"/>
        <v>1.063007777786619E-2</v>
      </c>
      <c r="J605">
        <f t="shared" si="69"/>
        <v>-1E-3</v>
      </c>
      <c r="L605">
        <f t="shared" si="64"/>
        <v>1.2000000000000002E-2</v>
      </c>
      <c r="M605">
        <f t="shared" si="65"/>
        <v>-2.2499999999999999E-2</v>
      </c>
      <c r="N605">
        <f t="shared" si="66"/>
        <v>4.5000000000000005E-3</v>
      </c>
      <c r="O605">
        <f t="shared" si="67"/>
        <v>2.7000000000000001E-3</v>
      </c>
      <c r="P605">
        <f t="shared" si="68"/>
        <v>3.8E-3</v>
      </c>
    </row>
    <row r="606" spans="1:16">
      <c r="A606" s="230" t="s">
        <v>1239</v>
      </c>
      <c r="B606" s="147">
        <v>2.7999999999999997E-2</v>
      </c>
      <c r="C606" s="147">
        <v>2.06E-2</v>
      </c>
      <c r="D606" s="147">
        <v>2.63E-2</v>
      </c>
      <c r="E606" s="147">
        <v>-1.9699999999999999E-2</v>
      </c>
      <c r="F606" s="147">
        <v>-8.6999999999999994E-3</v>
      </c>
      <c r="G606" s="147">
        <v>4.7199999999999999E-2</v>
      </c>
      <c r="I606" s="27">
        <f t="shared" si="63"/>
        <v>-2.4850840148289671E-2</v>
      </c>
      <c r="J606">
        <f t="shared" si="69"/>
        <v>4.3699999999999996E-2</v>
      </c>
      <c r="L606">
        <f t="shared" si="64"/>
        <v>2.4499999999999997E-2</v>
      </c>
      <c r="M606">
        <f t="shared" si="65"/>
        <v>2.06E-2</v>
      </c>
      <c r="N606">
        <f t="shared" si="66"/>
        <v>2.63E-2</v>
      </c>
      <c r="O606">
        <f t="shared" si="67"/>
        <v>-1.9699999999999999E-2</v>
      </c>
      <c r="P606">
        <f t="shared" si="68"/>
        <v>-8.6999999999999994E-3</v>
      </c>
    </row>
    <row r="607" spans="1:16">
      <c r="A607" s="230" t="s">
        <v>1240</v>
      </c>
      <c r="B607" s="147">
        <v>-1.2E-2</v>
      </c>
      <c r="C607" s="147">
        <v>1.5600000000000001E-2</v>
      </c>
      <c r="D607" s="147">
        <v>2.9999999999999997E-4</v>
      </c>
      <c r="E607" s="147">
        <v>-3.7000000000000002E-3</v>
      </c>
      <c r="F607" s="147">
        <v>0</v>
      </c>
      <c r="G607" s="147">
        <v>-4.2500000000000003E-2</v>
      </c>
      <c r="I607" s="27">
        <f t="shared" si="63"/>
        <v>-1.2039018033117539E-2</v>
      </c>
      <c r="J607">
        <f t="shared" si="69"/>
        <v>-4.6000000000000006E-2</v>
      </c>
      <c r="L607">
        <f t="shared" si="64"/>
        <v>-1.55E-2</v>
      </c>
      <c r="M607">
        <f t="shared" si="65"/>
        <v>1.5600000000000001E-2</v>
      </c>
      <c r="N607">
        <f t="shared" si="66"/>
        <v>2.9999999999999997E-4</v>
      </c>
      <c r="O607">
        <f t="shared" si="67"/>
        <v>-3.7000000000000002E-3</v>
      </c>
      <c r="P607">
        <f t="shared" si="68"/>
        <v>0</v>
      </c>
    </row>
    <row r="608" spans="1:16">
      <c r="A608" s="230" t="s">
        <v>1241</v>
      </c>
      <c r="B608" s="147">
        <v>5.6500000000000002E-2</v>
      </c>
      <c r="C608" s="147">
        <v>1.8100000000000002E-2</v>
      </c>
      <c r="D608" s="147">
        <v>5.6999999999999993E-3</v>
      </c>
      <c r="E608" s="147">
        <v>-1.3500000000000002E-2</v>
      </c>
      <c r="F608" s="147">
        <v>5.0000000000000001E-3</v>
      </c>
      <c r="G608" s="147">
        <v>9.9700000000000011E-2</v>
      </c>
      <c r="I608" s="27">
        <f t="shared" si="63"/>
        <v>5.1599060196459393E-2</v>
      </c>
      <c r="J608">
        <f t="shared" si="69"/>
        <v>9.6200000000000008E-2</v>
      </c>
      <c r="L608">
        <f t="shared" si="64"/>
        <v>5.2999999999999999E-2</v>
      </c>
      <c r="M608">
        <f t="shared" si="65"/>
        <v>1.8100000000000002E-2</v>
      </c>
      <c r="N608">
        <f t="shared" si="66"/>
        <v>5.6999999999999993E-3</v>
      </c>
      <c r="O608">
        <f t="shared" si="67"/>
        <v>-1.3500000000000002E-2</v>
      </c>
      <c r="P608">
        <f t="shared" si="68"/>
        <v>5.0000000000000001E-3</v>
      </c>
    </row>
    <row r="609" spans="1:16">
      <c r="A609" s="230" t="s">
        <v>1242</v>
      </c>
      <c r="B609" s="147">
        <v>-2.7099999999999999E-2</v>
      </c>
      <c r="C609" s="147">
        <v>-5.9999999999999995E-4</v>
      </c>
      <c r="D609" s="147">
        <v>-2.69E-2</v>
      </c>
      <c r="E609" s="147">
        <v>6.6000000000000008E-3</v>
      </c>
      <c r="F609" s="147">
        <v>-2.1600000000000001E-2</v>
      </c>
      <c r="G609" s="147">
        <v>-2.81E-2</v>
      </c>
      <c r="I609" s="27">
        <f t="shared" si="63"/>
        <v>-6.7048979956551485E-2</v>
      </c>
      <c r="J609">
        <f t="shared" si="69"/>
        <v>-3.1600000000000003E-2</v>
      </c>
      <c r="L609">
        <f t="shared" si="64"/>
        <v>-3.0599999999999999E-2</v>
      </c>
      <c r="M609">
        <f t="shared" si="65"/>
        <v>-5.9999999999999995E-4</v>
      </c>
      <c r="N609">
        <f t="shared" si="66"/>
        <v>-2.69E-2</v>
      </c>
      <c r="O609">
        <f t="shared" si="67"/>
        <v>6.6000000000000008E-3</v>
      </c>
      <c r="P609">
        <f t="shared" si="68"/>
        <v>-2.1600000000000001E-2</v>
      </c>
    </row>
    <row r="610" spans="1:16">
      <c r="A610" s="230" t="s">
        <v>1243</v>
      </c>
      <c r="B610" s="147">
        <v>3.7700000000000004E-2</v>
      </c>
      <c r="C610" s="147">
        <v>2.63E-2</v>
      </c>
      <c r="D610" s="147">
        <v>-1.2200000000000001E-2</v>
      </c>
      <c r="E610" s="147">
        <v>-5.6999999999999993E-3</v>
      </c>
      <c r="F610" s="147">
        <v>-1.3500000000000002E-2</v>
      </c>
      <c r="G610" s="147">
        <v>7.5400000000000009E-2</v>
      </c>
      <c r="I610" s="27">
        <f t="shared" si="63"/>
        <v>1.0128945410593452E-2</v>
      </c>
      <c r="J610">
        <f t="shared" si="69"/>
        <v>7.1900000000000006E-2</v>
      </c>
      <c r="L610">
        <f t="shared" si="64"/>
        <v>3.4200000000000001E-2</v>
      </c>
      <c r="M610">
        <f t="shared" si="65"/>
        <v>2.63E-2</v>
      </c>
      <c r="N610">
        <f t="shared" si="66"/>
        <v>-1.2200000000000001E-2</v>
      </c>
      <c r="O610">
        <f t="shared" si="67"/>
        <v>-5.6999999999999993E-3</v>
      </c>
      <c r="P610">
        <f t="shared" si="68"/>
        <v>-1.3500000000000002E-2</v>
      </c>
    </row>
    <row r="611" spans="1:16">
      <c r="A611" s="230" t="s">
        <v>1244</v>
      </c>
      <c r="B611" s="147">
        <v>4.1799999999999997E-2</v>
      </c>
      <c r="C611" s="147">
        <v>-1.4800000000000001E-2</v>
      </c>
      <c r="D611" s="147">
        <v>1.2500000000000001E-2</v>
      </c>
      <c r="E611" s="147">
        <v>2.7700000000000002E-2</v>
      </c>
      <c r="F611" s="147">
        <v>8.6999999999999994E-3</v>
      </c>
      <c r="G611" s="147">
        <v>2.3199999999999998E-2</v>
      </c>
      <c r="I611" s="27">
        <f t="shared" si="63"/>
        <v>9.7886767634922739E-2</v>
      </c>
      <c r="J611">
        <f t="shared" si="69"/>
        <v>1.9699999999999999E-2</v>
      </c>
      <c r="L611">
        <f t="shared" si="64"/>
        <v>3.8299999999999994E-2</v>
      </c>
      <c r="M611">
        <f t="shared" si="65"/>
        <v>-1.4800000000000001E-2</v>
      </c>
      <c r="N611">
        <f t="shared" si="66"/>
        <v>1.2500000000000001E-2</v>
      </c>
      <c r="O611">
        <f t="shared" si="67"/>
        <v>2.7700000000000002E-2</v>
      </c>
      <c r="P611">
        <f t="shared" si="68"/>
        <v>8.6999999999999994E-3</v>
      </c>
    </row>
    <row r="612" spans="1:16">
      <c r="A612" s="230" t="s">
        <v>1245</v>
      </c>
      <c r="B612" s="147">
        <v>3.1300000000000001E-2</v>
      </c>
      <c r="C612" s="147">
        <v>1.41E-2</v>
      </c>
      <c r="D612" s="147">
        <v>3.2000000000000002E-3</v>
      </c>
      <c r="E612" s="147">
        <v>1.4000000000000002E-3</v>
      </c>
      <c r="F612" s="147">
        <v>4.0000000000000002E-4</v>
      </c>
      <c r="G612" s="147">
        <v>3.1400000000000004E-2</v>
      </c>
      <c r="I612" s="27">
        <f t="shared" si="63"/>
        <v>3.9925750739491658E-2</v>
      </c>
      <c r="J612">
        <f t="shared" si="69"/>
        <v>2.7900000000000005E-2</v>
      </c>
      <c r="L612">
        <f t="shared" si="64"/>
        <v>2.7800000000000002E-2</v>
      </c>
      <c r="M612">
        <f t="shared" si="65"/>
        <v>1.41E-2</v>
      </c>
      <c r="N612">
        <f t="shared" si="66"/>
        <v>3.2000000000000002E-3</v>
      </c>
      <c r="O612">
        <f t="shared" si="67"/>
        <v>1.4000000000000002E-3</v>
      </c>
      <c r="P612">
        <f t="shared" si="68"/>
        <v>4.0000000000000002E-4</v>
      </c>
    </row>
    <row r="613" spans="1:16">
      <c r="A613" s="230" t="s">
        <v>1246</v>
      </c>
      <c r="B613" s="147">
        <v>2.81E-2</v>
      </c>
      <c r="C613" s="147">
        <v>-4.5000000000000005E-3</v>
      </c>
      <c r="D613" s="147">
        <v>-2.0000000000000001E-4</v>
      </c>
      <c r="E613" s="147">
        <v>-4.5000000000000005E-3</v>
      </c>
      <c r="F613" s="147">
        <v>1E-3</v>
      </c>
      <c r="G613" s="147">
        <v>3.1200000000000002E-2</v>
      </c>
      <c r="I613" s="27">
        <f t="shared" si="63"/>
        <v>1.5999370195118118E-2</v>
      </c>
      <c r="J613">
        <f t="shared" si="69"/>
        <v>2.7700000000000002E-2</v>
      </c>
      <c r="L613">
        <f t="shared" si="64"/>
        <v>2.46E-2</v>
      </c>
      <c r="M613">
        <f t="shared" si="65"/>
        <v>-4.5000000000000005E-3</v>
      </c>
      <c r="N613">
        <f t="shared" si="66"/>
        <v>-2.0000000000000001E-4</v>
      </c>
      <c r="O613">
        <f t="shared" si="67"/>
        <v>-4.5000000000000005E-3</v>
      </c>
      <c r="P613">
        <f t="shared" si="68"/>
        <v>1E-3</v>
      </c>
    </row>
    <row r="614" spans="1:16">
      <c r="A614" s="230" t="s">
        <v>1247</v>
      </c>
      <c r="B614" s="147">
        <v>-3.32E-2</v>
      </c>
      <c r="C614" s="147">
        <v>5.7999999999999996E-3</v>
      </c>
      <c r="D614" s="147">
        <v>-2.07E-2</v>
      </c>
      <c r="E614" s="147">
        <v>-3.8700000000000005E-2</v>
      </c>
      <c r="F614" s="147">
        <v>-1.43E-2</v>
      </c>
      <c r="G614" s="147">
        <v>6.1000000000000004E-3</v>
      </c>
      <c r="I614" s="27">
        <f t="shared" si="63"/>
        <v>-0.13437060997247752</v>
      </c>
      <c r="J614">
        <f t="shared" si="69"/>
        <v>2.6000000000000003E-3</v>
      </c>
      <c r="L614">
        <f t="shared" si="64"/>
        <v>-3.6700000000000003E-2</v>
      </c>
      <c r="M614">
        <f t="shared" si="65"/>
        <v>5.7999999999999996E-3</v>
      </c>
      <c r="N614">
        <f t="shared" si="66"/>
        <v>-2.07E-2</v>
      </c>
      <c r="O614">
        <f t="shared" si="67"/>
        <v>-3.8700000000000005E-2</v>
      </c>
      <c r="P614">
        <f t="shared" si="68"/>
        <v>-1.43E-2</v>
      </c>
    </row>
    <row r="615" spans="1:16">
      <c r="A615" s="230" t="s">
        <v>1248</v>
      </c>
      <c r="B615" s="147">
        <v>4.6500000000000007E-2</v>
      </c>
      <c r="C615" s="147">
        <v>1.3000000000000002E-3</v>
      </c>
      <c r="D615" s="147">
        <v>-3.0999999999999999E-3</v>
      </c>
      <c r="E615" s="147">
        <v>-2.0999999999999999E-3</v>
      </c>
      <c r="F615" s="147">
        <v>-4.4000000000000003E-3</v>
      </c>
      <c r="G615" s="147">
        <v>6.13E-2</v>
      </c>
      <c r="I615" s="27">
        <f t="shared" si="63"/>
        <v>2.9757247320712336E-2</v>
      </c>
      <c r="J615">
        <f t="shared" si="69"/>
        <v>5.7799999999999997E-2</v>
      </c>
      <c r="L615">
        <f t="shared" si="64"/>
        <v>4.3000000000000003E-2</v>
      </c>
      <c r="M615">
        <f t="shared" si="65"/>
        <v>1.3000000000000002E-3</v>
      </c>
      <c r="N615">
        <f t="shared" si="66"/>
        <v>-3.0999999999999999E-3</v>
      </c>
      <c r="O615">
        <f t="shared" si="67"/>
        <v>-2.0999999999999999E-3</v>
      </c>
      <c r="P615">
        <f t="shared" si="68"/>
        <v>-4.4000000000000003E-3</v>
      </c>
    </row>
    <row r="616" spans="1:16">
      <c r="A616" s="230" t="s">
        <v>1249</v>
      </c>
      <c r="B616" s="147">
        <v>4.3E-3</v>
      </c>
      <c r="C616" s="147">
        <v>-1.0800000000000001E-2</v>
      </c>
      <c r="D616" s="147">
        <v>4.9299999999999997E-2</v>
      </c>
      <c r="E616" s="147">
        <v>2.1299999999999999E-2</v>
      </c>
      <c r="F616" s="147">
        <v>1.9199999999999998E-2</v>
      </c>
      <c r="G616" s="147">
        <v>-5.9800000000000006E-2</v>
      </c>
      <c r="I616" s="27">
        <f t="shared" si="63"/>
        <v>6.9791303565384544E-2</v>
      </c>
      <c r="J616">
        <f t="shared" si="69"/>
        <v>-6.3300000000000009E-2</v>
      </c>
      <c r="L616">
        <f t="shared" si="64"/>
        <v>7.9999999999999993E-4</v>
      </c>
      <c r="M616">
        <f t="shared" si="65"/>
        <v>-1.0800000000000001E-2</v>
      </c>
      <c r="N616">
        <f t="shared" si="66"/>
        <v>4.9299999999999997E-2</v>
      </c>
      <c r="O616">
        <f t="shared" si="67"/>
        <v>2.1299999999999999E-2</v>
      </c>
      <c r="P616">
        <f t="shared" si="68"/>
        <v>1.9199999999999998E-2</v>
      </c>
    </row>
    <row r="617" spans="1:16">
      <c r="A617" s="230" t="s">
        <v>1250</v>
      </c>
      <c r="B617" s="147">
        <v>-1.9E-3</v>
      </c>
      <c r="C617" s="147">
        <v>-4.1100000000000005E-2</v>
      </c>
      <c r="D617" s="147">
        <v>1.17E-2</v>
      </c>
      <c r="E617" s="147">
        <v>3.4700000000000002E-2</v>
      </c>
      <c r="F617" s="147">
        <v>0.01</v>
      </c>
      <c r="G617" s="147">
        <v>-3.4599999999999999E-2</v>
      </c>
      <c r="I617" s="27">
        <f t="shared" si="63"/>
        <v>5.3026724438980467E-2</v>
      </c>
      <c r="J617">
        <f t="shared" si="69"/>
        <v>-3.8100000000000002E-2</v>
      </c>
      <c r="L617">
        <f t="shared" si="64"/>
        <v>-5.4000000000000003E-3</v>
      </c>
      <c r="M617">
        <f t="shared" si="65"/>
        <v>-4.1100000000000005E-2</v>
      </c>
      <c r="N617">
        <f t="shared" si="66"/>
        <v>1.17E-2</v>
      </c>
      <c r="O617">
        <f t="shared" si="67"/>
        <v>3.4700000000000002E-2</v>
      </c>
      <c r="P617">
        <f t="shared" si="68"/>
        <v>0.01</v>
      </c>
    </row>
    <row r="618" spans="1:16">
      <c r="A618" s="230" t="s">
        <v>1251</v>
      </c>
      <c r="B618" s="147">
        <v>2.06E-2</v>
      </c>
      <c r="C618" s="147">
        <v>-1.89E-2</v>
      </c>
      <c r="D618" s="147">
        <v>-1.3000000000000002E-3</v>
      </c>
      <c r="E618" s="147">
        <v>5.9999999999999995E-4</v>
      </c>
      <c r="F618" s="147">
        <v>-0.01</v>
      </c>
      <c r="G618" s="147">
        <v>3.85E-2</v>
      </c>
      <c r="I618" s="27">
        <f t="shared" si="63"/>
        <v>-1.8789217070843224E-2</v>
      </c>
      <c r="J618">
        <f t="shared" si="69"/>
        <v>3.4999999999999996E-2</v>
      </c>
      <c r="L618">
        <f t="shared" si="64"/>
        <v>1.7100000000000001E-2</v>
      </c>
      <c r="M618">
        <f t="shared" si="65"/>
        <v>-1.89E-2</v>
      </c>
      <c r="N618">
        <f t="shared" si="66"/>
        <v>-1.3000000000000002E-3</v>
      </c>
      <c r="O618">
        <f t="shared" si="67"/>
        <v>5.9999999999999995E-4</v>
      </c>
      <c r="P618">
        <f t="shared" si="68"/>
        <v>-0.01</v>
      </c>
    </row>
    <row r="619" spans="1:16">
      <c r="A619" s="230" t="s">
        <v>1252</v>
      </c>
      <c r="B619" s="147">
        <v>2.6099999999999998E-2</v>
      </c>
      <c r="C619" s="147">
        <v>3.1000000000000003E-2</v>
      </c>
      <c r="D619" s="147">
        <v>-6.9999999999999993E-3</v>
      </c>
      <c r="E619" s="147">
        <v>-1.8800000000000001E-2</v>
      </c>
      <c r="F619" s="147">
        <v>-0.02</v>
      </c>
      <c r="G619" s="147">
        <v>5.4699999999999999E-2</v>
      </c>
      <c r="I619" s="27">
        <f t="shared" si="63"/>
        <v>-3.9406330506941353E-2</v>
      </c>
      <c r="J619">
        <f t="shared" si="69"/>
        <v>5.1199999999999996E-2</v>
      </c>
      <c r="L619">
        <f t="shared" si="64"/>
        <v>2.2599999999999999E-2</v>
      </c>
      <c r="M619">
        <f t="shared" si="65"/>
        <v>3.1000000000000003E-2</v>
      </c>
      <c r="N619">
        <f t="shared" si="66"/>
        <v>-6.9999999999999993E-3</v>
      </c>
      <c r="O619">
        <f t="shared" si="67"/>
        <v>-1.8800000000000001E-2</v>
      </c>
      <c r="P619">
        <f t="shared" si="68"/>
        <v>-0.02</v>
      </c>
    </row>
    <row r="620" spans="1:16">
      <c r="A620" s="230" t="s">
        <v>1253</v>
      </c>
      <c r="B620" s="147">
        <v>-2.0400000000000001E-2</v>
      </c>
      <c r="C620" s="147">
        <v>-4.2999999999999997E-2</v>
      </c>
      <c r="D620" s="147">
        <v>4.0000000000000002E-4</v>
      </c>
      <c r="E620" s="147">
        <v>9.0000000000000011E-3</v>
      </c>
      <c r="F620" s="147">
        <v>5.3E-3</v>
      </c>
      <c r="G620" s="147">
        <v>-5.1000000000000004E-3</v>
      </c>
      <c r="I620" s="27">
        <f t="shared" si="63"/>
        <v>-2.2707234375496613E-2</v>
      </c>
      <c r="J620">
        <f t="shared" si="69"/>
        <v>-8.6E-3</v>
      </c>
      <c r="L620">
        <f t="shared" si="64"/>
        <v>-2.3900000000000001E-2</v>
      </c>
      <c r="M620">
        <f t="shared" si="65"/>
        <v>-4.2999999999999997E-2</v>
      </c>
      <c r="N620">
        <f t="shared" si="66"/>
        <v>4.0000000000000002E-4</v>
      </c>
      <c r="O620">
        <f t="shared" si="67"/>
        <v>9.0000000000000011E-3</v>
      </c>
      <c r="P620">
        <f t="shared" si="68"/>
        <v>5.3E-3</v>
      </c>
    </row>
    <row r="621" spans="1:16">
      <c r="A621" s="230" t="s">
        <v>1254</v>
      </c>
      <c r="B621" s="147">
        <v>4.24E-2</v>
      </c>
      <c r="C621" s="147">
        <v>3.0999999999999999E-3</v>
      </c>
      <c r="D621" s="147">
        <v>-4.5000000000000005E-3</v>
      </c>
      <c r="E621" s="147">
        <v>-6.4000000000000003E-3</v>
      </c>
      <c r="F621" s="147">
        <v>-6.8999999999999999E-3</v>
      </c>
      <c r="G621" s="147">
        <v>5.4000000000000006E-2</v>
      </c>
      <c r="I621" s="27">
        <f t="shared" si="63"/>
        <v>1.3112516982846326E-2</v>
      </c>
      <c r="J621">
        <f t="shared" si="69"/>
        <v>5.0500000000000003E-2</v>
      </c>
      <c r="L621">
        <f t="shared" si="64"/>
        <v>3.8899999999999997E-2</v>
      </c>
      <c r="M621">
        <f t="shared" si="65"/>
        <v>3.0999999999999999E-3</v>
      </c>
      <c r="N621">
        <f t="shared" si="66"/>
        <v>-4.5000000000000005E-3</v>
      </c>
      <c r="O621">
        <f t="shared" si="67"/>
        <v>-6.4000000000000003E-3</v>
      </c>
      <c r="P621">
        <f t="shared" si="68"/>
        <v>-6.8999999999999999E-3</v>
      </c>
    </row>
    <row r="622" spans="1:16">
      <c r="A622" s="230" t="s">
        <v>1255</v>
      </c>
      <c r="B622" s="147">
        <v>-1.9699999999999999E-2</v>
      </c>
      <c r="C622" s="147">
        <v>-3.7100000000000001E-2</v>
      </c>
      <c r="D622" s="147">
        <v>-1.3500000000000002E-2</v>
      </c>
      <c r="E622" s="147">
        <v>1.29E-2</v>
      </c>
      <c r="F622" s="147">
        <v>-5.2000000000000006E-3</v>
      </c>
      <c r="G622" s="147">
        <v>-2.3900000000000001E-2</v>
      </c>
      <c r="I622" s="27">
        <f t="shared" si="63"/>
        <v>-3.4232170205784875E-2</v>
      </c>
      <c r="J622">
        <f t="shared" si="69"/>
        <v>-2.7400000000000001E-2</v>
      </c>
      <c r="L622">
        <f t="shared" si="64"/>
        <v>-2.3199999999999998E-2</v>
      </c>
      <c r="M622">
        <f t="shared" si="65"/>
        <v>-3.7100000000000001E-2</v>
      </c>
      <c r="N622">
        <f t="shared" si="66"/>
        <v>-1.3500000000000002E-2</v>
      </c>
      <c r="O622">
        <f t="shared" si="67"/>
        <v>1.29E-2</v>
      </c>
      <c r="P622">
        <f t="shared" si="68"/>
        <v>-5.2000000000000006E-3</v>
      </c>
    </row>
    <row r="623" spans="1:16">
      <c r="A623" s="230" t="s">
        <v>1256</v>
      </c>
      <c r="B623" s="147">
        <v>2.52E-2</v>
      </c>
      <c r="C623" s="147">
        <v>3.73E-2</v>
      </c>
      <c r="D623" s="147">
        <v>-1.8000000000000002E-2</v>
      </c>
      <c r="E623" s="147">
        <v>-5.6000000000000008E-3</v>
      </c>
      <c r="F623" s="147">
        <v>-1E-3</v>
      </c>
      <c r="G623" s="147">
        <v>2.2200000000000001E-2</v>
      </c>
      <c r="I623" s="27">
        <f t="shared" si="63"/>
        <v>3.7294746276438633E-2</v>
      </c>
      <c r="J623">
        <f t="shared" si="69"/>
        <v>1.8700000000000001E-2</v>
      </c>
      <c r="L623">
        <f t="shared" si="64"/>
        <v>2.1700000000000001E-2</v>
      </c>
      <c r="M623">
        <f t="shared" si="65"/>
        <v>3.73E-2</v>
      </c>
      <c r="N623">
        <f t="shared" si="66"/>
        <v>-1.8000000000000002E-2</v>
      </c>
      <c r="O623">
        <f t="shared" si="67"/>
        <v>-5.6000000000000008E-3</v>
      </c>
      <c r="P623">
        <f t="shared" si="68"/>
        <v>-1E-3</v>
      </c>
    </row>
    <row r="624" spans="1:16">
      <c r="A624" s="230" t="s">
        <v>1257</v>
      </c>
      <c r="B624" s="147">
        <v>2.5499999999999998E-2</v>
      </c>
      <c r="C624" s="147">
        <v>-2.2799999999999997E-2</v>
      </c>
      <c r="D624" s="147">
        <v>-3.1000000000000003E-2</v>
      </c>
      <c r="E624" s="147">
        <v>1.4999999999999999E-2</v>
      </c>
      <c r="F624" s="147">
        <v>2.6000000000000003E-3</v>
      </c>
      <c r="G624" s="147">
        <v>3.9800000000000002E-2</v>
      </c>
      <c r="I624" s="27">
        <f t="shared" si="63"/>
        <v>4.7199627539940267E-2</v>
      </c>
      <c r="J624">
        <f t="shared" si="69"/>
        <v>3.6299999999999999E-2</v>
      </c>
      <c r="L624">
        <f t="shared" si="64"/>
        <v>2.1999999999999999E-2</v>
      </c>
      <c r="M624">
        <f t="shared" si="65"/>
        <v>-2.2799999999999997E-2</v>
      </c>
      <c r="N624">
        <f t="shared" si="66"/>
        <v>-3.1000000000000003E-2</v>
      </c>
      <c r="O624">
        <f t="shared" si="67"/>
        <v>1.4999999999999999E-2</v>
      </c>
      <c r="P624">
        <f t="shared" si="68"/>
        <v>2.6000000000000003E-3</v>
      </c>
    </row>
    <row r="625" spans="1:16">
      <c r="A625" s="230" t="s">
        <v>1258</v>
      </c>
      <c r="B625" s="147">
        <v>-5.9999999999999995E-4</v>
      </c>
      <c r="C625" s="147">
        <v>2.86E-2</v>
      </c>
      <c r="D625" s="147">
        <v>2.2700000000000001E-2</v>
      </c>
      <c r="E625" s="147">
        <v>-1.2200000000000001E-2</v>
      </c>
      <c r="F625" s="147">
        <v>9.5999999999999992E-3</v>
      </c>
      <c r="G625" s="147">
        <v>-2.2599999999999999E-2</v>
      </c>
      <c r="I625" s="27">
        <f t="shared" si="63"/>
        <v>1.1631732966630504E-2</v>
      </c>
      <c r="J625">
        <f t="shared" si="69"/>
        <v>-2.6099999999999998E-2</v>
      </c>
      <c r="L625">
        <f t="shared" si="64"/>
        <v>-4.1000000000000003E-3</v>
      </c>
      <c r="M625">
        <f t="shared" si="65"/>
        <v>2.86E-2</v>
      </c>
      <c r="N625">
        <f t="shared" si="66"/>
        <v>2.2700000000000001E-2</v>
      </c>
      <c r="O625">
        <f t="shared" si="67"/>
        <v>-1.2200000000000001E-2</v>
      </c>
      <c r="P625">
        <f t="shared" si="68"/>
        <v>9.5999999999999992E-3</v>
      </c>
    </row>
    <row r="626" spans="1:16">
      <c r="A626" s="230" t="s">
        <v>498</v>
      </c>
      <c r="B626" s="147">
        <v>-3.1099999999999999E-2</v>
      </c>
      <c r="C626" s="147">
        <v>-9.1999999999999998E-3</v>
      </c>
      <c r="D626" s="147">
        <v>-3.5900000000000001E-2</v>
      </c>
      <c r="E626" s="147">
        <v>1.61E-2</v>
      </c>
      <c r="F626" s="147">
        <v>-1.6500000000000001E-2</v>
      </c>
      <c r="G626" s="147">
        <v>6.5000000000000006E-3</v>
      </c>
      <c r="I626" s="27">
        <f t="shared" si="63"/>
        <v>-4.4896261539046731E-2</v>
      </c>
      <c r="J626">
        <f t="shared" si="69"/>
        <v>3.0000000000000005E-3</v>
      </c>
      <c r="L626">
        <f t="shared" si="64"/>
        <v>-3.4599999999999999E-2</v>
      </c>
      <c r="M626">
        <f t="shared" si="65"/>
        <v>-9.1999999999999998E-3</v>
      </c>
      <c r="N626">
        <f t="shared" si="66"/>
        <v>-3.5900000000000001E-2</v>
      </c>
      <c r="O626">
        <f t="shared" si="67"/>
        <v>1.61E-2</v>
      </c>
      <c r="P626">
        <f t="shared" si="68"/>
        <v>-1.6500000000000001E-2</v>
      </c>
    </row>
    <row r="627" spans="1:16">
      <c r="A627" s="230" t="s">
        <v>499</v>
      </c>
      <c r="B627" s="147">
        <v>6.13E-2</v>
      </c>
      <c r="C627" s="147">
        <v>3.2000000000000002E-3</v>
      </c>
      <c r="D627" s="147">
        <v>-1.8600000000000002E-2</v>
      </c>
      <c r="E627" s="147">
        <v>-1.1200000000000002E-2</v>
      </c>
      <c r="F627" s="147">
        <v>-1.8200000000000001E-2</v>
      </c>
      <c r="G627" s="147">
        <v>6.13E-2</v>
      </c>
      <c r="I627" s="27">
        <f t="shared" si="63"/>
        <v>-1.7649987683557478E-3</v>
      </c>
      <c r="J627">
        <f t="shared" si="69"/>
        <v>5.7799999999999997E-2</v>
      </c>
      <c r="L627">
        <f t="shared" si="64"/>
        <v>5.7799999999999997E-2</v>
      </c>
      <c r="M627">
        <f t="shared" si="65"/>
        <v>3.2000000000000002E-3</v>
      </c>
      <c r="N627">
        <f t="shared" si="66"/>
        <v>-1.8600000000000002E-2</v>
      </c>
      <c r="O627">
        <f t="shared" si="67"/>
        <v>-1.1200000000000002E-2</v>
      </c>
      <c r="P627">
        <f t="shared" si="68"/>
        <v>-1.8200000000000001E-2</v>
      </c>
    </row>
    <row r="628" spans="1:16">
      <c r="A628" s="230" t="s">
        <v>500</v>
      </c>
      <c r="B628" s="147">
        <v>-1.1200000000000002E-2</v>
      </c>
      <c r="C628" s="147">
        <v>3.0699999999999998E-2</v>
      </c>
      <c r="D628" s="147">
        <v>-3.8E-3</v>
      </c>
      <c r="E628" s="147">
        <v>8.9999999999999998E-4</v>
      </c>
      <c r="F628" s="147">
        <v>-5.2000000000000006E-3</v>
      </c>
      <c r="G628" s="147">
        <v>-8.1000000000000013E-3</v>
      </c>
      <c r="I628" s="27">
        <f t="shared" si="63"/>
        <v>-5.0324750577797322E-3</v>
      </c>
      <c r="J628">
        <f t="shared" si="69"/>
        <v>-1.1600000000000001E-2</v>
      </c>
      <c r="L628">
        <f t="shared" si="64"/>
        <v>-1.4700000000000001E-2</v>
      </c>
      <c r="M628">
        <f t="shared" si="65"/>
        <v>3.0699999999999998E-2</v>
      </c>
      <c r="N628">
        <f t="shared" si="66"/>
        <v>-3.8E-3</v>
      </c>
      <c r="O628">
        <f t="shared" si="67"/>
        <v>8.9999999999999998E-4</v>
      </c>
      <c r="P628">
        <f t="shared" si="68"/>
        <v>-5.2000000000000006E-3</v>
      </c>
    </row>
    <row r="629" spans="1:16">
      <c r="A629" s="230" t="s">
        <v>501</v>
      </c>
      <c r="B629" s="147">
        <v>5.8999999999999999E-3</v>
      </c>
      <c r="C629" s="147">
        <v>-3.09E-2</v>
      </c>
      <c r="D629" s="147">
        <v>1.8200000000000001E-2</v>
      </c>
      <c r="E629" s="147">
        <v>5.9999999999999995E-4</v>
      </c>
      <c r="F629" s="147">
        <v>-6.1000000000000004E-3</v>
      </c>
      <c r="G629" s="147">
        <v>-2.4500000000000001E-2</v>
      </c>
      <c r="I629" s="27">
        <f t="shared" si="63"/>
        <v>-3.5751155036694883E-2</v>
      </c>
      <c r="J629">
        <f t="shared" si="69"/>
        <v>-2.8000000000000001E-2</v>
      </c>
      <c r="L629">
        <f t="shared" si="64"/>
        <v>2.3999999999999998E-3</v>
      </c>
      <c r="M629">
        <f t="shared" si="65"/>
        <v>-3.09E-2</v>
      </c>
      <c r="N629">
        <f t="shared" si="66"/>
        <v>1.8200000000000001E-2</v>
      </c>
      <c r="O629">
        <f t="shared" si="67"/>
        <v>5.9999999999999995E-4</v>
      </c>
      <c r="P629">
        <f t="shared" si="68"/>
        <v>-6.1000000000000004E-3</v>
      </c>
    </row>
    <row r="630" spans="1:16">
      <c r="A630" s="230" t="s">
        <v>502</v>
      </c>
      <c r="B630" s="147">
        <v>1.3600000000000001E-2</v>
      </c>
      <c r="C630" s="147">
        <v>8.3999999999999995E-3</v>
      </c>
      <c r="D630" s="147">
        <v>-1.15E-2</v>
      </c>
      <c r="E630" s="147">
        <v>-1.8000000000000002E-2</v>
      </c>
      <c r="F630" s="147">
        <v>-7.4999999999999997E-3</v>
      </c>
      <c r="G630" s="147">
        <v>4.5599999999999995E-2</v>
      </c>
      <c r="I630" s="27">
        <f t="shared" si="63"/>
        <v>-3.3301902346525109E-2</v>
      </c>
      <c r="J630">
        <f t="shared" si="69"/>
        <v>4.2099999999999992E-2</v>
      </c>
      <c r="L630">
        <f t="shared" si="64"/>
        <v>1.0100000000000001E-2</v>
      </c>
      <c r="M630">
        <f t="shared" si="65"/>
        <v>8.3999999999999995E-3</v>
      </c>
      <c r="N630">
        <f t="shared" si="66"/>
        <v>-1.15E-2</v>
      </c>
      <c r="O630">
        <f t="shared" si="67"/>
        <v>-1.8000000000000002E-2</v>
      </c>
      <c r="P630">
        <f t="shared" si="68"/>
        <v>-7.4999999999999997E-3</v>
      </c>
    </row>
    <row r="631" spans="1:16">
      <c r="A631" s="230" t="s">
        <v>503</v>
      </c>
      <c r="B631" s="147">
        <v>-1.5300000000000001E-2</v>
      </c>
      <c r="C631" s="147">
        <v>2.8999999999999998E-2</v>
      </c>
      <c r="D631" s="147">
        <v>-7.9000000000000008E-3</v>
      </c>
      <c r="E631" s="147">
        <v>4.4000000000000003E-3</v>
      </c>
      <c r="F631" s="147">
        <v>-1.5800000000000002E-2</v>
      </c>
      <c r="G631" s="147">
        <v>-5.6000000000000008E-3</v>
      </c>
      <c r="I631" s="27">
        <f t="shared" si="63"/>
        <v>-2.9368096218542351E-2</v>
      </c>
      <c r="J631">
        <f t="shared" si="69"/>
        <v>-9.1000000000000004E-3</v>
      </c>
      <c r="L631">
        <f t="shared" si="64"/>
        <v>-1.8800000000000001E-2</v>
      </c>
      <c r="M631">
        <f t="shared" si="65"/>
        <v>2.8999999999999998E-2</v>
      </c>
      <c r="N631">
        <f t="shared" si="66"/>
        <v>-7.9000000000000008E-3</v>
      </c>
      <c r="O631">
        <f t="shared" si="67"/>
        <v>4.4000000000000003E-3</v>
      </c>
      <c r="P631">
        <f t="shared" si="68"/>
        <v>-1.5800000000000002E-2</v>
      </c>
    </row>
    <row r="632" spans="1:16">
      <c r="A632" s="230" t="s">
        <v>504</v>
      </c>
      <c r="B632" s="147">
        <v>1.54E-2</v>
      </c>
      <c r="C632" s="147">
        <v>-4.5499999999999999E-2</v>
      </c>
      <c r="D632" s="147">
        <v>-4.1299999999999996E-2</v>
      </c>
      <c r="E632" s="147">
        <v>3.0000000000000001E-3</v>
      </c>
      <c r="F632" s="147">
        <v>-2.4199999999999999E-2</v>
      </c>
      <c r="G632" s="147">
        <v>1.9699999999999999E-2</v>
      </c>
      <c r="I632" s="27">
        <f t="shared" si="63"/>
        <v>-6.4019418926400798E-2</v>
      </c>
      <c r="J632">
        <f t="shared" si="69"/>
        <v>1.6199999999999999E-2</v>
      </c>
      <c r="L632">
        <f t="shared" si="64"/>
        <v>1.1900000000000001E-2</v>
      </c>
      <c r="M632">
        <f t="shared" si="65"/>
        <v>-4.5499999999999999E-2</v>
      </c>
      <c r="N632">
        <f t="shared" si="66"/>
        <v>-4.1299999999999996E-2</v>
      </c>
      <c r="O632">
        <f t="shared" si="67"/>
        <v>3.0000000000000001E-3</v>
      </c>
      <c r="P632">
        <f t="shared" si="68"/>
        <v>-2.4199999999999999E-2</v>
      </c>
    </row>
    <row r="633" spans="1:16">
      <c r="A633" s="230" t="s">
        <v>505</v>
      </c>
      <c r="B633" s="147">
        <v>-6.0400000000000002E-2</v>
      </c>
      <c r="C633" s="147">
        <v>2.5000000000000001E-3</v>
      </c>
      <c r="D633" s="147">
        <v>2.7700000000000002E-2</v>
      </c>
      <c r="E633" s="147">
        <v>6.8000000000000005E-3</v>
      </c>
      <c r="F633" s="147">
        <v>1.1899999999999999E-2</v>
      </c>
      <c r="G633" s="147">
        <v>-6.2800000000000009E-2</v>
      </c>
      <c r="I633" s="27">
        <f t="shared" si="63"/>
        <v>-2.6132157776353793E-2</v>
      </c>
      <c r="J633">
        <f t="shared" si="69"/>
        <v>-6.6300000000000012E-2</v>
      </c>
      <c r="L633">
        <f t="shared" si="64"/>
        <v>-6.3899999999999998E-2</v>
      </c>
      <c r="M633">
        <f t="shared" si="65"/>
        <v>2.5000000000000001E-3</v>
      </c>
      <c r="N633">
        <f t="shared" si="66"/>
        <v>2.7700000000000002E-2</v>
      </c>
      <c r="O633">
        <f t="shared" si="67"/>
        <v>6.8000000000000005E-3</v>
      </c>
      <c r="P633">
        <f t="shared" si="68"/>
        <v>1.1899999999999999E-2</v>
      </c>
    </row>
    <row r="634" spans="1:16">
      <c r="A634" s="230" t="s">
        <v>506</v>
      </c>
      <c r="B634" s="147">
        <v>-3.0699999999999998E-2</v>
      </c>
      <c r="C634" s="147">
        <v>-2.7900000000000001E-2</v>
      </c>
      <c r="D634" s="147">
        <v>5.6000000000000008E-3</v>
      </c>
      <c r="E634" s="147">
        <v>1.77E-2</v>
      </c>
      <c r="F634" s="147">
        <v>-5.7999999999999996E-3</v>
      </c>
      <c r="G634" s="147">
        <v>-0.03</v>
      </c>
      <c r="I634" s="27">
        <f t="shared" si="63"/>
        <v>-3.5952786155233327E-2</v>
      </c>
      <c r="J634">
        <f t="shared" si="69"/>
        <v>-3.3500000000000002E-2</v>
      </c>
      <c r="L634">
        <f t="shared" si="64"/>
        <v>-3.4200000000000001E-2</v>
      </c>
      <c r="M634">
        <f t="shared" si="65"/>
        <v>-2.7900000000000001E-2</v>
      </c>
      <c r="N634">
        <f t="shared" si="66"/>
        <v>5.6000000000000008E-3</v>
      </c>
      <c r="O634">
        <f t="shared" si="67"/>
        <v>1.77E-2</v>
      </c>
      <c r="P634">
        <f t="shared" si="68"/>
        <v>-5.7999999999999996E-3</v>
      </c>
    </row>
    <row r="635" spans="1:16">
      <c r="A635" s="230" t="s">
        <v>507</v>
      </c>
      <c r="B635" s="147">
        <v>7.7499999999999999E-2</v>
      </c>
      <c r="C635" s="147">
        <v>-2.0800000000000003E-2</v>
      </c>
      <c r="D635" s="147">
        <v>-4.5999999999999999E-3</v>
      </c>
      <c r="E635" s="147">
        <v>9.0000000000000011E-3</v>
      </c>
      <c r="F635" s="147">
        <v>5.3E-3</v>
      </c>
      <c r="G635" s="147">
        <v>6.8699999999999997E-2</v>
      </c>
      <c r="I635" s="27">
        <f t="shared" si="63"/>
        <v>9.0812697620595309E-2</v>
      </c>
      <c r="J635">
        <f t="shared" si="69"/>
        <v>6.5199999999999994E-2</v>
      </c>
      <c r="L635">
        <f t="shared" si="64"/>
        <v>7.3999999999999996E-2</v>
      </c>
      <c r="M635">
        <f t="shared" si="65"/>
        <v>-2.0800000000000003E-2</v>
      </c>
      <c r="N635">
        <f t="shared" si="66"/>
        <v>-4.5999999999999999E-3</v>
      </c>
      <c r="O635">
        <f t="shared" si="67"/>
        <v>9.0000000000000011E-3</v>
      </c>
      <c r="P635">
        <f t="shared" si="68"/>
        <v>5.3E-3</v>
      </c>
    </row>
    <row r="636" spans="1:16">
      <c r="A636" s="230" t="s">
        <v>508</v>
      </c>
      <c r="B636" s="147">
        <v>5.6999999999999993E-3</v>
      </c>
      <c r="C636" s="147">
        <v>3.3000000000000002E-2</v>
      </c>
      <c r="D636" s="147">
        <v>-4.1999999999999997E-3</v>
      </c>
      <c r="E636" s="147">
        <v>-2.7400000000000004E-2</v>
      </c>
      <c r="F636" s="147">
        <v>-0.01</v>
      </c>
      <c r="G636" s="147">
        <v>1.26E-2</v>
      </c>
      <c r="I636" s="27">
        <f t="shared" si="63"/>
        <v>-4.985421155185138E-2</v>
      </c>
      <c r="J636">
        <f t="shared" si="69"/>
        <v>9.1000000000000004E-3</v>
      </c>
      <c r="L636">
        <f t="shared" si="64"/>
        <v>2.1999999999999993E-3</v>
      </c>
      <c r="M636">
        <f t="shared" si="65"/>
        <v>3.3000000000000002E-2</v>
      </c>
      <c r="N636">
        <f t="shared" si="66"/>
        <v>-4.1999999999999997E-3</v>
      </c>
      <c r="O636">
        <f t="shared" si="67"/>
        <v>-2.7400000000000004E-2</v>
      </c>
      <c r="P636">
        <f t="shared" si="68"/>
        <v>-0.01</v>
      </c>
    </row>
    <row r="637" spans="1:16">
      <c r="A637" s="230" t="s">
        <v>509</v>
      </c>
      <c r="B637" s="147">
        <v>-2.1600000000000001E-2</v>
      </c>
      <c r="C637" s="147">
        <v>-0.03</v>
      </c>
      <c r="D637" s="147">
        <v>-2.6099999999999998E-2</v>
      </c>
      <c r="E637" s="147">
        <v>5.0000000000000001E-3</v>
      </c>
      <c r="F637" s="147">
        <v>-1E-4</v>
      </c>
      <c r="G637" s="147">
        <v>-1.1899999999999999E-2</v>
      </c>
      <c r="I637" s="27">
        <f t="shared" si="63"/>
        <v>-3.0517357063640352E-2</v>
      </c>
      <c r="J637">
        <f t="shared" si="69"/>
        <v>-1.5399999999999999E-2</v>
      </c>
      <c r="L637">
        <f t="shared" si="64"/>
        <v>-2.5100000000000001E-2</v>
      </c>
      <c r="M637">
        <f t="shared" si="65"/>
        <v>-0.03</v>
      </c>
      <c r="N637">
        <f t="shared" si="66"/>
        <v>-2.6099999999999998E-2</v>
      </c>
      <c r="O637">
        <f t="shared" si="67"/>
        <v>5.0000000000000001E-3</v>
      </c>
      <c r="P637">
        <f t="shared" si="68"/>
        <v>-1E-4</v>
      </c>
    </row>
    <row r="638" spans="1:16">
      <c r="A638" s="230" t="s">
        <v>510</v>
      </c>
      <c r="B638" s="147">
        <v>-5.7599999999999991E-2</v>
      </c>
      <c r="C638" s="147">
        <v>-3.4700000000000002E-2</v>
      </c>
      <c r="D638" s="147">
        <v>2.0899999999999998E-2</v>
      </c>
      <c r="E638" s="147">
        <v>2.81E-2</v>
      </c>
      <c r="F638" s="147">
        <v>3.0699999999999998E-2</v>
      </c>
      <c r="G638" s="147">
        <v>-6.2199999999999998E-2</v>
      </c>
      <c r="I638" s="27">
        <f t="shared" si="63"/>
        <v>3.904329756237461E-2</v>
      </c>
      <c r="J638">
        <f t="shared" si="69"/>
        <v>-6.5699999999999995E-2</v>
      </c>
      <c r="L638">
        <f t="shared" si="64"/>
        <v>-6.1099999999999995E-2</v>
      </c>
      <c r="M638">
        <f t="shared" si="65"/>
        <v>-3.4700000000000002E-2</v>
      </c>
      <c r="N638">
        <f t="shared" si="66"/>
        <v>2.0899999999999998E-2</v>
      </c>
      <c r="O638">
        <f t="shared" si="67"/>
        <v>2.81E-2</v>
      </c>
      <c r="P638">
        <f t="shared" si="68"/>
        <v>3.0699999999999998E-2</v>
      </c>
    </row>
    <row r="639" spans="1:16">
      <c r="A639" s="230" t="s">
        <v>511</v>
      </c>
      <c r="B639" s="147">
        <v>-5.0000000000000012E-4</v>
      </c>
      <c r="C639" s="147">
        <v>8.8000000000000005E-3</v>
      </c>
      <c r="D639" s="147">
        <v>-5.6999999999999993E-3</v>
      </c>
      <c r="E639" s="147">
        <v>3.2500000000000001E-2</v>
      </c>
      <c r="F639" s="147">
        <v>2.0199999999999999E-2</v>
      </c>
      <c r="G639" s="147">
        <v>-3.2799999999999996E-2</v>
      </c>
      <c r="I639" s="27">
        <f t="shared" si="63"/>
        <v>0.11216510753602731</v>
      </c>
      <c r="J639">
        <f t="shared" si="69"/>
        <v>-3.6299999999999999E-2</v>
      </c>
      <c r="L639">
        <f t="shared" si="64"/>
        <v>-4.0000000000000001E-3</v>
      </c>
      <c r="M639">
        <f t="shared" si="65"/>
        <v>8.8000000000000005E-3</v>
      </c>
      <c r="N639">
        <f t="shared" si="66"/>
        <v>-5.6999999999999993E-3</v>
      </c>
      <c r="O639">
        <f t="shared" si="67"/>
        <v>3.2500000000000001E-2</v>
      </c>
      <c r="P639">
        <f t="shared" si="68"/>
        <v>2.0199999999999999E-2</v>
      </c>
    </row>
    <row r="640" spans="1:16">
      <c r="A640" s="230" t="s">
        <v>512</v>
      </c>
      <c r="B640" s="147">
        <v>6.9800000000000001E-2</v>
      </c>
      <c r="C640" s="147">
        <v>1.0700000000000001E-2</v>
      </c>
      <c r="D640" s="147">
        <v>1.1899999999999999E-2</v>
      </c>
      <c r="E640" s="147">
        <v>7.7000000000000002E-3</v>
      </c>
      <c r="F640" s="147">
        <v>-8.0000000000000004E-4</v>
      </c>
      <c r="G640" s="147">
        <v>5.7999999999999996E-2</v>
      </c>
      <c r="I640" s="27">
        <f t="shared" si="63"/>
        <v>8.2836825869370509E-2</v>
      </c>
      <c r="J640">
        <f t="shared" si="69"/>
        <v>5.4499999999999993E-2</v>
      </c>
      <c r="L640">
        <f t="shared" si="64"/>
        <v>6.6299999999999998E-2</v>
      </c>
      <c r="M640">
        <f t="shared" si="65"/>
        <v>1.0700000000000001E-2</v>
      </c>
      <c r="N640">
        <f t="shared" si="66"/>
        <v>1.1899999999999999E-2</v>
      </c>
      <c r="O640">
        <f t="shared" si="67"/>
        <v>7.7000000000000002E-3</v>
      </c>
      <c r="P640">
        <f t="shared" si="68"/>
        <v>-8.0000000000000004E-4</v>
      </c>
    </row>
    <row r="641" spans="1:16">
      <c r="A641" s="230" t="s">
        <v>513</v>
      </c>
      <c r="B641" s="147">
        <v>9.1999999999999998E-3</v>
      </c>
      <c r="C641" s="147">
        <v>1.23E-2</v>
      </c>
      <c r="D641" s="147">
        <v>3.2799999999999996E-2</v>
      </c>
      <c r="E641" s="147">
        <v>-2.9700000000000004E-2</v>
      </c>
      <c r="F641" s="147">
        <v>1.9E-2</v>
      </c>
      <c r="G641" s="147">
        <v>-1.6E-2</v>
      </c>
      <c r="I641" s="27">
        <f t="shared" si="63"/>
        <v>1.9190373074820825E-4</v>
      </c>
      <c r="J641">
        <f t="shared" si="69"/>
        <v>-1.95E-2</v>
      </c>
      <c r="L641">
        <f t="shared" si="64"/>
        <v>5.7000000000000002E-3</v>
      </c>
      <c r="M641">
        <f t="shared" si="65"/>
        <v>1.23E-2</v>
      </c>
      <c r="N641">
        <f t="shared" si="66"/>
        <v>3.2799999999999996E-2</v>
      </c>
      <c r="O641">
        <f t="shared" si="67"/>
        <v>-2.9700000000000004E-2</v>
      </c>
      <c r="P641">
        <f t="shared" si="68"/>
        <v>1.9E-2</v>
      </c>
    </row>
    <row r="642" spans="1:16">
      <c r="A642" s="230" t="s">
        <v>514</v>
      </c>
      <c r="B642" s="147">
        <v>1.7899999999999999E-2</v>
      </c>
      <c r="C642" s="147">
        <v>-6.1000000000000004E-3</v>
      </c>
      <c r="D642" s="147">
        <v>-1.66E-2</v>
      </c>
      <c r="E642" s="147">
        <v>-1.0900000000000002E-2</v>
      </c>
      <c r="F642" s="147">
        <v>-2.4900000000000002E-2</v>
      </c>
      <c r="G642" s="147">
        <v>3.49E-2</v>
      </c>
      <c r="I642" s="27">
        <f t="shared" si="63"/>
        <v>-6.778727290559361E-2</v>
      </c>
      <c r="J642">
        <f t="shared" si="69"/>
        <v>3.1399999999999997E-2</v>
      </c>
      <c r="L642">
        <f t="shared" si="64"/>
        <v>1.44E-2</v>
      </c>
      <c r="M642">
        <f t="shared" si="65"/>
        <v>-6.1000000000000004E-3</v>
      </c>
      <c r="N642">
        <f t="shared" si="66"/>
        <v>-1.66E-2</v>
      </c>
      <c r="O642">
        <f t="shared" si="67"/>
        <v>-1.0900000000000002E-2</v>
      </c>
      <c r="P642">
        <f t="shared" si="68"/>
        <v>-2.4900000000000002E-2</v>
      </c>
    </row>
    <row r="643" spans="1:16">
      <c r="A643" s="230" t="s">
        <v>515</v>
      </c>
      <c r="B643" s="147">
        <v>-3.0000000000000003E-4</v>
      </c>
      <c r="C643" s="147">
        <v>4.5000000000000005E-3</v>
      </c>
      <c r="D643" s="147">
        <v>-1.4800000000000001E-2</v>
      </c>
      <c r="E643" s="147">
        <v>1.41E-2</v>
      </c>
      <c r="F643" s="147">
        <v>1.9400000000000001E-2</v>
      </c>
      <c r="G643" s="147">
        <v>8.6999999999999994E-3</v>
      </c>
      <c r="I643" s="27">
        <f t="shared" si="63"/>
        <v>7.6040524483119654E-2</v>
      </c>
      <c r="J643">
        <f t="shared" si="69"/>
        <v>5.1999999999999998E-3</v>
      </c>
      <c r="L643">
        <f t="shared" si="64"/>
        <v>-3.8E-3</v>
      </c>
      <c r="M643">
        <f t="shared" si="65"/>
        <v>4.5000000000000005E-3</v>
      </c>
      <c r="N643">
        <f t="shared" si="66"/>
        <v>-1.4800000000000001E-2</v>
      </c>
      <c r="O643">
        <f t="shared" si="67"/>
        <v>1.41E-2</v>
      </c>
      <c r="P643">
        <f t="shared" si="68"/>
        <v>1.9400000000000001E-2</v>
      </c>
    </row>
    <row r="644" spans="1:16">
      <c r="A644" s="230" t="s">
        <v>516</v>
      </c>
      <c r="B644" s="147">
        <v>3.9699999999999999E-2</v>
      </c>
      <c r="C644" s="147">
        <v>2.4799999999999999E-2</v>
      </c>
      <c r="D644" s="147">
        <v>-1.3200000000000002E-2</v>
      </c>
      <c r="E644" s="147">
        <v>1.2500000000000001E-2</v>
      </c>
      <c r="F644" s="147">
        <v>-1.18E-2</v>
      </c>
      <c r="G644" s="147">
        <v>4.2500000000000003E-2</v>
      </c>
      <c r="I644" s="27">
        <f t="shared" si="63"/>
        <v>4.8626326700871206E-2</v>
      </c>
      <c r="J644">
        <f t="shared" si="69"/>
        <v>3.9E-2</v>
      </c>
      <c r="L644">
        <f t="shared" si="64"/>
        <v>3.6199999999999996E-2</v>
      </c>
      <c r="M644">
        <f t="shared" si="65"/>
        <v>2.4799999999999999E-2</v>
      </c>
      <c r="N644">
        <f t="shared" si="66"/>
        <v>-1.3200000000000002E-2</v>
      </c>
      <c r="O644">
        <f t="shared" si="67"/>
        <v>1.2500000000000001E-2</v>
      </c>
      <c r="P644">
        <f t="shared" si="68"/>
        <v>-1.18E-2</v>
      </c>
    </row>
    <row r="645" spans="1:16">
      <c r="A645" s="230" t="s">
        <v>517</v>
      </c>
      <c r="B645" s="147">
        <v>5.0999999999999995E-3</v>
      </c>
      <c r="C645" s="147">
        <v>1.6899999999999998E-2</v>
      </c>
      <c r="D645" s="147">
        <v>3.1800000000000002E-2</v>
      </c>
      <c r="E645" s="147">
        <v>-1.8500000000000003E-2</v>
      </c>
      <c r="F645" s="147">
        <v>-3.4000000000000002E-3</v>
      </c>
      <c r="G645" s="147">
        <v>-0.01</v>
      </c>
      <c r="I645" s="27">
        <f t="shared" si="63"/>
        <v>-3.5983610888353695E-2</v>
      </c>
      <c r="J645">
        <f t="shared" si="69"/>
        <v>-1.35E-2</v>
      </c>
      <c r="L645">
        <f t="shared" si="64"/>
        <v>1.5999999999999994E-3</v>
      </c>
      <c r="M645">
        <f t="shared" si="65"/>
        <v>1.6899999999999998E-2</v>
      </c>
      <c r="N645">
        <f t="shared" si="66"/>
        <v>3.1800000000000002E-2</v>
      </c>
      <c r="O645">
        <f t="shared" si="67"/>
        <v>-1.8500000000000003E-2</v>
      </c>
      <c r="P645">
        <f t="shared" si="68"/>
        <v>-3.4000000000000002E-3</v>
      </c>
    </row>
    <row r="646" spans="1:16">
      <c r="A646" s="230" t="s">
        <v>518</v>
      </c>
      <c r="B646" s="147">
        <v>2.7000000000000001E-3</v>
      </c>
      <c r="C646" s="147">
        <v>1.8600000000000002E-2</v>
      </c>
      <c r="D646" s="147">
        <v>-1.24E-2</v>
      </c>
      <c r="E646" s="147">
        <v>-2.2100000000000002E-2</v>
      </c>
      <c r="F646" s="147">
        <v>2.0000000000000001E-4</v>
      </c>
      <c r="G646" s="147">
        <v>3.09E-2</v>
      </c>
      <c r="I646" s="27">
        <f t="shared" si="63"/>
        <v>-2.5634930155248904E-2</v>
      </c>
      <c r="J646">
        <f t="shared" si="69"/>
        <v>2.7400000000000001E-2</v>
      </c>
      <c r="L646">
        <f t="shared" si="64"/>
        <v>-7.9999999999999993E-4</v>
      </c>
      <c r="M646">
        <f t="shared" si="65"/>
        <v>1.8600000000000002E-2</v>
      </c>
      <c r="N646">
        <f t="shared" si="66"/>
        <v>-1.24E-2</v>
      </c>
      <c r="O646">
        <f t="shared" si="67"/>
        <v>-2.2100000000000002E-2</v>
      </c>
      <c r="P646">
        <f t="shared" si="68"/>
        <v>2.0000000000000001E-4</v>
      </c>
    </row>
    <row r="647" spans="1:16">
      <c r="A647" s="230" t="s">
        <v>519</v>
      </c>
      <c r="B647" s="147">
        <v>-0.02</v>
      </c>
      <c r="C647" s="147">
        <v>-4.0300000000000002E-2</v>
      </c>
      <c r="D647" s="147">
        <v>4.0899999999999999E-2</v>
      </c>
      <c r="E647" s="147">
        <v>9.300000000000001E-3</v>
      </c>
      <c r="F647" s="147">
        <v>2.7000000000000001E-3</v>
      </c>
      <c r="G647" s="147">
        <v>-5.2800000000000007E-2</v>
      </c>
      <c r="I647" s="27">
        <f t="shared" si="63"/>
        <v>-3.4903139708272857E-2</v>
      </c>
      <c r="J647">
        <f t="shared" si="69"/>
        <v>-5.630000000000001E-2</v>
      </c>
      <c r="L647">
        <f t="shared" si="64"/>
        <v>-2.35E-2</v>
      </c>
      <c r="M647">
        <f t="shared" si="65"/>
        <v>-4.0300000000000002E-2</v>
      </c>
      <c r="N647">
        <f t="shared" si="66"/>
        <v>4.0899999999999999E-2</v>
      </c>
      <c r="O647">
        <f t="shared" si="67"/>
        <v>9.300000000000001E-3</v>
      </c>
      <c r="P647">
        <f t="shared" si="68"/>
        <v>2.7000000000000001E-3</v>
      </c>
    </row>
    <row r="648" spans="1:16">
      <c r="A648" s="230" t="s">
        <v>520</v>
      </c>
      <c r="B648" s="147">
        <v>4.8700000000000007E-2</v>
      </c>
      <c r="C648" s="147">
        <v>7.0699999999999999E-2</v>
      </c>
      <c r="D648" s="147">
        <v>8.2100000000000006E-2</v>
      </c>
      <c r="E648" s="147">
        <v>-1.8E-3</v>
      </c>
      <c r="F648" s="147">
        <v>3.6900000000000002E-2</v>
      </c>
      <c r="G648" s="147">
        <v>7.46E-2</v>
      </c>
      <c r="I648" s="27">
        <f t="shared" ref="I648:I685" si="70">SUMPRODUCT(B648:F648,$B$4:$F$4)-0.0035</f>
        <v>0.16287475161283421</v>
      </c>
      <c r="J648">
        <f t="shared" si="69"/>
        <v>7.1099999999999997E-2</v>
      </c>
      <c r="L648">
        <f t="shared" ref="L648:L685" si="71">B648-0.0035</f>
        <v>4.5200000000000004E-2</v>
      </c>
      <c r="M648">
        <f t="shared" ref="M648:M685" si="72">C648</f>
        <v>7.0699999999999999E-2</v>
      </c>
      <c r="N648">
        <f t="shared" ref="N648:N685" si="73">D648</f>
        <v>8.2100000000000006E-2</v>
      </c>
      <c r="O648">
        <f t="shared" ref="O648:O685" si="74">E648</f>
        <v>-1.8E-3</v>
      </c>
      <c r="P648">
        <f t="shared" ref="P648:P685" si="75">F648</f>
        <v>3.6900000000000002E-2</v>
      </c>
    </row>
    <row r="649" spans="1:16">
      <c r="A649" s="230" t="s">
        <v>521</v>
      </c>
      <c r="B649" s="147">
        <v>1.8500000000000003E-2</v>
      </c>
      <c r="C649" s="147">
        <v>4.0999999999999995E-3</v>
      </c>
      <c r="D649" s="147">
        <v>3.5299999999999998E-2</v>
      </c>
      <c r="E649" s="147">
        <v>1.2200000000000001E-2</v>
      </c>
      <c r="F649" s="147">
        <v>-2.3999999999999998E-3</v>
      </c>
      <c r="G649" s="147">
        <v>-4.3E-3</v>
      </c>
      <c r="I649" s="27">
        <f t="shared" si="70"/>
        <v>2.6515668580019452E-2</v>
      </c>
      <c r="J649">
        <f t="shared" ref="J649:J685" si="76">G649-0.0035</f>
        <v>-7.7999999999999996E-3</v>
      </c>
      <c r="L649">
        <f t="shared" si="71"/>
        <v>1.5000000000000003E-2</v>
      </c>
      <c r="M649">
        <f t="shared" si="72"/>
        <v>4.0999999999999995E-3</v>
      </c>
      <c r="N649">
        <f t="shared" si="73"/>
        <v>3.5299999999999998E-2</v>
      </c>
      <c r="O649">
        <f t="shared" si="74"/>
        <v>1.2200000000000001E-2</v>
      </c>
      <c r="P649">
        <f t="shared" si="75"/>
        <v>-2.3999999999999998E-3</v>
      </c>
    </row>
    <row r="650" spans="1:16">
      <c r="A650" s="230" t="s">
        <v>50</v>
      </c>
      <c r="B650" s="147">
        <v>1.9800000000000002E-2</v>
      </c>
      <c r="C650" s="147">
        <v>-1.4499999999999999E-2</v>
      </c>
      <c r="D650" s="147">
        <v>-2.75E-2</v>
      </c>
      <c r="E650" s="147">
        <v>-5.0000000000000001E-3</v>
      </c>
      <c r="F650" s="147">
        <v>-9.9000000000000008E-3</v>
      </c>
      <c r="G650" s="147">
        <v>3.6799999999999999E-2</v>
      </c>
      <c r="I650" s="27">
        <f t="shared" si="70"/>
        <v>-2.1151685726147357E-2</v>
      </c>
      <c r="J650">
        <f t="shared" si="76"/>
        <v>3.3299999999999996E-2</v>
      </c>
      <c r="L650">
        <f t="shared" si="71"/>
        <v>1.6300000000000002E-2</v>
      </c>
      <c r="M650">
        <f t="shared" si="72"/>
        <v>-1.4499999999999999E-2</v>
      </c>
      <c r="N650">
        <f t="shared" si="73"/>
        <v>-2.75E-2</v>
      </c>
      <c r="O650">
        <f t="shared" si="74"/>
        <v>-5.0000000000000001E-3</v>
      </c>
      <c r="P650">
        <f t="shared" si="75"/>
        <v>-9.9000000000000008E-3</v>
      </c>
    </row>
    <row r="651" spans="1:16">
      <c r="A651" s="230" t="s">
        <v>53</v>
      </c>
      <c r="B651" s="147">
        <v>3.61E-2</v>
      </c>
      <c r="C651" s="147">
        <v>-2.2200000000000001E-2</v>
      </c>
      <c r="D651" s="147">
        <v>-1.67E-2</v>
      </c>
      <c r="E651" s="147">
        <v>4.7000000000000002E-3</v>
      </c>
      <c r="F651" s="147">
        <v>-1.83E-2</v>
      </c>
      <c r="G651" s="147">
        <v>0</v>
      </c>
      <c r="I651" s="27">
        <f t="shared" si="70"/>
        <v>-1.5413399095361328E-2</v>
      </c>
      <c r="J651">
        <f t="shared" si="76"/>
        <v>-3.5000000000000001E-3</v>
      </c>
      <c r="L651">
        <f t="shared" si="71"/>
        <v>3.2599999999999997E-2</v>
      </c>
      <c r="M651">
        <f t="shared" si="72"/>
        <v>-2.2200000000000001E-2</v>
      </c>
      <c r="N651">
        <f t="shared" si="73"/>
        <v>-1.67E-2</v>
      </c>
      <c r="O651">
        <f t="shared" si="74"/>
        <v>4.7000000000000002E-3</v>
      </c>
      <c r="P651">
        <f t="shared" si="75"/>
        <v>-1.83E-2</v>
      </c>
    </row>
    <row r="652" spans="1:16">
      <c r="A652" s="230" t="s">
        <v>56</v>
      </c>
      <c r="B652" s="147">
        <v>2E-3</v>
      </c>
      <c r="C652" s="147">
        <v>7.4000000000000003E-3</v>
      </c>
      <c r="D652" s="147">
        <v>-3.3500000000000002E-2</v>
      </c>
      <c r="E652" s="147">
        <v>6.1000000000000004E-3</v>
      </c>
      <c r="F652" s="147">
        <v>-9.4999999999999998E-3</v>
      </c>
      <c r="G652" s="147">
        <v>5.1000000000000004E-3</v>
      </c>
      <c r="I652" s="27">
        <f t="shared" si="70"/>
        <v>-2.1691259494477822E-3</v>
      </c>
      <c r="J652">
        <f t="shared" si="76"/>
        <v>1.6000000000000003E-3</v>
      </c>
      <c r="L652">
        <f t="shared" si="71"/>
        <v>-1.5E-3</v>
      </c>
      <c r="M652">
        <f t="shared" si="72"/>
        <v>7.4000000000000003E-3</v>
      </c>
      <c r="N652">
        <f t="shared" si="73"/>
        <v>-3.3500000000000002E-2</v>
      </c>
      <c r="O652">
        <f t="shared" si="74"/>
        <v>6.1000000000000004E-3</v>
      </c>
      <c r="P652">
        <f t="shared" si="75"/>
        <v>-9.4999999999999998E-3</v>
      </c>
    </row>
    <row r="653" spans="1:16">
      <c r="A653" s="230" t="s">
        <v>57</v>
      </c>
      <c r="B653" s="147">
        <v>1.1400000000000002E-2</v>
      </c>
      <c r="C653" s="147">
        <v>4.7999999999999996E-3</v>
      </c>
      <c r="D653" s="147">
        <v>-2.1299999999999999E-2</v>
      </c>
      <c r="E653" s="147">
        <v>1.9E-2</v>
      </c>
      <c r="F653" s="147">
        <v>-1.6E-2</v>
      </c>
      <c r="G653" s="147">
        <v>2.3999999999999998E-3</v>
      </c>
      <c r="I653" s="27">
        <f t="shared" si="70"/>
        <v>1.0256298893847989E-2</v>
      </c>
      <c r="J653">
        <f t="shared" si="76"/>
        <v>-1.1000000000000003E-3</v>
      </c>
      <c r="L653">
        <f t="shared" si="71"/>
        <v>7.9000000000000025E-3</v>
      </c>
      <c r="M653">
        <f t="shared" si="72"/>
        <v>4.7999999999999996E-3</v>
      </c>
      <c r="N653">
        <f t="shared" si="73"/>
        <v>-2.1299999999999999E-2</v>
      </c>
      <c r="O653">
        <f t="shared" si="74"/>
        <v>1.9E-2</v>
      </c>
      <c r="P653">
        <f t="shared" si="75"/>
        <v>-1.6E-2</v>
      </c>
    </row>
    <row r="654" spans="1:16">
      <c r="A654" s="230" t="s">
        <v>58</v>
      </c>
      <c r="B654" s="147">
        <v>1.12E-2</v>
      </c>
      <c r="C654" s="147">
        <v>-3.0600000000000002E-2</v>
      </c>
      <c r="D654" s="147">
        <v>-3.78E-2</v>
      </c>
      <c r="E654" s="147">
        <v>9.4999999999999998E-3</v>
      </c>
      <c r="F654" s="147">
        <v>-1.7899999999999999E-2</v>
      </c>
      <c r="G654" s="147">
        <v>3.5099999999999999E-2</v>
      </c>
      <c r="I654" s="27">
        <f t="shared" si="70"/>
        <v>-3.1713547352930117E-2</v>
      </c>
      <c r="J654">
        <f t="shared" si="76"/>
        <v>3.1599999999999996E-2</v>
      </c>
      <c r="L654">
        <f t="shared" si="71"/>
        <v>7.7000000000000002E-3</v>
      </c>
      <c r="M654">
        <f t="shared" si="72"/>
        <v>-3.0600000000000002E-2</v>
      </c>
      <c r="N654">
        <f t="shared" si="73"/>
        <v>-3.78E-2</v>
      </c>
      <c r="O654">
        <f t="shared" si="74"/>
        <v>9.4999999999999998E-3</v>
      </c>
      <c r="P654">
        <f t="shared" si="75"/>
        <v>-1.7899999999999999E-2</v>
      </c>
    </row>
    <row r="655" spans="1:16">
      <c r="A655" s="230" t="s">
        <v>59</v>
      </c>
      <c r="B655" s="147">
        <v>8.4000000000000012E-3</v>
      </c>
      <c r="C655" s="147">
        <v>2.58E-2</v>
      </c>
      <c r="D655" s="147">
        <v>1.4800000000000001E-2</v>
      </c>
      <c r="E655" s="147">
        <v>-2.2200000000000001E-2</v>
      </c>
      <c r="F655" s="147">
        <v>0</v>
      </c>
      <c r="G655" s="147">
        <v>8.8999999999999999E-3</v>
      </c>
      <c r="I655" s="27">
        <f t="shared" si="70"/>
        <v>-2.1564278611329875E-2</v>
      </c>
      <c r="J655">
        <f t="shared" si="76"/>
        <v>5.4000000000000003E-3</v>
      </c>
      <c r="L655">
        <f t="shared" si="71"/>
        <v>4.9000000000000016E-3</v>
      </c>
      <c r="M655">
        <f t="shared" si="72"/>
        <v>2.58E-2</v>
      </c>
      <c r="N655">
        <f t="shared" si="73"/>
        <v>1.4800000000000001E-2</v>
      </c>
      <c r="O655">
        <f t="shared" si="74"/>
        <v>-2.2200000000000001E-2</v>
      </c>
      <c r="P655">
        <f t="shared" si="75"/>
        <v>0</v>
      </c>
    </row>
    <row r="656" spans="1:16">
      <c r="A656" s="230" t="s">
        <v>60</v>
      </c>
      <c r="B656" s="147">
        <v>1.9400000000000001E-2</v>
      </c>
      <c r="C656" s="147">
        <v>-1.6899999999999998E-2</v>
      </c>
      <c r="D656" s="147">
        <v>-3.0999999999999999E-3</v>
      </c>
      <c r="E656" s="147">
        <v>-6.7000000000000002E-3</v>
      </c>
      <c r="F656" s="147">
        <v>-2E-3</v>
      </c>
      <c r="G656" s="147">
        <v>0.03</v>
      </c>
      <c r="I656" s="27">
        <f t="shared" si="70"/>
        <v>-1.1684195693860786E-2</v>
      </c>
      <c r="J656">
        <f t="shared" si="76"/>
        <v>2.6499999999999999E-2</v>
      </c>
      <c r="L656">
        <f t="shared" si="71"/>
        <v>1.5900000000000001E-2</v>
      </c>
      <c r="M656">
        <f t="shared" si="72"/>
        <v>-1.6899999999999998E-2</v>
      </c>
      <c r="N656">
        <f t="shared" si="73"/>
        <v>-3.0999999999999999E-3</v>
      </c>
      <c r="O656">
        <f t="shared" si="74"/>
        <v>-6.7000000000000002E-3</v>
      </c>
      <c r="P656">
        <f t="shared" si="75"/>
        <v>-2E-3</v>
      </c>
    </row>
    <row r="657" spans="1:16">
      <c r="A657" s="230" t="s">
        <v>61</v>
      </c>
      <c r="B657" s="147">
        <v>2.5000000000000001E-3</v>
      </c>
      <c r="C657" s="147">
        <v>-1.83E-2</v>
      </c>
      <c r="D657" s="147">
        <v>-2.1000000000000001E-2</v>
      </c>
      <c r="E657" s="147">
        <v>1.5E-3</v>
      </c>
      <c r="F657" s="147">
        <v>-2.3799999999999998E-2</v>
      </c>
      <c r="G657" s="147">
        <v>1.3000000000000002E-3</v>
      </c>
      <c r="I657" s="27">
        <f t="shared" si="70"/>
        <v>-6.5028571626301268E-2</v>
      </c>
      <c r="J657">
        <f t="shared" si="76"/>
        <v>-2.1999999999999997E-3</v>
      </c>
      <c r="L657">
        <f t="shared" si="71"/>
        <v>-1E-3</v>
      </c>
      <c r="M657">
        <f t="shared" si="72"/>
        <v>-1.83E-2</v>
      </c>
      <c r="N657">
        <f t="shared" si="73"/>
        <v>-2.1000000000000001E-2</v>
      </c>
      <c r="O657">
        <f t="shared" si="74"/>
        <v>1.5E-3</v>
      </c>
      <c r="P657">
        <f t="shared" si="75"/>
        <v>-2.3799999999999998E-2</v>
      </c>
    </row>
    <row r="658" spans="1:16">
      <c r="A658" s="230" t="s">
        <v>62</v>
      </c>
      <c r="B658" s="147">
        <v>2.5999999999999999E-2</v>
      </c>
      <c r="C658" s="147">
        <v>4.7699999999999999E-2</v>
      </c>
      <c r="D658" s="147">
        <v>3.1200000000000002E-2</v>
      </c>
      <c r="E658" s="147">
        <v>-1.4999999999999999E-2</v>
      </c>
      <c r="F658" s="147">
        <v>1.7100000000000001E-2</v>
      </c>
      <c r="G658" s="147">
        <v>4.2000000000000003E-2</v>
      </c>
      <c r="I658" s="27">
        <f t="shared" si="70"/>
        <v>6.2543860977770788E-2</v>
      </c>
      <c r="J658">
        <f t="shared" si="76"/>
        <v>3.85E-2</v>
      </c>
      <c r="L658">
        <f t="shared" si="71"/>
        <v>2.2499999999999999E-2</v>
      </c>
      <c r="M658">
        <f t="shared" si="72"/>
        <v>4.7699999999999999E-2</v>
      </c>
      <c r="N658">
        <f t="shared" si="73"/>
        <v>3.1200000000000002E-2</v>
      </c>
      <c r="O658">
        <f t="shared" si="74"/>
        <v>-1.4999999999999999E-2</v>
      </c>
      <c r="P658">
        <f t="shared" si="75"/>
        <v>1.7100000000000001E-2</v>
      </c>
    </row>
    <row r="659" spans="1:16">
      <c r="A659" s="230" t="s">
        <v>63</v>
      </c>
      <c r="B659" s="147">
        <v>2.3400000000000001E-2</v>
      </c>
      <c r="C659" s="147">
        <v>-1.9400000000000001E-2</v>
      </c>
      <c r="D659" s="147">
        <v>1.9E-3</v>
      </c>
      <c r="E659" s="147">
        <v>9.1000000000000004E-3</v>
      </c>
      <c r="F659" s="147">
        <v>-3.2599999999999997E-2</v>
      </c>
      <c r="G659" s="147">
        <v>5.6300000000000003E-2</v>
      </c>
      <c r="I659" s="27">
        <f t="shared" si="70"/>
        <v>-5.7690021330585539E-2</v>
      </c>
      <c r="J659">
        <f t="shared" si="76"/>
        <v>5.28E-2</v>
      </c>
      <c r="L659">
        <f t="shared" si="71"/>
        <v>1.9900000000000001E-2</v>
      </c>
      <c r="M659">
        <f t="shared" si="72"/>
        <v>-1.9400000000000001E-2</v>
      </c>
      <c r="N659">
        <f t="shared" si="73"/>
        <v>1.9E-3</v>
      </c>
      <c r="O659">
        <f t="shared" si="74"/>
        <v>9.1000000000000004E-3</v>
      </c>
      <c r="P659">
        <f t="shared" si="75"/>
        <v>-3.2599999999999997E-2</v>
      </c>
    </row>
    <row r="660" spans="1:16">
      <c r="A660" s="230" t="s">
        <v>64</v>
      </c>
      <c r="B660" s="147">
        <v>3.2000000000000001E-2</v>
      </c>
      <c r="C660" s="147">
        <v>-3.2000000000000002E-3</v>
      </c>
      <c r="D660" s="147">
        <v>-2.9999999999999997E-4</v>
      </c>
      <c r="E660" s="147">
        <v>3.1899999999999998E-2</v>
      </c>
      <c r="F660" s="147">
        <v>-5.9999999999999995E-4</v>
      </c>
      <c r="G660" s="147">
        <v>2.9900000000000003E-2</v>
      </c>
      <c r="I660" s="27">
        <f t="shared" si="70"/>
        <v>8.2900395043657149E-2</v>
      </c>
      <c r="J660">
        <f t="shared" si="76"/>
        <v>2.6400000000000003E-2</v>
      </c>
      <c r="L660">
        <f t="shared" si="71"/>
        <v>2.8500000000000001E-2</v>
      </c>
      <c r="M660">
        <f t="shared" si="72"/>
        <v>-3.2000000000000002E-3</v>
      </c>
      <c r="N660">
        <f t="shared" si="73"/>
        <v>-2.9999999999999997E-4</v>
      </c>
      <c r="O660">
        <f t="shared" si="74"/>
        <v>3.1899999999999998E-2</v>
      </c>
      <c r="P660">
        <f t="shared" si="75"/>
        <v>-5.9999999999999995E-4</v>
      </c>
    </row>
    <row r="661" spans="1:16">
      <c r="A661" s="230" t="s">
        <v>65</v>
      </c>
      <c r="B661" s="147">
        <v>1.15E-2</v>
      </c>
      <c r="C661" s="147">
        <v>-1.06E-2</v>
      </c>
      <c r="D661" s="147">
        <v>5.9999999999999995E-4</v>
      </c>
      <c r="E661" s="147">
        <v>7.4999999999999997E-3</v>
      </c>
      <c r="F661" s="147">
        <v>1.7000000000000001E-2</v>
      </c>
      <c r="G661" s="147">
        <v>-6.0000000000000001E-3</v>
      </c>
      <c r="I661" s="27">
        <f t="shared" si="70"/>
        <v>5.6764044058998347E-2</v>
      </c>
      <c r="J661">
        <f t="shared" si="76"/>
        <v>-9.4999999999999998E-3</v>
      </c>
      <c r="L661">
        <f t="shared" si="71"/>
        <v>8.0000000000000002E-3</v>
      </c>
      <c r="M661">
        <f t="shared" si="72"/>
        <v>-1.06E-2</v>
      </c>
      <c r="N661">
        <f t="shared" si="73"/>
        <v>5.9999999999999995E-4</v>
      </c>
      <c r="O661">
        <f t="shared" si="74"/>
        <v>7.4999999999999997E-3</v>
      </c>
      <c r="P661">
        <f t="shared" si="75"/>
        <v>1.7000000000000001E-2</v>
      </c>
    </row>
    <row r="662" spans="1:16">
      <c r="A662" s="230" t="s">
        <v>66</v>
      </c>
      <c r="B662" s="147">
        <v>5.6900000000000006E-2</v>
      </c>
      <c r="C662" s="147">
        <v>-3.1699999999999999E-2</v>
      </c>
      <c r="D662" s="147">
        <v>-1.2800000000000001E-2</v>
      </c>
      <c r="E662" s="147">
        <v>-7.4999999999999997E-3</v>
      </c>
      <c r="F662" s="147">
        <v>-9.1000000000000004E-3</v>
      </c>
      <c r="G662" s="147">
        <v>0.11840000000000001</v>
      </c>
      <c r="I662" s="27">
        <f t="shared" si="70"/>
        <v>-9.6634814212737162E-4</v>
      </c>
      <c r="J662">
        <f t="shared" si="76"/>
        <v>0.1149</v>
      </c>
      <c r="L662">
        <f t="shared" si="71"/>
        <v>5.3400000000000003E-2</v>
      </c>
      <c r="M662">
        <f t="shared" si="72"/>
        <v>-3.1699999999999999E-2</v>
      </c>
      <c r="N662">
        <f t="shared" si="73"/>
        <v>-1.2800000000000001E-2</v>
      </c>
      <c r="O662">
        <f t="shared" si="74"/>
        <v>-7.4999999999999997E-3</v>
      </c>
      <c r="P662">
        <f t="shared" si="75"/>
        <v>-9.1000000000000004E-3</v>
      </c>
    </row>
    <row r="663" spans="1:16">
      <c r="A663" s="230" t="s">
        <v>67</v>
      </c>
      <c r="B663" s="147">
        <v>-3.5400000000000001E-2</v>
      </c>
      <c r="C663" s="147">
        <v>3.2000000000000002E-3</v>
      </c>
      <c r="D663" s="147">
        <v>-1.0400000000000001E-2</v>
      </c>
      <c r="E663" s="147">
        <v>4.7999999999999996E-3</v>
      </c>
      <c r="F663" s="147">
        <v>-2.2799999999999997E-2</v>
      </c>
      <c r="G663" s="147">
        <v>-1.44E-2</v>
      </c>
      <c r="I663" s="27">
        <f t="shared" si="70"/>
        <v>-8.2548172406680526E-2</v>
      </c>
      <c r="J663">
        <f t="shared" si="76"/>
        <v>-1.7899999999999999E-2</v>
      </c>
      <c r="L663">
        <f t="shared" si="71"/>
        <v>-3.8900000000000004E-2</v>
      </c>
      <c r="M663">
        <f t="shared" si="72"/>
        <v>3.2000000000000002E-3</v>
      </c>
      <c r="N663">
        <f t="shared" si="73"/>
        <v>-1.0400000000000001E-2</v>
      </c>
      <c r="O663">
        <f t="shared" si="74"/>
        <v>4.7999999999999996E-3</v>
      </c>
      <c r="P663">
        <f t="shared" si="75"/>
        <v>-2.2799999999999997E-2</v>
      </c>
    </row>
    <row r="664" spans="1:16">
      <c r="A664" s="230" t="s">
        <v>68</v>
      </c>
      <c r="B664" s="147">
        <v>-2.24E-2</v>
      </c>
      <c r="C664" s="147">
        <v>3.6000000000000004E-2</v>
      </c>
      <c r="D664" s="147">
        <v>-2E-3</v>
      </c>
      <c r="E664" s="147">
        <v>-4.1999999999999997E-3</v>
      </c>
      <c r="F664" s="147">
        <v>-2.0000000000000001E-4</v>
      </c>
      <c r="G664" s="147">
        <v>-3.1600000000000003E-2</v>
      </c>
      <c r="I664" s="27">
        <f t="shared" si="70"/>
        <v>-9.9693893247716041E-3</v>
      </c>
      <c r="J664">
        <f t="shared" si="76"/>
        <v>-3.5100000000000006E-2</v>
      </c>
      <c r="L664">
        <f t="shared" si="71"/>
        <v>-2.5899999999999999E-2</v>
      </c>
      <c r="M664">
        <f t="shared" si="72"/>
        <v>3.6000000000000004E-2</v>
      </c>
      <c r="N664">
        <f t="shared" si="73"/>
        <v>-2E-3</v>
      </c>
      <c r="O664">
        <f t="shared" si="74"/>
        <v>-4.1999999999999997E-3</v>
      </c>
      <c r="P664">
        <f t="shared" si="75"/>
        <v>-2.0000000000000001E-4</v>
      </c>
    </row>
    <row r="665" spans="1:16">
      <c r="A665" s="230" t="s">
        <v>69</v>
      </c>
      <c r="B665" s="147">
        <v>4.3E-3</v>
      </c>
      <c r="C665" s="147">
        <v>9.300000000000001E-3</v>
      </c>
      <c r="D665" s="147">
        <v>5.4000000000000003E-3</v>
      </c>
      <c r="E665" s="147">
        <v>-2.4400000000000002E-2</v>
      </c>
      <c r="F665" s="147">
        <v>1.2800000000000001E-2</v>
      </c>
      <c r="G665" s="147">
        <v>1.3899999999999999E-2</v>
      </c>
      <c r="I665" s="27">
        <f t="shared" si="70"/>
        <v>-6.734436661747157E-3</v>
      </c>
      <c r="J665">
        <f t="shared" si="76"/>
        <v>1.04E-2</v>
      </c>
      <c r="L665">
        <f t="shared" si="71"/>
        <v>7.9999999999999993E-4</v>
      </c>
      <c r="M665">
        <f t="shared" si="72"/>
        <v>9.300000000000001E-3</v>
      </c>
      <c r="N665">
        <f t="shared" si="73"/>
        <v>5.4000000000000003E-3</v>
      </c>
      <c r="O665">
        <f t="shared" si="74"/>
        <v>-2.4400000000000002E-2</v>
      </c>
      <c r="P665">
        <f t="shared" si="75"/>
        <v>1.2800000000000001E-2</v>
      </c>
    </row>
    <row r="666" spans="1:16">
      <c r="A666" s="230" t="s">
        <v>70</v>
      </c>
      <c r="B666" s="147">
        <v>2.7900000000000001E-2</v>
      </c>
      <c r="C666" s="147">
        <v>4.7500000000000001E-2</v>
      </c>
      <c r="D666" s="147">
        <v>-3.2199999999999999E-2</v>
      </c>
      <c r="E666" s="147">
        <v>-2.0499999999999997E-2</v>
      </c>
      <c r="F666" s="147">
        <v>-1.5300000000000001E-2</v>
      </c>
      <c r="G666" s="147">
        <v>7.2700000000000001E-2</v>
      </c>
      <c r="I666" s="27">
        <f t="shared" si="70"/>
        <v>-1.2923894247260381E-2</v>
      </c>
      <c r="J666">
        <f t="shared" si="76"/>
        <v>6.9199999999999998E-2</v>
      </c>
      <c r="L666">
        <f t="shared" si="71"/>
        <v>2.4400000000000002E-2</v>
      </c>
      <c r="M666">
        <f t="shared" si="72"/>
        <v>4.7500000000000001E-2</v>
      </c>
      <c r="N666">
        <f t="shared" si="73"/>
        <v>-3.2199999999999999E-2</v>
      </c>
      <c r="O666">
        <f t="shared" si="74"/>
        <v>-2.0499999999999997E-2</v>
      </c>
      <c r="P666">
        <f t="shared" si="75"/>
        <v>-1.5300000000000001E-2</v>
      </c>
    </row>
    <row r="667" spans="1:16">
      <c r="A667" s="230" t="s">
        <v>71</v>
      </c>
      <c r="B667" s="147">
        <v>6.1999999999999998E-3</v>
      </c>
      <c r="C667" s="147">
        <v>8.0000000000000002E-3</v>
      </c>
      <c r="D667" s="147">
        <v>-2.3300000000000001E-2</v>
      </c>
      <c r="E667" s="147">
        <v>8.0000000000000002E-3</v>
      </c>
      <c r="F667" s="147">
        <v>2E-3</v>
      </c>
      <c r="G667" s="147">
        <v>4.8999999999999998E-3</v>
      </c>
      <c r="I667" s="27">
        <f t="shared" si="70"/>
        <v>3.2312687030366667E-2</v>
      </c>
      <c r="J667">
        <f t="shared" si="76"/>
        <v>1.3999999999999998E-3</v>
      </c>
      <c r="L667">
        <f t="shared" si="71"/>
        <v>2.6999999999999997E-3</v>
      </c>
      <c r="M667">
        <f t="shared" si="72"/>
        <v>8.0000000000000002E-3</v>
      </c>
      <c r="N667">
        <f t="shared" si="73"/>
        <v>-2.3300000000000001E-2</v>
      </c>
      <c r="O667">
        <f t="shared" si="74"/>
        <v>8.0000000000000002E-3</v>
      </c>
      <c r="P667">
        <f t="shared" si="75"/>
        <v>2E-3</v>
      </c>
    </row>
    <row r="668" spans="1:16">
      <c r="A668" s="230" t="s">
        <v>72</v>
      </c>
      <c r="B668" s="147">
        <v>3.3499999999999995E-2</v>
      </c>
      <c r="C668" s="147">
        <v>-1.9300000000000001E-2</v>
      </c>
      <c r="D668" s="147">
        <v>4.5000000000000005E-3</v>
      </c>
      <c r="E668" s="147">
        <v>1.5500000000000002E-2</v>
      </c>
      <c r="F668" s="147">
        <v>3.4999999999999996E-3</v>
      </c>
      <c r="G668" s="147">
        <v>1.01E-2</v>
      </c>
      <c r="I668" s="27">
        <f t="shared" si="70"/>
        <v>5.3230265884290168E-2</v>
      </c>
      <c r="J668">
        <f t="shared" si="76"/>
        <v>6.6E-3</v>
      </c>
      <c r="L668">
        <f t="shared" si="71"/>
        <v>2.9999999999999995E-2</v>
      </c>
      <c r="M668">
        <f t="shared" si="72"/>
        <v>-1.9300000000000001E-2</v>
      </c>
      <c r="N668">
        <f t="shared" si="73"/>
        <v>4.5000000000000005E-3</v>
      </c>
      <c r="O668">
        <f t="shared" si="74"/>
        <v>1.5500000000000002E-2</v>
      </c>
      <c r="P668">
        <f t="shared" si="75"/>
        <v>3.4999999999999996E-3</v>
      </c>
    </row>
    <row r="669" spans="1:16">
      <c r="A669" s="230" t="s">
        <v>73</v>
      </c>
      <c r="B669" s="147">
        <v>3.5999999999999997E-2</v>
      </c>
      <c r="C669" s="147">
        <v>6.5000000000000006E-3</v>
      </c>
      <c r="D669" s="147">
        <v>-0.04</v>
      </c>
      <c r="E669" s="147">
        <v>-3.0999999999999999E-3</v>
      </c>
      <c r="F669" s="147">
        <v>-2.7000000000000003E-2</v>
      </c>
      <c r="G669" s="147">
        <v>9.9900000000000003E-2</v>
      </c>
      <c r="I669" s="27">
        <f t="shared" si="70"/>
        <v>-2.7581347189727292E-2</v>
      </c>
      <c r="J669">
        <f t="shared" si="76"/>
        <v>9.64E-2</v>
      </c>
      <c r="L669">
        <f t="shared" si="71"/>
        <v>3.2499999999999994E-2</v>
      </c>
      <c r="M669">
        <f t="shared" si="72"/>
        <v>6.5000000000000006E-3</v>
      </c>
      <c r="N669">
        <f t="shared" si="73"/>
        <v>-0.04</v>
      </c>
      <c r="O669">
        <f t="shared" si="74"/>
        <v>-3.0999999999999999E-3</v>
      </c>
      <c r="P669">
        <f t="shared" si="75"/>
        <v>-2.7000000000000003E-2</v>
      </c>
    </row>
    <row r="670" spans="1:16">
      <c r="A670" s="230" t="s">
        <v>74</v>
      </c>
      <c r="B670" s="147">
        <v>2.0999999999999999E-3</v>
      </c>
      <c r="C670" s="147">
        <v>-2.4900000000000002E-2</v>
      </c>
      <c r="D670" s="147">
        <v>-1.7100000000000001E-2</v>
      </c>
      <c r="E670" s="147">
        <v>6.3E-3</v>
      </c>
      <c r="F670" s="147">
        <v>1.29E-2</v>
      </c>
      <c r="G670" s="147">
        <v>-6.4000000000000003E-3</v>
      </c>
      <c r="I670" s="27">
        <f t="shared" si="70"/>
        <v>2.9306128611399366E-2</v>
      </c>
      <c r="J670">
        <f t="shared" si="76"/>
        <v>-9.9000000000000008E-3</v>
      </c>
      <c r="L670">
        <f t="shared" si="71"/>
        <v>-1.4000000000000002E-3</v>
      </c>
      <c r="M670">
        <f t="shared" si="72"/>
        <v>-2.4900000000000002E-2</v>
      </c>
      <c r="N670">
        <f t="shared" si="73"/>
        <v>-1.7100000000000001E-2</v>
      </c>
      <c r="O670">
        <f t="shared" si="74"/>
        <v>6.3E-3</v>
      </c>
      <c r="P670">
        <f t="shared" si="75"/>
        <v>1.29E-2</v>
      </c>
    </row>
    <row r="671" spans="1:16">
      <c r="A671" s="230" t="s">
        <v>75</v>
      </c>
      <c r="B671" s="147">
        <v>-7.4899999999999994E-2</v>
      </c>
      <c r="C671" s="147">
        <v>-4.4500000000000005E-2</v>
      </c>
      <c r="D671" s="147">
        <v>3.4000000000000002E-2</v>
      </c>
      <c r="E671" s="147">
        <v>9.4999999999999998E-3</v>
      </c>
      <c r="F671" s="147">
        <v>3.5799999999999998E-2</v>
      </c>
      <c r="G671" s="147">
        <v>-0.15620000000000001</v>
      </c>
      <c r="I671" s="27">
        <f t="shared" si="70"/>
        <v>-8.5341333515614563E-3</v>
      </c>
      <c r="J671">
        <f t="shared" si="76"/>
        <v>-0.15970000000000001</v>
      </c>
      <c r="L671">
        <f t="shared" si="71"/>
        <v>-7.8399999999999997E-2</v>
      </c>
      <c r="M671">
        <f t="shared" si="72"/>
        <v>-4.4500000000000005E-2</v>
      </c>
      <c r="N671">
        <f t="shared" si="73"/>
        <v>3.4000000000000002E-2</v>
      </c>
      <c r="O671">
        <f t="shared" si="74"/>
        <v>9.4999999999999998E-3</v>
      </c>
      <c r="P671">
        <f t="shared" si="75"/>
        <v>3.5799999999999998E-2</v>
      </c>
    </row>
    <row r="672" spans="1:16">
      <c r="A672" s="230" t="s">
        <v>76</v>
      </c>
      <c r="B672" s="147">
        <v>1.8699999999999998E-2</v>
      </c>
      <c r="C672" s="147">
        <v>-7.7000000000000002E-3</v>
      </c>
      <c r="D672" s="147">
        <v>2.8000000000000004E-3</v>
      </c>
      <c r="E672" s="147">
        <v>-5.5000000000000005E-3</v>
      </c>
      <c r="F672" s="147">
        <v>3.9000000000000003E-3</v>
      </c>
      <c r="G672" s="147">
        <v>1.5800000000000002E-2</v>
      </c>
      <c r="I672" s="27">
        <f t="shared" si="70"/>
        <v>9.2598845349232805E-3</v>
      </c>
      <c r="J672">
        <f t="shared" si="76"/>
        <v>1.2300000000000002E-2</v>
      </c>
      <c r="L672">
        <f t="shared" si="71"/>
        <v>1.5199999999999998E-2</v>
      </c>
      <c r="M672">
        <f t="shared" si="72"/>
        <v>-7.7000000000000002E-3</v>
      </c>
      <c r="N672">
        <f t="shared" si="73"/>
        <v>2.8000000000000004E-3</v>
      </c>
      <c r="O672">
        <f t="shared" si="74"/>
        <v>-5.5000000000000005E-3</v>
      </c>
      <c r="P672">
        <f t="shared" si="75"/>
        <v>3.9000000000000003E-3</v>
      </c>
    </row>
    <row r="673" spans="1:16">
      <c r="A673" s="230" t="s">
        <v>77</v>
      </c>
      <c r="B673" s="147">
        <v>-9.3700000000000006E-2</v>
      </c>
      <c r="C673" s="147">
        <v>-2.8799999999999999E-2</v>
      </c>
      <c r="D673" s="147">
        <v>-1.8800000000000001E-2</v>
      </c>
      <c r="E673" s="147">
        <v>-2.9999999999999997E-4</v>
      </c>
      <c r="F673" s="147">
        <v>2.0999999999999999E-3</v>
      </c>
      <c r="G673" s="147">
        <v>-8.3299999999999999E-2</v>
      </c>
      <c r="I673" s="27">
        <f t="shared" si="70"/>
        <v>-0.1075130618515707</v>
      </c>
      <c r="J673">
        <f t="shared" si="76"/>
        <v>-8.6800000000000002E-2</v>
      </c>
      <c r="L673">
        <f t="shared" si="71"/>
        <v>-9.7200000000000009E-2</v>
      </c>
      <c r="M673">
        <f t="shared" si="72"/>
        <v>-2.8799999999999999E-2</v>
      </c>
      <c r="N673">
        <f t="shared" si="73"/>
        <v>-1.8800000000000001E-2</v>
      </c>
      <c r="O673">
        <f t="shared" si="74"/>
        <v>-2.9999999999999997E-4</v>
      </c>
      <c r="P673">
        <f t="shared" si="75"/>
        <v>2.0999999999999999E-3</v>
      </c>
    </row>
    <row r="674" spans="1:16">
      <c r="A674" s="230" t="s">
        <v>78</v>
      </c>
      <c r="B674" s="147">
        <v>8.610000000000001E-2</v>
      </c>
      <c r="C674" s="147">
        <v>3.0099999999999998E-2</v>
      </c>
      <c r="D674" s="147">
        <v>-4.5000000000000005E-3</v>
      </c>
      <c r="E674" s="147">
        <v>-7.8000000000000005E-3</v>
      </c>
      <c r="F674" s="147">
        <v>-1.52E-2</v>
      </c>
      <c r="G674" s="147">
        <v>0.1081</v>
      </c>
      <c r="I674" s="27">
        <f t="shared" si="70"/>
        <v>5.1380030093074507E-2</v>
      </c>
      <c r="J674">
        <f t="shared" si="76"/>
        <v>0.1046</v>
      </c>
      <c r="L674">
        <f t="shared" si="71"/>
        <v>8.2600000000000007E-2</v>
      </c>
      <c r="M674">
        <f t="shared" si="72"/>
        <v>3.0099999999999998E-2</v>
      </c>
      <c r="N674">
        <f t="shared" si="73"/>
        <v>-4.5000000000000005E-3</v>
      </c>
      <c r="O674">
        <f t="shared" si="74"/>
        <v>-7.8000000000000005E-3</v>
      </c>
      <c r="P674">
        <f t="shared" si="75"/>
        <v>-1.52E-2</v>
      </c>
    </row>
    <row r="675" spans="1:16">
      <c r="A675" s="230" t="s">
        <v>79</v>
      </c>
      <c r="B675" s="147">
        <v>3.5800000000000005E-2</v>
      </c>
      <c r="C675" s="147">
        <v>1.7500000000000002E-2</v>
      </c>
      <c r="D675" s="147">
        <v>-2.7099999999999999E-2</v>
      </c>
      <c r="E675" s="147">
        <v>1.1999999999999999E-3</v>
      </c>
      <c r="F675" s="147">
        <v>-1.6E-2</v>
      </c>
      <c r="G675" s="147">
        <v>4.8899999999999999E-2</v>
      </c>
      <c r="I675" s="27">
        <f t="shared" si="70"/>
        <v>1.188153797305876E-2</v>
      </c>
      <c r="J675">
        <f t="shared" si="76"/>
        <v>4.5399999999999996E-2</v>
      </c>
      <c r="L675">
        <f t="shared" si="71"/>
        <v>3.2300000000000002E-2</v>
      </c>
      <c r="M675">
        <f t="shared" si="72"/>
        <v>1.7500000000000002E-2</v>
      </c>
      <c r="N675">
        <f t="shared" si="73"/>
        <v>-2.7099999999999999E-2</v>
      </c>
      <c r="O675">
        <f t="shared" si="74"/>
        <v>1.1999999999999999E-3</v>
      </c>
      <c r="P675">
        <f t="shared" si="75"/>
        <v>-1.6E-2</v>
      </c>
    </row>
    <row r="676" spans="1:16">
      <c r="A676" s="230" t="s">
        <v>80</v>
      </c>
      <c r="B676" s="147">
        <v>1.2900000000000002E-2</v>
      </c>
      <c r="C676" s="147">
        <v>-3.5099999999999999E-2</v>
      </c>
      <c r="D676" s="147">
        <v>-4.1200000000000001E-2</v>
      </c>
      <c r="E676" s="147">
        <v>9.1000000000000004E-3</v>
      </c>
      <c r="F676" s="147">
        <v>-9.4000000000000004E-3</v>
      </c>
      <c r="G676" s="147">
        <v>6.4000000000000003E-3</v>
      </c>
      <c r="I676" s="27">
        <f t="shared" si="70"/>
        <v>-1.1870093967281338E-2</v>
      </c>
      <c r="J676">
        <f t="shared" si="76"/>
        <v>2.9000000000000002E-3</v>
      </c>
      <c r="L676">
        <f t="shared" si="71"/>
        <v>9.4000000000000021E-3</v>
      </c>
      <c r="M676">
        <f t="shared" si="72"/>
        <v>-3.5099999999999999E-2</v>
      </c>
      <c r="N676">
        <f t="shared" si="73"/>
        <v>-4.1200000000000001E-2</v>
      </c>
      <c r="O676">
        <f t="shared" si="74"/>
        <v>9.1000000000000004E-3</v>
      </c>
      <c r="P676">
        <f t="shared" si="75"/>
        <v>-9.4000000000000004E-3</v>
      </c>
    </row>
    <row r="677" spans="1:16">
      <c r="A677" s="230" t="s">
        <v>81</v>
      </c>
      <c r="B677" s="147">
        <v>4.1800000000000004E-2</v>
      </c>
      <c r="C677" s="147">
        <v>-1.15E-2</v>
      </c>
      <c r="D677" s="147">
        <v>2.1600000000000001E-2</v>
      </c>
      <c r="E677" s="147">
        <v>1.5900000000000001E-2</v>
      </c>
      <c r="F677" s="147">
        <v>-2.2200000000000001E-2</v>
      </c>
      <c r="G677" s="147">
        <v>8.1000000000000013E-3</v>
      </c>
      <c r="I677" s="27">
        <f t="shared" si="70"/>
        <v>-3.2657562536609914E-5</v>
      </c>
      <c r="J677">
        <f t="shared" si="76"/>
        <v>4.6000000000000017E-3</v>
      </c>
      <c r="L677">
        <f t="shared" si="71"/>
        <v>3.8300000000000001E-2</v>
      </c>
      <c r="M677">
        <f t="shared" si="72"/>
        <v>-1.15E-2</v>
      </c>
      <c r="N677">
        <f t="shared" si="73"/>
        <v>2.1600000000000001E-2</v>
      </c>
      <c r="O677">
        <f t="shared" si="74"/>
        <v>1.5900000000000001E-2</v>
      </c>
      <c r="P677">
        <f t="shared" si="75"/>
        <v>-2.2200000000000001E-2</v>
      </c>
    </row>
    <row r="678" spans="1:16">
      <c r="A678" s="230" t="s">
        <v>82</v>
      </c>
      <c r="B678" s="147">
        <v>-6.7299999999999999E-2</v>
      </c>
      <c r="C678" s="147">
        <v>-1.5900000000000001E-2</v>
      </c>
      <c r="D678" s="147">
        <v>-2.3700000000000002E-2</v>
      </c>
      <c r="E678" s="147">
        <v>-4.5999999999999999E-3</v>
      </c>
      <c r="F678" s="147">
        <v>1.77E-2</v>
      </c>
      <c r="G678" s="147">
        <v>-4.24E-2</v>
      </c>
      <c r="I678" s="27">
        <f t="shared" si="70"/>
        <v>-4.0677242362321772E-2</v>
      </c>
      <c r="J678">
        <f t="shared" si="76"/>
        <v>-4.5900000000000003E-2</v>
      </c>
      <c r="L678">
        <f t="shared" si="71"/>
        <v>-7.0800000000000002E-2</v>
      </c>
      <c r="M678">
        <f t="shared" si="72"/>
        <v>-1.5900000000000001E-2</v>
      </c>
      <c r="N678">
        <f t="shared" si="73"/>
        <v>-2.3700000000000002E-2</v>
      </c>
      <c r="O678">
        <f t="shared" si="74"/>
        <v>-4.5999999999999999E-3</v>
      </c>
      <c r="P678">
        <f t="shared" si="75"/>
        <v>1.77E-2</v>
      </c>
    </row>
    <row r="679" spans="1:16">
      <c r="A679" s="230" t="s">
        <v>83</v>
      </c>
      <c r="B679" s="147">
        <v>7.1099999999999997E-2</v>
      </c>
      <c r="C679" s="147">
        <v>3.7000000000000002E-3</v>
      </c>
      <c r="D679" s="147">
        <v>-6.9999999999999993E-3</v>
      </c>
      <c r="E679" s="147">
        <v>9.0000000000000011E-3</v>
      </c>
      <c r="F679" s="147">
        <v>-4.4000000000000003E-3</v>
      </c>
      <c r="G679" s="147">
        <v>6.480000000000001E-2</v>
      </c>
      <c r="I679" s="27">
        <f t="shared" si="70"/>
        <v>7.690442513692132E-2</v>
      </c>
      <c r="J679">
        <f t="shared" si="76"/>
        <v>6.1300000000000007E-2</v>
      </c>
      <c r="L679">
        <f t="shared" si="71"/>
        <v>6.7599999999999993E-2</v>
      </c>
      <c r="M679">
        <f t="shared" si="72"/>
        <v>3.7000000000000002E-3</v>
      </c>
      <c r="N679">
        <f t="shared" si="73"/>
        <v>-6.9999999999999993E-3</v>
      </c>
      <c r="O679">
        <f t="shared" si="74"/>
        <v>9.0000000000000011E-3</v>
      </c>
      <c r="P679">
        <f t="shared" si="75"/>
        <v>-4.4000000000000003E-3</v>
      </c>
    </row>
    <row r="680" spans="1:16">
      <c r="A680" s="230" t="s">
        <v>84</v>
      </c>
      <c r="B680" s="147">
        <v>1.38E-2</v>
      </c>
      <c r="C680" s="147">
        <v>-1.78E-2</v>
      </c>
      <c r="D680" s="147">
        <v>4.7000000000000002E-3</v>
      </c>
      <c r="E680" s="147">
        <v>-7.000000000000001E-4</v>
      </c>
      <c r="F680" s="147">
        <v>3.4000000000000002E-3</v>
      </c>
      <c r="G680" s="147">
        <v>1.9800000000000002E-2</v>
      </c>
      <c r="I680" s="27">
        <f t="shared" si="70"/>
        <v>4.806349440875303E-3</v>
      </c>
      <c r="J680">
        <f t="shared" si="76"/>
        <v>1.6300000000000002E-2</v>
      </c>
      <c r="L680">
        <f t="shared" si="71"/>
        <v>1.03E-2</v>
      </c>
      <c r="M680">
        <f t="shared" si="72"/>
        <v>-1.78E-2</v>
      </c>
      <c r="N680">
        <f t="shared" si="73"/>
        <v>4.7000000000000002E-3</v>
      </c>
      <c r="O680">
        <f t="shared" si="74"/>
        <v>-7.000000000000001E-4</v>
      </c>
      <c r="P680">
        <f t="shared" si="75"/>
        <v>3.4000000000000002E-3</v>
      </c>
    </row>
    <row r="681" spans="1:16">
      <c r="A681" s="230" t="s">
        <v>85</v>
      </c>
      <c r="B681" s="147">
        <v>-2.4199999999999999E-2</v>
      </c>
      <c r="C681" s="147">
        <v>-3.2400000000000005E-2</v>
      </c>
      <c r="D681" s="147">
        <v>-4.7899999999999998E-2</v>
      </c>
      <c r="E681" s="147">
        <v>5.6000000000000008E-3</v>
      </c>
      <c r="F681" s="147">
        <v>-6.8000000000000005E-3</v>
      </c>
      <c r="G681" s="147">
        <v>-2.3999999999999998E-3</v>
      </c>
      <c r="I681" s="27">
        <f t="shared" si="70"/>
        <v>-4.5695889266855055E-2</v>
      </c>
      <c r="J681">
        <f t="shared" si="76"/>
        <v>-5.8999999999999999E-3</v>
      </c>
      <c r="L681">
        <f t="shared" si="71"/>
        <v>-2.7699999999999999E-2</v>
      </c>
      <c r="M681">
        <f t="shared" si="72"/>
        <v>-3.2400000000000005E-2</v>
      </c>
      <c r="N681">
        <f t="shared" si="73"/>
        <v>-4.7899999999999998E-2</v>
      </c>
      <c r="O681">
        <f t="shared" si="74"/>
        <v>5.6000000000000008E-3</v>
      </c>
      <c r="P681">
        <f t="shared" si="75"/>
        <v>-6.8000000000000005E-3</v>
      </c>
    </row>
    <row r="682" spans="1:16">
      <c r="A682" s="230" t="s">
        <v>86</v>
      </c>
      <c r="B682" s="147">
        <v>1.61E-2</v>
      </c>
      <c r="C682" s="147">
        <v>2.6000000000000003E-3</v>
      </c>
      <c r="D682" s="147">
        <v>6.7699999999999996E-2</v>
      </c>
      <c r="E682" s="147">
        <v>1.84E-2</v>
      </c>
      <c r="F682" s="147">
        <v>3.39E-2</v>
      </c>
      <c r="G682" s="147">
        <v>-0.03</v>
      </c>
      <c r="I682" s="27">
        <f t="shared" si="70"/>
        <v>0.11779793883326019</v>
      </c>
      <c r="J682">
        <f t="shared" si="76"/>
        <v>-3.3500000000000002E-2</v>
      </c>
      <c r="L682">
        <f t="shared" si="71"/>
        <v>1.26E-2</v>
      </c>
      <c r="M682">
        <f t="shared" si="72"/>
        <v>2.6000000000000003E-3</v>
      </c>
      <c r="N682">
        <f t="shared" si="73"/>
        <v>6.7699999999999996E-2</v>
      </c>
      <c r="O682">
        <f t="shared" si="74"/>
        <v>1.84E-2</v>
      </c>
      <c r="P682">
        <f t="shared" si="75"/>
        <v>3.39E-2</v>
      </c>
    </row>
    <row r="683" spans="1:16">
      <c r="A683" s="230" t="s">
        <v>87</v>
      </c>
      <c r="B683" s="147">
        <v>2.2200000000000001E-2</v>
      </c>
      <c r="C683" s="147">
        <v>2.7000000000000001E-3</v>
      </c>
      <c r="D683" s="147">
        <v>-1.9E-2</v>
      </c>
      <c r="E683" s="147">
        <v>4.3E-3</v>
      </c>
      <c r="F683" s="147">
        <v>-9.4999999999999998E-3</v>
      </c>
      <c r="G683" s="147">
        <v>-4.4000000000000003E-3</v>
      </c>
      <c r="I683" s="27">
        <f t="shared" si="70"/>
        <v>8.6491523591829648E-3</v>
      </c>
      <c r="J683">
        <f t="shared" si="76"/>
        <v>-7.9000000000000008E-3</v>
      </c>
      <c r="L683">
        <f t="shared" si="71"/>
        <v>1.8700000000000001E-2</v>
      </c>
      <c r="M683">
        <f t="shared" si="72"/>
        <v>2.7000000000000001E-3</v>
      </c>
      <c r="N683">
        <f t="shared" si="73"/>
        <v>-1.9E-2</v>
      </c>
      <c r="O683">
        <f t="shared" si="74"/>
        <v>4.3E-3</v>
      </c>
      <c r="P683">
        <f t="shared" si="75"/>
        <v>-9.4999999999999998E-3</v>
      </c>
    </row>
    <row r="684" spans="1:16">
      <c r="A684" s="230" t="s">
        <v>88</v>
      </c>
      <c r="B684" s="147">
        <v>0.04</v>
      </c>
      <c r="C684" s="147">
        <v>4.5000000000000005E-3</v>
      </c>
      <c r="D684" s="147">
        <v>-1.9900000000000001E-2</v>
      </c>
      <c r="E684" s="147">
        <v>-1.6299999999999999E-2</v>
      </c>
      <c r="F684" s="147">
        <v>-1.2500000000000001E-2</v>
      </c>
      <c r="G684" s="147">
        <v>3.5799999999999998E-2</v>
      </c>
      <c r="I684" s="27">
        <f t="shared" si="70"/>
        <v>-1.7042224026989166E-2</v>
      </c>
      <c r="J684">
        <f t="shared" si="76"/>
        <v>3.2299999999999995E-2</v>
      </c>
      <c r="L684">
        <f t="shared" si="71"/>
        <v>3.6499999999999998E-2</v>
      </c>
      <c r="M684">
        <f t="shared" si="72"/>
        <v>4.5000000000000005E-3</v>
      </c>
      <c r="N684">
        <f t="shared" si="73"/>
        <v>-1.9900000000000001E-2</v>
      </c>
      <c r="O684">
        <f t="shared" si="74"/>
        <v>-1.6299999999999999E-2</v>
      </c>
      <c r="P684">
        <f t="shared" si="75"/>
        <v>-1.2500000000000001E-2</v>
      </c>
    </row>
    <row r="685" spans="1:16">
      <c r="A685" s="230" t="s">
        <v>89</v>
      </c>
      <c r="B685" s="147">
        <v>2.9100000000000001E-2</v>
      </c>
      <c r="C685" s="147">
        <v>9.7000000000000003E-3</v>
      </c>
      <c r="D685" s="147">
        <v>1.78E-2</v>
      </c>
      <c r="E685" s="147">
        <v>-2.0000000000000001E-4</v>
      </c>
      <c r="F685" s="147">
        <v>1.23E-2</v>
      </c>
      <c r="G685" s="147">
        <v>4.4999999999999998E-2</v>
      </c>
      <c r="I685" s="27">
        <f t="shared" si="70"/>
        <v>5.8443855194974657E-2</v>
      </c>
      <c r="J685">
        <f t="shared" si="76"/>
        <v>4.1499999999999995E-2</v>
      </c>
      <c r="L685">
        <f t="shared" si="71"/>
        <v>2.5600000000000001E-2</v>
      </c>
      <c r="M685">
        <f t="shared" si="72"/>
        <v>9.7000000000000003E-3</v>
      </c>
      <c r="N685">
        <f t="shared" si="73"/>
        <v>1.78E-2</v>
      </c>
      <c r="O685">
        <f t="shared" si="74"/>
        <v>-2.0000000000000001E-4</v>
      </c>
      <c r="P685">
        <f t="shared" si="75"/>
        <v>1.23E-2</v>
      </c>
    </row>
    <row r="686" spans="1:16">
      <c r="A686" s="55"/>
      <c r="G686">
        <v>3.2500000000000001E-2</v>
      </c>
    </row>
    <row r="687" spans="1:16">
      <c r="A687" s="55"/>
      <c r="G687">
        <v>-6.6100000000000006E-2</v>
      </c>
    </row>
    <row r="688" spans="1:16">
      <c r="A688" s="55"/>
      <c r="G688">
        <v>-9.5899999999999999E-2</v>
      </c>
    </row>
    <row r="689" spans="1:7">
      <c r="A689" s="55"/>
      <c r="G689">
        <v>0.14430000000000001</v>
      </c>
    </row>
    <row r="690" spans="1:7">
      <c r="A690" s="55"/>
      <c r="G690">
        <v>6.6500000000000004E-2</v>
      </c>
    </row>
    <row r="691" spans="1:7">
      <c r="A691" s="55"/>
      <c r="G691">
        <v>8.0299999999999996E-2</v>
      </c>
    </row>
    <row r="692" spans="1:7">
      <c r="A692" s="55"/>
      <c r="G692">
        <v>7.9899999999999999E-2</v>
      </c>
    </row>
    <row r="693" spans="1:7">
      <c r="A693" s="55"/>
      <c r="G693">
        <v>0.11449999999999999</v>
      </c>
    </row>
    <row r="694" spans="1:7">
      <c r="A694" s="55"/>
      <c r="G694">
        <v>-6.2100000000000002E-2</v>
      </c>
    </row>
    <row r="695" spans="1:7">
      <c r="A695" s="55"/>
      <c r="G695">
        <v>-3.73E-2</v>
      </c>
    </row>
    <row r="696" spans="1:7">
      <c r="A696" s="55"/>
      <c r="G696">
        <v>0.1038</v>
      </c>
    </row>
    <row r="697" spans="1:7">
      <c r="A697" s="55"/>
      <c r="G697">
        <v>6.4399999999999999E-2</v>
      </c>
    </row>
    <row r="698" spans="1:7">
      <c r="A698" s="55"/>
      <c r="G698">
        <v>2.2200000000000001E-2</v>
      </c>
    </row>
    <row r="699" spans="1:7">
      <c r="A699" s="55"/>
      <c r="G699">
        <v>-2.7799999999999998E-2</v>
      </c>
    </row>
    <row r="700" spans="1:7">
      <c r="A700" s="55"/>
      <c r="G700">
        <v>-6.5000000000000002E-2</v>
      </c>
    </row>
    <row r="701" spans="1:7">
      <c r="A701" s="55"/>
      <c r="G701">
        <v>4.4999999999999998E-2</v>
      </c>
    </row>
    <row r="702" spans="1:7">
      <c r="A702" s="55"/>
      <c r="G702">
        <v>-4.8399999999999999E-2</v>
      </c>
    </row>
    <row r="703" spans="1:7">
      <c r="A703" s="55"/>
      <c r="G703">
        <v>9.2100000000000015E-2</v>
      </c>
    </row>
    <row r="704" spans="1:7">
      <c r="A704" s="55"/>
      <c r="G704">
        <v>-5.6000000000000008E-3</v>
      </c>
    </row>
    <row r="705" spans="1:7">
      <c r="A705" s="55"/>
      <c r="G705">
        <v>3.09E-2</v>
      </c>
    </row>
    <row r="706" spans="1:7">
      <c r="A706" s="55"/>
      <c r="G706">
        <v>-3.0800000000000001E-2</v>
      </c>
    </row>
    <row r="707" spans="1:7">
      <c r="A707" s="55"/>
      <c r="G707">
        <v>4.1799999999999997E-2</v>
      </c>
    </row>
    <row r="708" spans="1:7">
      <c r="A708" s="55"/>
      <c r="G708">
        <v>-2.4199999999999999E-2</v>
      </c>
    </row>
    <row r="709" spans="1:7">
      <c r="A709" s="55"/>
      <c r="G709">
        <v>-6.6500000000000004E-2</v>
      </c>
    </row>
    <row r="710" spans="1:7">
      <c r="A710" s="55"/>
      <c r="G710">
        <v>-0.1082</v>
      </c>
    </row>
    <row r="711" spans="1:7">
      <c r="A711" s="55"/>
      <c r="G711">
        <v>6.5000000000000006E-3</v>
      </c>
    </row>
    <row r="712" spans="1:7">
      <c r="A712" s="55"/>
      <c r="G712">
        <v>5.1700000000000003E-2</v>
      </c>
    </row>
    <row r="713" spans="1:7">
      <c r="A713" s="55"/>
      <c r="G713">
        <v>-0.1298</v>
      </c>
    </row>
    <row r="714" spans="1:7">
      <c r="A714" s="55"/>
      <c r="G714">
        <v>1.66E-2</v>
      </c>
    </row>
    <row r="715" spans="1:7">
      <c r="A715" s="55"/>
      <c r="G715">
        <v>-0.1041</v>
      </c>
    </row>
    <row r="716" spans="1:7">
      <c r="A716" s="55"/>
      <c r="G716">
        <v>8.5600000000000009E-2</v>
      </c>
    </row>
    <row r="717" spans="1:7">
      <c r="A717" s="55"/>
      <c r="G717">
        <v>2.9999999999999997E-4</v>
      </c>
    </row>
    <row r="718" spans="1:7">
      <c r="A718" s="55"/>
      <c r="G718">
        <v>-7.2999999999999995E-2</v>
      </c>
    </row>
    <row r="719" spans="1:7">
      <c r="A719" s="55"/>
      <c r="G719">
        <v>0.1794</v>
      </c>
    </row>
    <row r="720" spans="1:7">
      <c r="A720" s="55"/>
      <c r="G720">
        <v>1.8500000000000003E-2</v>
      </c>
    </row>
    <row r="721" spans="1:7">
      <c r="A721" s="55"/>
      <c r="G721">
        <v>-4.2300000000000004E-2</v>
      </c>
    </row>
    <row r="722" spans="1:7">
      <c r="A722" s="55"/>
      <c r="G722">
        <v>4.7000000000000002E-3</v>
      </c>
    </row>
    <row r="723" spans="1:7">
      <c r="A723" s="55"/>
      <c r="G723">
        <v>-5.0099999999999999E-2</v>
      </c>
    </row>
    <row r="724" spans="1:7">
      <c r="A724" s="55"/>
      <c r="G724">
        <v>3.9000000000000003E-3</v>
      </c>
    </row>
    <row r="725" spans="1:7">
      <c r="A725" s="55"/>
      <c r="G725">
        <v>1.9400000000000001E-2</v>
      </c>
    </row>
    <row r="726" spans="1:7">
      <c r="A726" s="55"/>
      <c r="G726">
        <v>8.3800000000000013E-2</v>
      </c>
    </row>
    <row r="727" spans="1:7">
      <c r="A727" s="55"/>
      <c r="G727">
        <v>8.4900000000000003E-2</v>
      </c>
    </row>
    <row r="728" spans="1:7">
      <c r="A728" s="55"/>
      <c r="G728">
        <v>5.0999999999999997E-2</v>
      </c>
    </row>
    <row r="729" spans="1:7">
      <c r="A729" s="55"/>
      <c r="G729">
        <v>-1.1899999999999999E-2</v>
      </c>
    </row>
    <row r="730" spans="1:7">
      <c r="A730" s="55"/>
      <c r="G730">
        <v>-7.7499999999999999E-2</v>
      </c>
    </row>
    <row r="731" spans="1:7">
      <c r="A731" s="55"/>
      <c r="G731">
        <v>-3.6700000000000003E-2</v>
      </c>
    </row>
    <row r="732" spans="1:7">
      <c r="A732" s="55"/>
      <c r="G732">
        <v>0.12770000000000001</v>
      </c>
    </row>
    <row r="733" spans="1:7">
      <c r="A733" s="55"/>
      <c r="G733">
        <v>3.9900000000000005E-2</v>
      </c>
    </row>
    <row r="734" spans="1:7">
      <c r="A734" s="55"/>
      <c r="G734">
        <v>5.1299999999999998E-2</v>
      </c>
    </row>
    <row r="735" spans="1:7">
      <c r="A735" s="55"/>
      <c r="G735">
        <v>0.12820000000000001</v>
      </c>
    </row>
    <row r="736" spans="1:7">
      <c r="A736" s="55"/>
      <c r="G736">
        <v>3.9399999999999998E-2</v>
      </c>
    </row>
    <row r="737" spans="1:7">
      <c r="A737" s="55"/>
      <c r="G737">
        <v>-5.5099999999999996E-2</v>
      </c>
    </row>
    <row r="738" spans="1:7">
      <c r="A738" s="55"/>
      <c r="G738">
        <v>0.1183</v>
      </c>
    </row>
    <row r="739" spans="1:7">
      <c r="A739" s="55"/>
      <c r="G739">
        <v>6.9000000000000006E-2</v>
      </c>
    </row>
    <row r="740" spans="1:7">
      <c r="A740" s="55"/>
      <c r="G740">
        <v>-4.7100000000000003E-2</v>
      </c>
    </row>
    <row r="741" spans="1:7">
      <c r="A741" s="55"/>
      <c r="G741">
        <v>4.6300000000000001E-2</v>
      </c>
    </row>
    <row r="742" spans="1:7">
      <c r="A742" s="55"/>
      <c r="G742">
        <v>4.0999999999999995E-2</v>
      </c>
    </row>
    <row r="743" spans="1:7">
      <c r="A743" s="55"/>
      <c r="G743">
        <v>2.7900000000000001E-2</v>
      </c>
    </row>
    <row r="744" spans="1:7">
      <c r="A744" s="55"/>
      <c r="G744">
        <v>6.7599999999999993E-2</v>
      </c>
    </row>
    <row r="745" spans="1:7">
      <c r="A745" s="55"/>
      <c r="G745">
        <v>2.5000000000000001E-3</v>
      </c>
    </row>
    <row r="746" spans="1:7">
      <c r="A746" s="55"/>
      <c r="G746">
        <v>-5.0000000000000001E-4</v>
      </c>
    </row>
    <row r="747" spans="1:7">
      <c r="A747" s="55"/>
      <c r="G747">
        <v>-7.6799999999999993E-2</v>
      </c>
    </row>
    <row r="748" spans="1:7">
      <c r="A748" s="55"/>
      <c r="G748">
        <v>-0.11260000000000001</v>
      </c>
    </row>
    <row r="749" spans="1:7">
      <c r="A749" s="55"/>
      <c r="G749">
        <v>7.690000000000001E-2</v>
      </c>
    </row>
    <row r="750" spans="1:7">
      <c r="A750" s="55"/>
      <c r="G750">
        <v>5.8200000000000002E-2</v>
      </c>
    </row>
    <row r="751" spans="1:7">
      <c r="A751" s="55"/>
      <c r="G751">
        <v>4.0099999999999997E-2</v>
      </c>
    </row>
    <row r="752" spans="1:7">
      <c r="A752" s="55"/>
      <c r="G752">
        <v>7.4000000000000003E-3</v>
      </c>
    </row>
    <row r="753" spans="1:7">
      <c r="A753" s="55"/>
      <c r="G753">
        <v>-1.26E-2</v>
      </c>
    </row>
  </sheetData>
  <mergeCells count="2">
    <mergeCell ref="A1:L1"/>
    <mergeCell ref="I6:J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63D5-0623-4D89-B063-59069DF7A370}">
  <dimension ref="A1:L64"/>
  <sheetViews>
    <sheetView workbookViewId="0">
      <selection activeCell="F5" sqref="F5"/>
    </sheetView>
  </sheetViews>
  <sheetFormatPr defaultRowHeight="15"/>
  <cols>
    <col min="2" max="3" width="12.5703125" bestFit="1" customWidth="1"/>
    <col min="4" max="4" width="11" bestFit="1" customWidth="1"/>
    <col min="5" max="5" width="2.85546875" customWidth="1"/>
    <col min="6" max="6" width="16.5703125" customWidth="1"/>
  </cols>
  <sheetData>
    <row r="1" spans="1:12" ht="21">
      <c r="A1" s="307" t="s">
        <v>1272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</row>
    <row r="3" spans="1:12">
      <c r="A3" s="147"/>
      <c r="B3" s="294" t="s">
        <v>47</v>
      </c>
      <c r="C3" s="294"/>
    </row>
    <row r="4" spans="1:12">
      <c r="A4" s="147"/>
      <c r="B4" s="148" t="s">
        <v>305</v>
      </c>
      <c r="C4" s="148" t="s">
        <v>144</v>
      </c>
    </row>
    <row r="5" spans="1:12">
      <c r="A5" s="146">
        <v>44227</v>
      </c>
      <c r="B5" s="180">
        <v>4.6406882339976571E-2</v>
      </c>
      <c r="C5" s="180">
        <v>1.5027057198686859E-2</v>
      </c>
      <c r="D5" s="5">
        <f>B5-C5</f>
        <v>3.1379825141289716E-2</v>
      </c>
      <c r="F5" s="1" t="s">
        <v>1279</v>
      </c>
      <c r="G5" s="13">
        <f>AVERAGE(B5:B64)-AVERAGE(C5:C64)</f>
        <v>1.422503139271487E-2</v>
      </c>
    </row>
    <row r="6" spans="1:12">
      <c r="A6" s="146">
        <v>44255</v>
      </c>
      <c r="B6" s="180">
        <v>4.2003306865113534E-2</v>
      </c>
      <c r="C6" s="180">
        <v>2.9956429749007998E-2</v>
      </c>
      <c r="D6" s="5">
        <f t="shared" ref="D6:D64" si="0">B6-C6</f>
        <v>1.2046877116105536E-2</v>
      </c>
      <c r="F6" s="1" t="s">
        <v>455</v>
      </c>
      <c r="G6">
        <f>STDEVP(D5:D64)</f>
        <v>2.1162293228854566E-2</v>
      </c>
    </row>
    <row r="7" spans="1:12">
      <c r="A7" s="146">
        <v>44286</v>
      </c>
      <c r="B7" s="180">
        <v>2.1392478128750649E-2</v>
      </c>
      <c r="C7" s="180">
        <v>3.1379592828974694E-3</v>
      </c>
      <c r="D7" s="5">
        <f t="shared" si="0"/>
        <v>1.825451884585318E-2</v>
      </c>
      <c r="F7" s="1" t="s">
        <v>456</v>
      </c>
      <c r="G7">
        <f>G5/G6</f>
        <v>0.67218761402092231</v>
      </c>
    </row>
    <row r="8" spans="1:12">
      <c r="A8" s="146">
        <v>44316</v>
      </c>
      <c r="B8" s="180">
        <v>1.8358590903989343E-2</v>
      </c>
      <c r="C8" s="180">
        <v>1.794376030047666E-2</v>
      </c>
      <c r="D8" s="5">
        <f t="shared" si="0"/>
        <v>4.1483060351268225E-4</v>
      </c>
    </row>
    <row r="9" spans="1:12">
      <c r="A9" s="146">
        <v>44347</v>
      </c>
      <c r="B9" s="180">
        <v>9.8915347855179671E-4</v>
      </c>
      <c r="C9" s="180">
        <v>1.318613465613375E-2</v>
      </c>
      <c r="D9" s="5">
        <f t="shared" si="0"/>
        <v>-1.2196981177581953E-2</v>
      </c>
    </row>
    <row r="10" spans="1:12">
      <c r="A10" s="146">
        <v>44377</v>
      </c>
      <c r="B10" s="180">
        <v>4.9293154036286563E-2</v>
      </c>
      <c r="C10" s="180">
        <v>2.0704242643854079E-2</v>
      </c>
      <c r="D10" s="5">
        <f t="shared" si="0"/>
        <v>2.8588911392432484E-2</v>
      </c>
    </row>
    <row r="11" spans="1:12">
      <c r="A11" s="146">
        <v>44408</v>
      </c>
      <c r="B11" s="180">
        <v>2.7260303272740601E-2</v>
      </c>
      <c r="C11" s="180">
        <v>2.2045576248363709E-2</v>
      </c>
      <c r="D11" s="5">
        <f t="shared" si="0"/>
        <v>5.2147270243768917E-3</v>
      </c>
    </row>
    <row r="12" spans="1:12">
      <c r="A12" s="146">
        <v>44439</v>
      </c>
      <c r="B12" s="180">
        <v>1.5864788368056694E-2</v>
      </c>
      <c r="C12" s="180">
        <v>1.036834577673611E-2</v>
      </c>
      <c r="D12" s="5">
        <f t="shared" si="0"/>
        <v>5.4964425913205835E-3</v>
      </c>
    </row>
    <row r="13" spans="1:12">
      <c r="A13" s="146">
        <v>44469</v>
      </c>
      <c r="B13" s="180">
        <v>6.7585980709298721E-2</v>
      </c>
      <c r="C13" s="180">
        <v>4.1030082699793018E-2</v>
      </c>
      <c r="D13" s="5">
        <f t="shared" si="0"/>
        <v>2.6555898009505703E-2</v>
      </c>
    </row>
    <row r="14" spans="1:12">
      <c r="A14" s="146">
        <v>44500</v>
      </c>
      <c r="B14" s="180">
        <v>3.7097626721900222E-2</v>
      </c>
      <c r="C14" s="180">
        <v>2.9798915531911569E-2</v>
      </c>
      <c r="D14" s="5">
        <f t="shared" si="0"/>
        <v>7.2987111899886527E-3</v>
      </c>
    </row>
    <row r="15" spans="1:12">
      <c r="A15" s="146">
        <v>44530</v>
      </c>
      <c r="B15" s="180">
        <v>6.0977145491772231E-2</v>
      </c>
      <c r="C15" s="180">
        <v>4.0166272784708329E-2</v>
      </c>
      <c r="D15" s="5">
        <f t="shared" si="0"/>
        <v>2.0810872707063902E-2</v>
      </c>
    </row>
    <row r="16" spans="1:12">
      <c r="A16" s="146">
        <v>44561</v>
      </c>
      <c r="B16" s="180">
        <v>2.2998952073737589E-2</v>
      </c>
      <c r="C16" s="180">
        <v>1.388306537482261E-2</v>
      </c>
      <c r="D16" s="5">
        <f t="shared" si="0"/>
        <v>9.1158866989149781E-3</v>
      </c>
    </row>
    <row r="17" spans="1:4">
      <c r="A17" s="146">
        <v>44592</v>
      </c>
      <c r="B17" s="180">
        <v>5.3229700041933822E-2</v>
      </c>
      <c r="C17" s="180">
        <v>6.5278251466594384E-2</v>
      </c>
      <c r="D17" s="5">
        <f t="shared" si="0"/>
        <v>-1.2048551424660561E-2</v>
      </c>
    </row>
    <row r="18" spans="1:4">
      <c r="A18" s="146">
        <v>44620</v>
      </c>
      <c r="B18" s="180">
        <v>-1.2075248020869981E-2</v>
      </c>
      <c r="C18" s="180">
        <v>-3.1186461671909502E-2</v>
      </c>
      <c r="D18" s="5">
        <f t="shared" si="0"/>
        <v>1.9111213651039523E-2</v>
      </c>
    </row>
    <row r="19" spans="1:4">
      <c r="A19" s="146">
        <v>44651</v>
      </c>
      <c r="B19" s="180">
        <v>1.6348494232130438E-2</v>
      </c>
      <c r="C19" s="180">
        <v>-1.7102862911855001E-2</v>
      </c>
      <c r="D19" s="5">
        <f t="shared" si="0"/>
        <v>3.3451357143985436E-2</v>
      </c>
    </row>
    <row r="20" spans="1:4">
      <c r="A20" s="146">
        <v>44681</v>
      </c>
      <c r="B20" s="180">
        <v>1.9549239290376559E-2</v>
      </c>
      <c r="C20" s="180">
        <v>1.0314072096081098E-2</v>
      </c>
      <c r="D20" s="5">
        <f t="shared" si="0"/>
        <v>9.2351671942954607E-3</v>
      </c>
    </row>
    <row r="21" spans="1:4">
      <c r="A21" s="146">
        <v>44712</v>
      </c>
      <c r="B21" s="180">
        <v>7.2506315347609901E-2</v>
      </c>
      <c r="C21" s="180">
        <v>2.4795887870656497E-2</v>
      </c>
      <c r="D21" s="5">
        <f t="shared" si="0"/>
        <v>4.7710427476953407E-2</v>
      </c>
    </row>
    <row r="22" spans="1:4">
      <c r="A22" s="146">
        <v>44742</v>
      </c>
      <c r="B22" s="180">
        <v>2.5676807211442179E-2</v>
      </c>
      <c r="C22" s="180">
        <v>1.889638213341524E-2</v>
      </c>
      <c r="D22" s="5">
        <f t="shared" si="0"/>
        <v>6.7804250780269387E-3</v>
      </c>
    </row>
    <row r="23" spans="1:4">
      <c r="A23" s="146">
        <v>44773</v>
      </c>
      <c r="B23" s="180">
        <v>4.7207769101732779E-2</v>
      </c>
      <c r="C23" s="180">
        <v>7.7045124709978666E-2</v>
      </c>
      <c r="D23" s="5">
        <f t="shared" si="0"/>
        <v>-2.9837355608245887E-2</v>
      </c>
    </row>
    <row r="24" spans="1:4">
      <c r="A24" s="146">
        <v>44804</v>
      </c>
      <c r="B24" s="180">
        <v>5.5072876284257118E-2</v>
      </c>
      <c r="C24" s="180">
        <v>3.6500340866408007E-2</v>
      </c>
      <c r="D24" s="5">
        <f t="shared" si="0"/>
        <v>1.8572535417849111E-2</v>
      </c>
    </row>
    <row r="25" spans="1:4">
      <c r="A25" s="146">
        <v>44834</v>
      </c>
      <c r="B25" s="180">
        <v>-3.3076404614294595E-3</v>
      </c>
      <c r="C25" s="180">
        <v>8.8648634916479556E-3</v>
      </c>
      <c r="D25" s="5">
        <f t="shared" si="0"/>
        <v>-1.2172503953077415E-2</v>
      </c>
    </row>
    <row r="26" spans="1:4">
      <c r="A26" s="146">
        <v>44865</v>
      </c>
      <c r="B26" s="180">
        <v>-8.018575451593285E-2</v>
      </c>
      <c r="C26" s="180">
        <v>-5.8079838773318418E-2</v>
      </c>
      <c r="D26" s="5">
        <f t="shared" si="0"/>
        <v>-2.2105915742614432E-2</v>
      </c>
    </row>
    <row r="27" spans="1:4">
      <c r="A27" s="146">
        <v>44895</v>
      </c>
      <c r="B27" s="180">
        <v>3.7068455766481538E-2</v>
      </c>
      <c r="C27" s="180">
        <v>3.3615862838467479E-2</v>
      </c>
      <c r="D27" s="5">
        <f t="shared" si="0"/>
        <v>3.4525929280140588E-3</v>
      </c>
    </row>
    <row r="28" spans="1:4">
      <c r="A28" s="146">
        <v>44926</v>
      </c>
      <c r="B28" s="180">
        <v>-9.9211028569901105E-2</v>
      </c>
      <c r="C28" s="180">
        <v>-9.7340746727904603E-2</v>
      </c>
      <c r="D28" s="5">
        <f t="shared" si="0"/>
        <v>-1.8702818419965017E-3</v>
      </c>
    </row>
    <row r="29" spans="1:4">
      <c r="A29" s="146">
        <v>44957</v>
      </c>
      <c r="B29" s="180">
        <v>0.15246085418996611</v>
      </c>
      <c r="C29" s="180">
        <v>9.9066903555539099E-2</v>
      </c>
      <c r="D29" s="5">
        <f t="shared" si="0"/>
        <v>5.3393950634427007E-2</v>
      </c>
    </row>
    <row r="30" spans="1:4">
      <c r="A30" s="146">
        <v>44985</v>
      </c>
      <c r="B30" s="180">
        <v>7.3838824550135018E-2</v>
      </c>
      <c r="C30" s="180">
        <v>5.7027254394265071E-2</v>
      </c>
      <c r="D30" s="5">
        <f t="shared" si="0"/>
        <v>1.6811570155869947E-2</v>
      </c>
    </row>
    <row r="31" spans="1:4">
      <c r="A31" s="146">
        <v>45016</v>
      </c>
      <c r="B31" s="180">
        <v>6.5022269630817982E-3</v>
      </c>
      <c r="C31" s="180">
        <v>1.280161461405227E-2</v>
      </c>
      <c r="D31" s="5">
        <f t="shared" si="0"/>
        <v>-6.299387650970472E-3</v>
      </c>
    </row>
    <row r="32" spans="1:4">
      <c r="A32" s="146">
        <v>45046</v>
      </c>
      <c r="B32" s="180">
        <v>6.9242698969129365E-2</v>
      </c>
      <c r="C32" s="180">
        <v>5.3094783576043539E-2</v>
      </c>
      <c r="D32" s="5">
        <f t="shared" si="0"/>
        <v>1.6147915393085827E-2</v>
      </c>
    </row>
    <row r="33" spans="1:4">
      <c r="A33" s="146">
        <v>45077</v>
      </c>
      <c r="B33" s="180">
        <v>-4.8239837754769338E-2</v>
      </c>
      <c r="C33" s="180">
        <v>-5.4396628727814568E-2</v>
      </c>
      <c r="D33" s="5">
        <f t="shared" si="0"/>
        <v>6.15679097304523E-3</v>
      </c>
    </row>
    <row r="34" spans="1:4">
      <c r="A34" s="146">
        <v>45107</v>
      </c>
      <c r="B34" s="180">
        <v>9.8968310183936398E-2</v>
      </c>
      <c r="C34" s="180">
        <v>7.2701745332027945E-2</v>
      </c>
      <c r="D34" s="5">
        <f t="shared" si="0"/>
        <v>2.6266564851908453E-2</v>
      </c>
    </row>
    <row r="35" spans="1:4">
      <c r="A35" s="146">
        <v>45138</v>
      </c>
      <c r="B35" s="180">
        <v>2.6176910309131017E-2</v>
      </c>
      <c r="C35" s="180">
        <v>2.241888976307552E-2</v>
      </c>
      <c r="D35" s="5">
        <f t="shared" si="0"/>
        <v>3.7580205460554968E-3</v>
      </c>
    </row>
    <row r="36" spans="1:4">
      <c r="A36" s="146">
        <v>45169</v>
      </c>
      <c r="B36" s="180">
        <v>-1.860897999952723E-2</v>
      </c>
      <c r="C36" s="180">
        <v>-2.091506660870791E-2</v>
      </c>
      <c r="D36" s="5">
        <f t="shared" si="0"/>
        <v>2.3060866091806805E-3</v>
      </c>
    </row>
    <row r="37" spans="1:4">
      <c r="A37" s="146">
        <v>45199</v>
      </c>
      <c r="B37" s="180">
        <v>4.0934506723313259E-2</v>
      </c>
      <c r="C37" s="180">
        <v>4.9690399599471552E-2</v>
      </c>
      <c r="D37" s="5">
        <f t="shared" si="0"/>
        <v>-8.755892876158293E-3</v>
      </c>
    </row>
    <row r="38" spans="1:4">
      <c r="A38" s="146">
        <v>45230</v>
      </c>
      <c r="B38" s="180">
        <v>4.6793785341722204E-2</v>
      </c>
      <c r="C38" s="180">
        <v>2.226163449375922E-2</v>
      </c>
      <c r="D38" s="5">
        <f t="shared" si="0"/>
        <v>2.4532150847962984E-2</v>
      </c>
    </row>
    <row r="39" spans="1:4">
      <c r="A39" s="146">
        <v>45260</v>
      </c>
      <c r="B39" s="180">
        <v>6.5467149521676371E-2</v>
      </c>
      <c r="C39" s="180">
        <v>5.1320506797257276E-2</v>
      </c>
      <c r="D39" s="5">
        <f t="shared" si="0"/>
        <v>1.4146642724419095E-2</v>
      </c>
    </row>
    <row r="40" spans="1:4">
      <c r="A40" s="146">
        <v>45291</v>
      </c>
      <c r="B40" s="180">
        <v>5.0025681414097939E-2</v>
      </c>
      <c r="C40" s="180">
        <v>2.922090287583436E-2</v>
      </c>
      <c r="D40" s="5">
        <f t="shared" si="0"/>
        <v>2.0804778538263579E-2</v>
      </c>
    </row>
    <row r="41" spans="1:4">
      <c r="A41" s="146">
        <v>45322</v>
      </c>
      <c r="B41" s="180">
        <v>-2.0826228735037009E-3</v>
      </c>
      <c r="C41" s="180">
        <v>-1.1984221211968279E-2</v>
      </c>
      <c r="D41" s="5">
        <f t="shared" si="0"/>
        <v>9.9015983384645786E-3</v>
      </c>
    </row>
    <row r="42" spans="1:4">
      <c r="A42" s="146">
        <v>45350</v>
      </c>
      <c r="B42" s="180">
        <v>-7.3724074975737713E-2</v>
      </c>
      <c r="C42" s="180">
        <v>-8.4419313124761294E-2</v>
      </c>
      <c r="D42" s="5">
        <f t="shared" si="0"/>
        <v>1.0695238149023581E-2</v>
      </c>
    </row>
    <row r="43" spans="1:4">
      <c r="A43" s="146">
        <v>45382</v>
      </c>
      <c r="B43" s="180">
        <v>-0.18560373923925208</v>
      </c>
      <c r="C43" s="180">
        <v>-0.16176281455386571</v>
      </c>
      <c r="D43" s="5">
        <f t="shared" si="0"/>
        <v>-2.3840924685386372E-2</v>
      </c>
    </row>
    <row r="44" spans="1:4">
      <c r="A44" s="146">
        <v>45412</v>
      </c>
      <c r="B44" s="180">
        <v>0.1783266148525863</v>
      </c>
      <c r="C44" s="180">
        <v>0.17407544730376129</v>
      </c>
      <c r="D44" s="5">
        <f t="shared" si="0"/>
        <v>4.2511675488250134E-3</v>
      </c>
    </row>
    <row r="45" spans="1:4">
      <c r="A45" s="146">
        <v>45443</v>
      </c>
      <c r="B45" s="180">
        <v>0.11179527719583469</v>
      </c>
      <c r="C45" s="180">
        <v>4.1789791198676401E-2</v>
      </c>
      <c r="D45" s="5">
        <f t="shared" si="0"/>
        <v>7.0005485997158293E-2</v>
      </c>
    </row>
    <row r="46" spans="1:4">
      <c r="A46" s="146">
        <v>45473</v>
      </c>
      <c r="B46" s="180">
        <v>5.500199386186104E-2</v>
      </c>
      <c r="C46" s="180">
        <v>-1.2114089541183292E-3</v>
      </c>
      <c r="D46" s="5">
        <f t="shared" si="0"/>
        <v>5.621340281597937E-2</v>
      </c>
    </row>
    <row r="47" spans="1:4">
      <c r="A47" s="146">
        <v>45504</v>
      </c>
      <c r="B47" s="180">
        <v>5.9933118745561238E-2</v>
      </c>
      <c r="C47" s="180">
        <v>4.3207106749235211E-2</v>
      </c>
      <c r="D47" s="5">
        <f t="shared" si="0"/>
        <v>1.6726011996326028E-2</v>
      </c>
    </row>
    <row r="48" spans="1:4">
      <c r="A48" s="146">
        <v>45535</v>
      </c>
      <c r="B48" s="180">
        <v>8.7198671209930523E-2</v>
      </c>
      <c r="C48" s="180">
        <v>4.8343947206453027E-2</v>
      </c>
      <c r="D48" s="5">
        <f t="shared" si="0"/>
        <v>3.8854724003477496E-2</v>
      </c>
    </row>
    <row r="49" spans="1:4">
      <c r="A49" s="146">
        <v>45565</v>
      </c>
      <c r="B49" s="180">
        <v>-7.2008841314706706E-3</v>
      </c>
      <c r="C49" s="180">
        <v>-9.8414284636068258E-3</v>
      </c>
      <c r="D49" s="5">
        <f t="shared" si="0"/>
        <v>2.6405443321361553E-3</v>
      </c>
    </row>
    <row r="50" spans="1:4">
      <c r="A50" s="146">
        <v>45596</v>
      </c>
      <c r="B50" s="180">
        <v>5.2692342697910274E-2</v>
      </c>
      <c r="C50" s="180">
        <v>1.3095390111224898E-3</v>
      </c>
      <c r="D50" s="5">
        <f t="shared" si="0"/>
        <v>5.1382803686787784E-2</v>
      </c>
    </row>
    <row r="51" spans="1:4">
      <c r="A51" s="146">
        <v>45626</v>
      </c>
      <c r="B51" s="180">
        <v>0.1877461249305484</v>
      </c>
      <c r="C51" s="180">
        <v>0.15308795610704679</v>
      </c>
      <c r="D51" s="5">
        <f t="shared" si="0"/>
        <v>3.4658168823501617E-2</v>
      </c>
    </row>
    <row r="52" spans="1:4">
      <c r="A52" s="146">
        <v>45657</v>
      </c>
      <c r="B52" s="180">
        <v>0.11341339017418449</v>
      </c>
      <c r="C52" s="180">
        <v>5.2632977167595386E-2</v>
      </c>
      <c r="D52" s="5">
        <f t="shared" si="0"/>
        <v>6.0780413006589103E-2</v>
      </c>
    </row>
    <row r="53" spans="1:4">
      <c r="A53" s="146">
        <v>45688</v>
      </c>
      <c r="B53" s="180">
        <v>4.7333478578069563E-2</v>
      </c>
      <c r="C53" s="180">
        <v>4.1992136263190906E-3</v>
      </c>
      <c r="D53" s="5">
        <f t="shared" si="0"/>
        <v>4.3134264951750476E-2</v>
      </c>
    </row>
    <row r="54" spans="1:4">
      <c r="A54" s="146">
        <v>45716</v>
      </c>
      <c r="B54" s="180">
        <v>0.10132406414712102</v>
      </c>
      <c r="C54" s="180">
        <v>7.7652022646892402E-2</v>
      </c>
      <c r="D54" s="5">
        <f t="shared" si="0"/>
        <v>2.3672041500228613E-2</v>
      </c>
    </row>
    <row r="55" spans="1:4">
      <c r="A55" s="146">
        <v>45747</v>
      </c>
      <c r="B55" s="180">
        <v>4.1484093508839102E-2</v>
      </c>
      <c r="C55" s="180">
        <v>5.9653289144261726E-2</v>
      </c>
      <c r="D55" s="5">
        <f t="shared" si="0"/>
        <v>-1.8169195635422623E-2</v>
      </c>
    </row>
    <row r="56" spans="1:4">
      <c r="A56" s="146">
        <v>45777</v>
      </c>
      <c r="B56" s="180">
        <v>6.2439983381125538E-2</v>
      </c>
      <c r="C56" s="180">
        <v>4.6268386769371901E-2</v>
      </c>
      <c r="D56" s="5">
        <f t="shared" si="0"/>
        <v>1.6171596611753637E-2</v>
      </c>
    </row>
    <row r="57" spans="1:4">
      <c r="A57" s="146">
        <v>45808</v>
      </c>
      <c r="B57" s="180">
        <v>1.9232096966108621E-2</v>
      </c>
      <c r="C57" s="180">
        <v>2.048766818341981E-3</v>
      </c>
      <c r="D57" s="5">
        <f t="shared" si="0"/>
        <v>1.7183330147766639E-2</v>
      </c>
    </row>
    <row r="58" spans="1:4">
      <c r="A58" s="146">
        <v>45838</v>
      </c>
      <c r="B58" s="180">
        <v>3.3525390118283559E-2</v>
      </c>
      <c r="C58" s="180">
        <v>3.192558071520251E-2</v>
      </c>
      <c r="D58" s="5">
        <f t="shared" si="0"/>
        <v>1.5998094030810484E-3</v>
      </c>
    </row>
    <row r="59" spans="1:4">
      <c r="A59" s="146">
        <v>45869</v>
      </c>
      <c r="B59" s="180">
        <v>-8.1244841057695211E-3</v>
      </c>
      <c r="C59" s="180">
        <v>1.6598965539895719E-2</v>
      </c>
      <c r="D59" s="5">
        <f t="shared" si="0"/>
        <v>-2.4723449645665238E-2</v>
      </c>
    </row>
    <row r="60" spans="1:4">
      <c r="A60" s="146">
        <v>45900</v>
      </c>
      <c r="B60" s="180">
        <v>4.9357519800720263E-2</v>
      </c>
      <c r="C60" s="180">
        <v>2.559100282320426E-2</v>
      </c>
      <c r="D60" s="5">
        <f t="shared" si="0"/>
        <v>2.3766516977516004E-2</v>
      </c>
    </row>
    <row r="61" spans="1:4">
      <c r="A61" s="146">
        <v>45930</v>
      </c>
      <c r="B61" s="180">
        <v>-9.8609219404099408E-3</v>
      </c>
      <c r="C61" s="180">
        <v>-3.2096284108191778E-2</v>
      </c>
      <c r="D61" s="5">
        <f t="shared" si="0"/>
        <v>2.2235362167781839E-2</v>
      </c>
    </row>
    <row r="62" spans="1:4">
      <c r="A62" s="146">
        <v>45961</v>
      </c>
      <c r="B62" s="180">
        <v>6.1638184940862664E-2</v>
      </c>
      <c r="C62" s="180">
        <v>4.8684360835778942E-2</v>
      </c>
      <c r="D62" s="5">
        <f t="shared" si="0"/>
        <v>1.2953824105083722E-2</v>
      </c>
    </row>
    <row r="63" spans="1:4">
      <c r="A63" s="146">
        <v>45991</v>
      </c>
      <c r="B63" s="180">
        <v>-3.1956615356035591E-2</v>
      </c>
      <c r="C63" s="180">
        <v>-3.067594853037613E-2</v>
      </c>
      <c r="D63" s="5">
        <f t="shared" si="0"/>
        <v>-1.2806668256594607E-3</v>
      </c>
    </row>
    <row r="64" spans="1:4">
      <c r="A64" s="147" t="s">
        <v>611</v>
      </c>
      <c r="B64" s="180">
        <v>6.5419382311826105E-2</v>
      </c>
      <c r="C64" s="180">
        <v>4.3258387729471201E-2</v>
      </c>
      <c r="D64" s="5">
        <f t="shared" si="0"/>
        <v>2.2160994582354904E-2</v>
      </c>
    </row>
  </sheetData>
  <mergeCells count="2">
    <mergeCell ref="B3:C3"/>
    <mergeCell ref="A1:L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F452-4428-40FF-A64B-678CFE28C5BE}">
  <dimension ref="A1:L34"/>
  <sheetViews>
    <sheetView workbookViewId="0"/>
  </sheetViews>
  <sheetFormatPr defaultRowHeight="15"/>
  <cols>
    <col min="1" max="1" width="11.85546875" customWidth="1"/>
    <col min="2" max="2" width="11.140625" customWidth="1"/>
    <col min="8" max="8" width="5.140625" bestFit="1" customWidth="1"/>
  </cols>
  <sheetData>
    <row r="1" spans="1:12" ht="21">
      <c r="A1" s="240" t="s">
        <v>1273</v>
      </c>
      <c r="B1" s="240"/>
      <c r="C1" s="240"/>
      <c r="D1" s="240"/>
      <c r="E1" s="240"/>
      <c r="F1" s="240"/>
      <c r="G1" s="240"/>
      <c r="H1" s="241"/>
      <c r="I1" s="241"/>
      <c r="J1" s="241"/>
      <c r="K1" s="241"/>
      <c r="L1" s="241"/>
    </row>
    <row r="3" spans="1:12">
      <c r="A3" s="147"/>
      <c r="B3" s="294" t="s">
        <v>135</v>
      </c>
      <c r="C3" s="294"/>
      <c r="D3" s="294"/>
      <c r="E3" s="294"/>
      <c r="F3" s="294"/>
      <c r="G3" s="147"/>
    </row>
    <row r="4" spans="1:12">
      <c r="A4" s="147"/>
      <c r="B4" s="148" t="s">
        <v>0</v>
      </c>
      <c r="C4" s="148" t="s">
        <v>1</v>
      </c>
      <c r="D4" s="148" t="s">
        <v>2</v>
      </c>
      <c r="E4" s="148" t="s">
        <v>284</v>
      </c>
      <c r="F4" s="148" t="s">
        <v>285</v>
      </c>
      <c r="G4" s="147"/>
    </row>
    <row r="5" spans="1:12">
      <c r="A5" s="234" t="s">
        <v>0</v>
      </c>
      <c r="B5" s="235">
        <v>2.5000000000000001E-3</v>
      </c>
      <c r="C5" s="235">
        <v>1.1999999999999999E-3</v>
      </c>
      <c r="D5" s="235">
        <v>8.0000000000000004E-4</v>
      </c>
      <c r="E5" s="235">
        <v>1E-3</v>
      </c>
      <c r="F5" s="235">
        <v>6.9999999999999999E-4</v>
      </c>
      <c r="G5" s="147"/>
    </row>
    <row r="6" spans="1:12">
      <c r="A6" s="236" t="s">
        <v>1</v>
      </c>
      <c r="B6" s="235">
        <v>1.1999999999999999E-3</v>
      </c>
      <c r="C6" s="235">
        <v>3.0000000000000001E-3</v>
      </c>
      <c r="D6" s="235">
        <v>1.1000000000000001E-3</v>
      </c>
      <c r="E6" s="235">
        <v>1.2999999999999999E-3</v>
      </c>
      <c r="F6" s="235">
        <v>1E-3</v>
      </c>
      <c r="G6" s="147"/>
    </row>
    <row r="7" spans="1:12">
      <c r="A7" s="236" t="s">
        <v>2</v>
      </c>
      <c r="B7" s="235">
        <v>8.0000000000000004E-4</v>
      </c>
      <c r="C7" s="235">
        <v>1.1000000000000001E-3</v>
      </c>
      <c r="D7" s="235">
        <v>2.2000000000000001E-3</v>
      </c>
      <c r="E7" s="235">
        <v>8.9999999999999998E-4</v>
      </c>
      <c r="F7" s="235">
        <v>5.9999999999999995E-4</v>
      </c>
      <c r="G7" s="147"/>
    </row>
    <row r="8" spans="1:12">
      <c r="A8" s="236" t="s">
        <v>284</v>
      </c>
      <c r="B8" s="235">
        <v>1E-3</v>
      </c>
      <c r="C8" s="235">
        <v>1.2999999999999999E-3</v>
      </c>
      <c r="D8" s="235">
        <v>8.9999999999999998E-4</v>
      </c>
      <c r="E8" s="235">
        <v>2.8E-3</v>
      </c>
      <c r="F8" s="235">
        <v>1.1000000000000001E-3</v>
      </c>
      <c r="G8" s="147"/>
    </row>
    <row r="9" spans="1:12">
      <c r="A9" s="236" t="s">
        <v>285</v>
      </c>
      <c r="B9" s="235">
        <v>6.9999999999999999E-4</v>
      </c>
      <c r="C9" s="235">
        <v>1E-3</v>
      </c>
      <c r="D9" s="235">
        <v>5.9999999999999995E-4</v>
      </c>
      <c r="E9" s="235">
        <v>1.1000000000000001E-3</v>
      </c>
      <c r="F9" s="235">
        <v>2E-3</v>
      </c>
      <c r="G9" s="147"/>
    </row>
    <row r="10" spans="1:12">
      <c r="A10" s="236"/>
      <c r="B10" s="189"/>
      <c r="C10" s="189"/>
      <c r="D10" s="189"/>
      <c r="E10" s="189"/>
      <c r="F10" s="189"/>
      <c r="G10" s="147"/>
    </row>
    <row r="11" spans="1:12">
      <c r="A11" s="147"/>
      <c r="B11" s="294" t="s">
        <v>155</v>
      </c>
      <c r="C11" s="294"/>
      <c r="D11" s="294"/>
      <c r="E11" s="294"/>
      <c r="F11" s="294"/>
      <c r="G11" s="147"/>
    </row>
    <row r="12" spans="1:12">
      <c r="A12" s="147"/>
      <c r="B12" s="148" t="s">
        <v>0</v>
      </c>
      <c r="C12" s="148" t="s">
        <v>1</v>
      </c>
      <c r="D12" s="148" t="s">
        <v>2</v>
      </c>
      <c r="E12" s="148" t="s">
        <v>284</v>
      </c>
      <c r="F12" s="148" t="s">
        <v>285</v>
      </c>
      <c r="G12" s="148" t="s">
        <v>49</v>
      </c>
    </row>
    <row r="13" spans="1:12">
      <c r="A13" s="236" t="s">
        <v>13</v>
      </c>
      <c r="B13" s="235">
        <v>0.25</v>
      </c>
      <c r="C13" s="235">
        <v>0.24</v>
      </c>
      <c r="D13" s="235">
        <v>0.17</v>
      </c>
      <c r="E13" s="235">
        <v>0.2</v>
      </c>
      <c r="F13" s="235">
        <v>0.18</v>
      </c>
      <c r="G13" s="235">
        <v>0.02</v>
      </c>
    </row>
    <row r="14" spans="1:12">
      <c r="A14" s="147"/>
      <c r="B14" s="147"/>
      <c r="C14" s="147"/>
      <c r="D14" s="147"/>
      <c r="E14" s="147"/>
      <c r="F14" s="147"/>
      <c r="G14" s="147"/>
    </row>
    <row r="15" spans="1:12">
      <c r="A15" s="147"/>
      <c r="B15" s="294" t="s">
        <v>289</v>
      </c>
      <c r="C15" s="294"/>
      <c r="D15" s="294"/>
      <c r="E15" s="294"/>
      <c r="F15" s="294"/>
      <c r="G15" s="148" t="s">
        <v>7</v>
      </c>
    </row>
    <row r="16" spans="1:12">
      <c r="A16" s="147"/>
      <c r="B16" s="148"/>
      <c r="C16" s="148"/>
      <c r="D16" s="148"/>
      <c r="E16" s="148"/>
      <c r="F16" s="148"/>
      <c r="G16" s="167"/>
    </row>
    <row r="17" spans="1:7">
      <c r="A17" s="237" t="s">
        <v>305</v>
      </c>
      <c r="B17" s="238">
        <v>0.15</v>
      </c>
      <c r="C17" s="238">
        <v>0.2</v>
      </c>
      <c r="D17" s="238">
        <v>0.35</v>
      </c>
      <c r="E17" s="238">
        <v>0.3</v>
      </c>
      <c r="F17" s="238">
        <v>0</v>
      </c>
      <c r="G17" s="167">
        <f>SUM(B17:F17)</f>
        <v>1</v>
      </c>
    </row>
    <row r="18" spans="1:7">
      <c r="A18" s="237" t="s">
        <v>144</v>
      </c>
      <c r="B18" s="239">
        <v>0</v>
      </c>
      <c r="C18" s="239">
        <v>0.24</v>
      </c>
      <c r="D18" s="239">
        <v>0.26</v>
      </c>
      <c r="E18" s="239">
        <v>0.22</v>
      </c>
      <c r="F18" s="239">
        <v>0.28000000000000003</v>
      </c>
      <c r="G18" s="167">
        <f>SUM(B18:F18)</f>
        <v>1</v>
      </c>
    </row>
    <row r="19" spans="1:7">
      <c r="A19" s="237" t="s">
        <v>175</v>
      </c>
      <c r="B19" s="239">
        <f t="shared" ref="B19:G19" si="0">B17-B18</f>
        <v>0.15</v>
      </c>
      <c r="C19" s="239">
        <f t="shared" si="0"/>
        <v>-3.999999999999998E-2</v>
      </c>
      <c r="D19" s="239">
        <f t="shared" si="0"/>
        <v>8.9999999999999969E-2</v>
      </c>
      <c r="E19" s="239">
        <f t="shared" si="0"/>
        <v>7.9999999999999988E-2</v>
      </c>
      <c r="F19" s="239">
        <f t="shared" si="0"/>
        <v>-0.28000000000000003</v>
      </c>
      <c r="G19" s="239">
        <f t="shared" si="0"/>
        <v>0</v>
      </c>
    </row>
    <row r="20" spans="1:7">
      <c r="A20" s="142"/>
      <c r="B20" s="2"/>
      <c r="C20" s="2"/>
      <c r="D20" s="2"/>
      <c r="E20" s="2"/>
      <c r="F20" s="2"/>
    </row>
    <row r="21" spans="1:7">
      <c r="B21" s="1"/>
      <c r="C21" s="1"/>
      <c r="D21" s="1"/>
      <c r="E21" s="1"/>
      <c r="F21" s="1"/>
      <c r="G21" s="1"/>
    </row>
    <row r="22" spans="1:7">
      <c r="B22" s="1" t="s">
        <v>457</v>
      </c>
      <c r="C22" s="1" t="s">
        <v>54</v>
      </c>
      <c r="D22" s="1" t="s">
        <v>13</v>
      </c>
      <c r="E22" s="1" t="s">
        <v>51</v>
      </c>
      <c r="F22" s="1"/>
      <c r="G22" s="1"/>
    </row>
    <row r="23" spans="1:7">
      <c r="A23" s="1" t="s">
        <v>0</v>
      </c>
      <c r="B23" s="5">
        <f>SUMPRODUCT($B$18:$F$18,B5:F5)</f>
        <v>9.1199999999999994E-4</v>
      </c>
      <c r="C23" s="5">
        <f>B23/$B$30</f>
        <v>0.6762368015185668</v>
      </c>
      <c r="D23" s="5">
        <f>B13</f>
        <v>0.25</v>
      </c>
      <c r="E23" s="5">
        <f>D23-0.02-C23*($B$29-0.02)</f>
        <v>0.11084707557242852</v>
      </c>
      <c r="F23" s="2"/>
      <c r="G23" s="2"/>
    </row>
    <row r="24" spans="1:7">
      <c r="A24" s="1" t="s">
        <v>1</v>
      </c>
      <c r="B24" s="5">
        <f>SUMPRODUCT($B$18:$F$18,B6:F6)</f>
        <v>1.572E-3</v>
      </c>
      <c r="C24" s="5">
        <f>B24/$B$30</f>
        <v>1.1656186973543718</v>
      </c>
      <c r="D24" s="5">
        <f>C13</f>
        <v>0.24</v>
      </c>
      <c r="E24" s="5">
        <f>D24-0.02-C24*($B$29-0.02)</f>
        <v>1.4617985526159644E-2</v>
      </c>
      <c r="F24" s="2"/>
      <c r="G24" s="2"/>
    </row>
    <row r="25" spans="1:7">
      <c r="A25" s="1" t="s">
        <v>2</v>
      </c>
      <c r="B25" s="5">
        <f>SUMPRODUCT($B$18:$F$18,B7:F7)</f>
        <v>1.2019999999999999E-3</v>
      </c>
      <c r="C25" s="5">
        <f>B25/$B$30</f>
        <v>0.89126824059793552</v>
      </c>
      <c r="D25" s="5">
        <f>D13</f>
        <v>0.17</v>
      </c>
      <c r="E25" s="5">
        <f>D25-0.02-C25*($B$29-0.02)</f>
        <v>-7.0414639933562284E-3</v>
      </c>
      <c r="F25" s="2"/>
      <c r="G25" s="2"/>
    </row>
    <row r="26" spans="1:7">
      <c r="A26" s="1" t="s">
        <v>284</v>
      </c>
      <c r="B26" s="5">
        <f>SUMPRODUCT($B$18:$F$18,B8:F8)</f>
        <v>1.4700000000000002E-3</v>
      </c>
      <c r="C26" s="5">
        <f>B26/$B$30</f>
        <v>1.089986949816111</v>
      </c>
      <c r="D26" s="5">
        <f>E13</f>
        <v>0.2</v>
      </c>
      <c r="E26" s="5">
        <f>D26-0.02-C26*($B$29-0.02)</f>
        <v>-1.2055700557598775E-2</v>
      </c>
      <c r="F26" s="2"/>
      <c r="G26" s="2"/>
    </row>
    <row r="27" spans="1:7">
      <c r="A27" s="1" t="s">
        <v>285</v>
      </c>
      <c r="B27" s="5">
        <f>SUMPRODUCT($B$18:$F$18,B9:F9)</f>
        <v>1.1980000000000001E-3</v>
      </c>
      <c r="C27" s="5">
        <f>B27/$B$30</f>
        <v>0.88830228971408232</v>
      </c>
      <c r="D27" s="5">
        <f>F13</f>
        <v>0.18</v>
      </c>
      <c r="E27" s="5">
        <f>D27-0.02-C27*($B$29-0.02)</f>
        <v>3.4811365523786664E-3</v>
      </c>
      <c r="F27" s="2"/>
      <c r="G27" s="2"/>
    </row>
    <row r="29" spans="1:7">
      <c r="A29" s="1" t="s">
        <v>458</v>
      </c>
      <c r="B29" s="4">
        <f>SUMPRODUCT(B18:F18,B13:F13)</f>
        <v>0.19620000000000001</v>
      </c>
    </row>
    <row r="30" spans="1:7">
      <c r="A30" s="1" t="s">
        <v>459</v>
      </c>
      <c r="B30" s="27">
        <f>SUMPRODUCT(MMULT(B18:F18,B5:F9),B18:F18)</f>
        <v>1.3486400000000001E-3</v>
      </c>
    </row>
    <row r="32" spans="1:7">
      <c r="B32" s="1" t="s">
        <v>460</v>
      </c>
      <c r="C32" s="1" t="s">
        <v>461</v>
      </c>
    </row>
    <row r="33" spans="1:3">
      <c r="A33" s="1" t="s">
        <v>475</v>
      </c>
      <c r="B33" s="143" cm="1">
        <f t="array" ref="B33">MMULT(B17:F17,C23:C27)</f>
        <v>0.97349922885277018</v>
      </c>
      <c r="C33" s="143" cm="1">
        <f t="array" ref="C33">MMULT(B19:F19,C23:C27)</f>
        <v>-2.6500771147229873E-2</v>
      </c>
    </row>
    <row r="34" spans="1:3">
      <c r="A34" s="1" t="s">
        <v>462</v>
      </c>
      <c r="B34" s="144" cm="1">
        <f t="array" ref="B34">MMULT(B17:F17,E23:E27)</f>
        <v>1.3469435876141893E-2</v>
      </c>
      <c r="C34" s="144" cm="1">
        <f t="array" ref="C34">MMULT(B19:F19,E23:E27)</f>
        <v>1.3469435876141904E-2</v>
      </c>
    </row>
  </sheetData>
  <mergeCells count="3">
    <mergeCell ref="B15:F15"/>
    <mergeCell ref="B3:F3"/>
    <mergeCell ref="B11:F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9F06-4B28-4B84-A692-32259D659EB9}">
  <dimension ref="A1:N27"/>
  <sheetViews>
    <sheetView workbookViewId="0">
      <selection sqref="A1:F1"/>
    </sheetView>
  </sheetViews>
  <sheetFormatPr defaultRowHeight="15"/>
  <cols>
    <col min="1" max="1" width="18.85546875" bestFit="1" customWidth="1"/>
    <col min="2" max="2" width="10.85546875" customWidth="1"/>
    <col min="3" max="4" width="12" bestFit="1" customWidth="1"/>
    <col min="7" max="7" width="2.5703125" customWidth="1"/>
    <col min="8" max="9" width="11.42578125" bestFit="1" customWidth="1"/>
    <col min="10" max="10" width="11.5703125" bestFit="1" customWidth="1"/>
  </cols>
  <sheetData>
    <row r="1" spans="1:14" ht="21">
      <c r="A1" s="307" t="s">
        <v>1274</v>
      </c>
      <c r="B1" s="307"/>
      <c r="C1" s="307"/>
      <c r="D1" s="307"/>
      <c r="E1" s="307"/>
      <c r="F1" s="307"/>
    </row>
    <row r="3" spans="1:14">
      <c r="A3" s="242" t="s">
        <v>135</v>
      </c>
      <c r="B3" s="243"/>
      <c r="C3" s="244"/>
      <c r="D3" s="244"/>
      <c r="E3" s="19"/>
      <c r="H3" s="1"/>
      <c r="I3" s="1"/>
      <c r="J3" s="1"/>
      <c r="M3" s="1"/>
    </row>
    <row r="4" spans="1:14">
      <c r="A4" s="244"/>
      <c r="B4" s="245" t="s">
        <v>307</v>
      </c>
      <c r="C4" s="245" t="s">
        <v>308</v>
      </c>
      <c r="D4" s="245" t="s">
        <v>309</v>
      </c>
      <c r="E4" s="19"/>
      <c r="J4" s="1"/>
      <c r="M4" s="1"/>
    </row>
    <row r="5" spans="1:14">
      <c r="A5" s="245" t="s">
        <v>307</v>
      </c>
      <c r="B5" s="246">
        <v>0.04</v>
      </c>
      <c r="C5" s="246">
        <v>-0.02</v>
      </c>
      <c r="D5" s="246">
        <v>2.5000000000000001E-2</v>
      </c>
      <c r="E5" s="19"/>
      <c r="H5" s="1"/>
      <c r="I5" s="1"/>
      <c r="J5" s="1"/>
      <c r="M5" s="1"/>
      <c r="N5" s="1"/>
    </row>
    <row r="6" spans="1:14">
      <c r="A6" s="245" t="s">
        <v>308</v>
      </c>
      <c r="B6" s="247">
        <v>-0.02</v>
      </c>
      <c r="C6" s="247">
        <v>0.09</v>
      </c>
      <c r="D6" s="247">
        <v>0.04</v>
      </c>
      <c r="E6" s="19"/>
      <c r="H6" s="55"/>
    </row>
    <row r="7" spans="1:14">
      <c r="A7" s="245" t="s">
        <v>309</v>
      </c>
      <c r="B7" s="247">
        <v>2.5000000000000001E-2</v>
      </c>
      <c r="C7" s="247">
        <v>0.04</v>
      </c>
      <c r="D7" s="247">
        <v>0.25</v>
      </c>
      <c r="E7" s="19"/>
      <c r="H7" s="55"/>
    </row>
    <row r="8" spans="1:14">
      <c r="A8" s="248"/>
      <c r="B8" s="249"/>
      <c r="C8" s="249"/>
      <c r="D8" s="249"/>
      <c r="E8" s="19"/>
      <c r="H8" s="55"/>
    </row>
    <row r="9" spans="1:14">
      <c r="A9" s="244"/>
      <c r="B9" s="245" t="s">
        <v>307</v>
      </c>
      <c r="C9" s="245" t="s">
        <v>308</v>
      </c>
      <c r="D9" s="245" t="s">
        <v>309</v>
      </c>
      <c r="E9" s="29"/>
      <c r="G9" s="101"/>
    </row>
    <row r="10" spans="1:14">
      <c r="A10" s="250" t="s">
        <v>13</v>
      </c>
      <c r="B10" s="246">
        <v>0.12</v>
      </c>
      <c r="C10" s="246">
        <v>0.06</v>
      </c>
      <c r="D10" s="246">
        <v>0.08</v>
      </c>
      <c r="E10" s="45"/>
      <c r="G10" s="101"/>
    </row>
    <row r="11" spans="1:14">
      <c r="A11" s="150" t="s">
        <v>464</v>
      </c>
      <c r="B11" s="180">
        <v>0.10534574468085106</v>
      </c>
      <c r="C11" s="180">
        <v>-4.6808510638297877E-2</v>
      </c>
      <c r="D11" s="180">
        <v>-3.5186170212765933E-2</v>
      </c>
    </row>
    <row r="12" spans="1:14">
      <c r="A12" s="147"/>
      <c r="B12" s="147"/>
      <c r="C12" s="147"/>
      <c r="D12" s="147"/>
    </row>
    <row r="13" spans="1:14">
      <c r="A13" s="147"/>
      <c r="B13" s="294" t="s">
        <v>289</v>
      </c>
      <c r="C13" s="294"/>
      <c r="D13" s="294"/>
      <c r="G13" s="1"/>
    </row>
    <row r="14" spans="1:14">
      <c r="A14" s="147"/>
      <c r="B14" s="245" t="s">
        <v>307</v>
      </c>
      <c r="C14" s="245" t="s">
        <v>308</v>
      </c>
      <c r="D14" s="245" t="s">
        <v>309</v>
      </c>
      <c r="F14" s="101" t="s">
        <v>7</v>
      </c>
    </row>
    <row r="15" spans="1:14">
      <c r="A15" s="150" t="s">
        <v>144</v>
      </c>
      <c r="B15" s="180">
        <v>0.3</v>
      </c>
      <c r="C15" s="180">
        <v>0.6</v>
      </c>
      <c r="D15" s="180">
        <v>0.1</v>
      </c>
      <c r="F15">
        <f>SUM(B15:D15)</f>
        <v>0.99999999999999989</v>
      </c>
    </row>
    <row r="16" spans="1:14">
      <c r="A16" s="150" t="s">
        <v>305</v>
      </c>
      <c r="B16" s="180">
        <v>0.3083333333333097</v>
      </c>
      <c r="C16" s="180">
        <v>0.5</v>
      </c>
      <c r="D16" s="180">
        <f>1-SUM(B16:C16)</f>
        <v>0.1916666666666903</v>
      </c>
      <c r="F16">
        <f>SUM(B16:D16)</f>
        <v>1</v>
      </c>
      <c r="H16" s="1" t="s">
        <v>51</v>
      </c>
      <c r="I16" s="1" t="s">
        <v>286</v>
      </c>
      <c r="J16" s="1" t="s">
        <v>288</v>
      </c>
    </row>
    <row r="17" spans="1:10">
      <c r="A17" s="150" t="s">
        <v>175</v>
      </c>
      <c r="B17" s="180">
        <f>B16-B15</f>
        <v>8.3333333333097115E-3</v>
      </c>
      <c r="C17" s="180">
        <f>C16-C15</f>
        <v>-9.9999999999999978E-2</v>
      </c>
      <c r="D17" s="180">
        <f>D16-D15</f>
        <v>9.1666666666690294E-2</v>
      </c>
      <c r="F17">
        <f>SUM(B17:D17)</f>
        <v>0</v>
      </c>
      <c r="H17" s="27">
        <f>SUMPRODUCT(B17:D17,B11:D11)</f>
        <v>2.3333333333300154E-3</v>
      </c>
      <c r="I17" s="27">
        <f>SQRT(SUMPRODUCT(MMULT(B17:D17,$B$5:$D$7),B17:D17))</f>
        <v>4.8390770469866992E-2</v>
      </c>
      <c r="J17" s="27">
        <f>H17/I17</f>
        <v>4.8218561322204728E-2</v>
      </c>
    </row>
    <row r="19" spans="1:10">
      <c r="A19" s="1" t="s">
        <v>334</v>
      </c>
      <c r="B19">
        <v>10</v>
      </c>
      <c r="H19" s="1" t="s">
        <v>51</v>
      </c>
      <c r="I19" s="1" t="s">
        <v>286</v>
      </c>
      <c r="J19" s="1" t="s">
        <v>288</v>
      </c>
    </row>
    <row r="20" spans="1:10">
      <c r="A20" s="1" t="s">
        <v>335</v>
      </c>
      <c r="B20" s="5">
        <f>$B$19*B17</f>
        <v>8.3333333333097115E-2</v>
      </c>
      <c r="C20" s="5">
        <f>$B$19*C17</f>
        <v>-0.99999999999999978</v>
      </c>
      <c r="D20" s="5">
        <f>$B$19*D17</f>
        <v>0.916666666666903</v>
      </c>
      <c r="F20">
        <f>SUM(B20:D20)</f>
        <v>0</v>
      </c>
      <c r="H20" s="5">
        <f>SUMPRODUCT(B20:D20,B11:D11)</f>
        <v>2.3333333333300149E-2</v>
      </c>
      <c r="I20" s="5">
        <f>SQRT(SUMPRODUCT(MMULT(B20:D20,$B$5:$D$7),B20:D20))</f>
        <v>0.48390770469867</v>
      </c>
      <c r="J20" s="27">
        <f>H20/I20</f>
        <v>4.8218561322204714E-2</v>
      </c>
    </row>
    <row r="21" spans="1:10">
      <c r="A21" s="1" t="s">
        <v>465</v>
      </c>
      <c r="B21" s="5">
        <f>B20+B15</f>
        <v>0.3833333333330971</v>
      </c>
      <c r="C21" s="5">
        <f>C20+C15</f>
        <v>-0.3999999999999998</v>
      </c>
      <c r="D21" s="5">
        <f>D20+D15</f>
        <v>1.0166666666669031</v>
      </c>
      <c r="F21">
        <f>SUM(B21:D21)</f>
        <v>1.0000000000000004</v>
      </c>
    </row>
    <row r="22" spans="1:10">
      <c r="A22" s="1"/>
    </row>
    <row r="23" spans="1:10">
      <c r="A23" s="1"/>
    </row>
    <row r="24" spans="1:10">
      <c r="A24" s="1"/>
    </row>
    <row r="25" spans="1:10">
      <c r="A25" s="1"/>
      <c r="D25" s="36"/>
    </row>
    <row r="26" spans="1:10">
      <c r="D26" s="36"/>
    </row>
    <row r="27" spans="1:10">
      <c r="A27" s="1"/>
      <c r="D27" s="36"/>
    </row>
  </sheetData>
  <mergeCells count="2">
    <mergeCell ref="B13:D13"/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F07B-6106-4AAB-9D2B-79111335BEB1}">
  <dimension ref="A1:S42"/>
  <sheetViews>
    <sheetView topLeftCell="A12" workbookViewId="0">
      <selection activeCell="B42" sqref="B42:C42"/>
    </sheetView>
  </sheetViews>
  <sheetFormatPr defaultRowHeight="15"/>
  <cols>
    <col min="1" max="1" width="11.140625" customWidth="1"/>
    <col min="2" max="2" width="12.5703125" bestFit="1" customWidth="1"/>
    <col min="3" max="3" width="12.85546875" bestFit="1" customWidth="1"/>
    <col min="6" max="6" width="13.42578125" bestFit="1" customWidth="1"/>
    <col min="13" max="13" width="12" bestFit="1" customWidth="1"/>
    <col min="19" max="19" width="10.140625" bestFit="1" customWidth="1"/>
  </cols>
  <sheetData>
    <row r="1" spans="1:11" ht="21">
      <c r="A1" s="307" t="s">
        <v>1275</v>
      </c>
      <c r="B1" s="307"/>
      <c r="C1" s="307"/>
      <c r="D1" s="307"/>
      <c r="E1" s="307"/>
      <c r="F1" s="307"/>
    </row>
    <row r="3" spans="1:11">
      <c r="A3" s="147"/>
      <c r="B3" s="294" t="s">
        <v>135</v>
      </c>
      <c r="C3" s="294"/>
      <c r="D3" s="294"/>
      <c r="E3" s="294"/>
      <c r="F3" s="294"/>
      <c r="G3" s="294"/>
      <c r="H3" s="294"/>
      <c r="I3" s="294"/>
      <c r="J3" s="294"/>
      <c r="K3" s="294"/>
    </row>
    <row r="4" spans="1:11">
      <c r="A4" s="147"/>
      <c r="B4" s="148" t="s">
        <v>0</v>
      </c>
      <c r="C4" s="148" t="s">
        <v>1</v>
      </c>
      <c r="D4" s="148" t="s">
        <v>2</v>
      </c>
      <c r="E4" s="148" t="s">
        <v>284</v>
      </c>
      <c r="F4" s="148" t="s">
        <v>285</v>
      </c>
      <c r="G4" s="148" t="s">
        <v>124</v>
      </c>
      <c r="H4" s="148" t="s">
        <v>466</v>
      </c>
      <c r="I4" s="148" t="s">
        <v>467</v>
      </c>
      <c r="J4" s="148" t="s">
        <v>468</v>
      </c>
      <c r="K4" s="148" t="s">
        <v>469</v>
      </c>
    </row>
    <row r="5" spans="1:11">
      <c r="A5" s="148" t="s">
        <v>0</v>
      </c>
      <c r="B5" s="180">
        <v>0.04</v>
      </c>
      <c r="C5" s="180">
        <v>0.03</v>
      </c>
      <c r="D5" s="180">
        <v>2.5000000000000001E-2</v>
      </c>
      <c r="E5" s="180">
        <v>0.02</v>
      </c>
      <c r="F5" s="180">
        <v>1.7999999999999999E-2</v>
      </c>
      <c r="G5" s="180">
        <v>1.4999999999999999E-2</v>
      </c>
      <c r="H5" s="180">
        <v>1.2999999999999999E-2</v>
      </c>
      <c r="I5" s="180">
        <v>0.01</v>
      </c>
      <c r="J5" s="180">
        <v>8.0000000000000002E-3</v>
      </c>
      <c r="K5" s="180">
        <v>5.0000000000000001E-3</v>
      </c>
    </row>
    <row r="6" spans="1:11">
      <c r="A6" s="148" t="s">
        <v>1</v>
      </c>
      <c r="B6" s="180">
        <v>0.03</v>
      </c>
      <c r="C6" s="180">
        <v>4.4999999999999998E-2</v>
      </c>
      <c r="D6" s="180">
        <v>2.8000000000000001E-2</v>
      </c>
      <c r="E6" s="180">
        <v>2.4E-2</v>
      </c>
      <c r="F6" s="180">
        <v>0.02</v>
      </c>
      <c r="G6" s="180">
        <v>1.7000000000000001E-2</v>
      </c>
      <c r="H6" s="180">
        <v>1.4E-2</v>
      </c>
      <c r="I6" s="180">
        <v>1.2E-2</v>
      </c>
      <c r="J6" s="180">
        <v>8.9999999999999993E-3</v>
      </c>
      <c r="K6" s="180">
        <v>6.0000000000000001E-3</v>
      </c>
    </row>
    <row r="7" spans="1:11">
      <c r="A7" s="148" t="s">
        <v>2</v>
      </c>
      <c r="B7" s="180">
        <v>2.5000000000000001E-2</v>
      </c>
      <c r="C7" s="180">
        <v>2.8000000000000001E-2</v>
      </c>
      <c r="D7" s="180">
        <v>0.05</v>
      </c>
      <c r="E7" s="180">
        <v>0.03</v>
      </c>
      <c r="F7" s="180">
        <v>2.5000000000000001E-2</v>
      </c>
      <c r="G7" s="180">
        <v>0.02</v>
      </c>
      <c r="H7" s="180">
        <v>1.7000000000000001E-2</v>
      </c>
      <c r="I7" s="180">
        <v>1.4E-2</v>
      </c>
      <c r="J7" s="180">
        <v>0.01</v>
      </c>
      <c r="K7" s="180">
        <v>7.0000000000000001E-3</v>
      </c>
    </row>
    <row r="8" spans="1:11">
      <c r="A8" s="148" t="s">
        <v>284</v>
      </c>
      <c r="B8" s="180">
        <v>0.02</v>
      </c>
      <c r="C8" s="180">
        <v>2.4E-2</v>
      </c>
      <c r="D8" s="180">
        <v>0.03</v>
      </c>
      <c r="E8" s="180">
        <v>5.5E-2</v>
      </c>
      <c r="F8" s="180">
        <v>2.8000000000000001E-2</v>
      </c>
      <c r="G8" s="180">
        <v>2.3E-2</v>
      </c>
      <c r="H8" s="180">
        <v>0.02</v>
      </c>
      <c r="I8" s="180">
        <v>1.6E-2</v>
      </c>
      <c r="J8" s="180">
        <v>1.2E-2</v>
      </c>
      <c r="K8" s="180">
        <v>8.0000000000000002E-3</v>
      </c>
    </row>
    <row r="9" spans="1:11">
      <c r="A9" s="148" t="s">
        <v>285</v>
      </c>
      <c r="B9" s="180">
        <v>1.7999999999999999E-2</v>
      </c>
      <c r="C9" s="180">
        <v>0.02</v>
      </c>
      <c r="D9" s="180">
        <v>2.5000000000000001E-2</v>
      </c>
      <c r="E9" s="180">
        <v>2.8000000000000001E-2</v>
      </c>
      <c r="F9" s="180">
        <v>0.06</v>
      </c>
      <c r="G9" s="180">
        <v>2.5000000000000001E-2</v>
      </c>
      <c r="H9" s="180">
        <v>2.1999999999999999E-2</v>
      </c>
      <c r="I9" s="180">
        <v>1.7999999999999999E-2</v>
      </c>
      <c r="J9" s="180">
        <v>1.2999999999999999E-2</v>
      </c>
      <c r="K9" s="180">
        <v>8.9999999999999993E-3</v>
      </c>
    </row>
    <row r="10" spans="1:11">
      <c r="A10" s="148" t="s">
        <v>124</v>
      </c>
      <c r="B10" s="180">
        <v>1.4999999999999999E-2</v>
      </c>
      <c r="C10" s="180">
        <v>1.7000000000000001E-2</v>
      </c>
      <c r="D10" s="180">
        <v>0.02</v>
      </c>
      <c r="E10" s="180">
        <v>2.3E-2</v>
      </c>
      <c r="F10" s="180">
        <v>2.5000000000000001E-2</v>
      </c>
      <c r="G10" s="180">
        <v>6.5000000000000002E-2</v>
      </c>
      <c r="H10" s="180">
        <v>2.5000000000000001E-2</v>
      </c>
      <c r="I10" s="180">
        <v>0.02</v>
      </c>
      <c r="J10" s="180">
        <v>1.4999999999999999E-2</v>
      </c>
      <c r="K10" s="180">
        <v>0.01</v>
      </c>
    </row>
    <row r="11" spans="1:11">
      <c r="A11" s="148" t="s">
        <v>466</v>
      </c>
      <c r="B11" s="180">
        <v>1.2999999999999999E-2</v>
      </c>
      <c r="C11" s="180">
        <v>1.4E-2</v>
      </c>
      <c r="D11" s="180">
        <v>1.7000000000000001E-2</v>
      </c>
      <c r="E11" s="180">
        <v>0.02</v>
      </c>
      <c r="F11" s="180">
        <v>2.1999999999999999E-2</v>
      </c>
      <c r="G11" s="180">
        <v>2.5000000000000001E-2</v>
      </c>
      <c r="H11" s="180">
        <v>7.0000000000000007E-2</v>
      </c>
      <c r="I11" s="180">
        <v>2.1999999999999999E-2</v>
      </c>
      <c r="J11" s="180">
        <v>1.7000000000000001E-2</v>
      </c>
      <c r="K11" s="180">
        <v>1.2E-2</v>
      </c>
    </row>
    <row r="12" spans="1:11">
      <c r="A12" s="148" t="s">
        <v>467</v>
      </c>
      <c r="B12" s="180">
        <v>0.01</v>
      </c>
      <c r="C12" s="180">
        <v>1.2E-2</v>
      </c>
      <c r="D12" s="180">
        <v>1.4E-2</v>
      </c>
      <c r="E12" s="180">
        <v>1.6E-2</v>
      </c>
      <c r="F12" s="180">
        <v>1.7999999999999999E-2</v>
      </c>
      <c r="G12" s="180">
        <v>0.02</v>
      </c>
      <c r="H12" s="180">
        <v>2.1999999999999999E-2</v>
      </c>
      <c r="I12" s="180">
        <v>7.4999999999999997E-2</v>
      </c>
      <c r="J12" s="180">
        <v>0.02</v>
      </c>
      <c r="K12" s="180">
        <v>1.4999999999999999E-2</v>
      </c>
    </row>
    <row r="13" spans="1:11">
      <c r="A13" s="148" t="s">
        <v>468</v>
      </c>
      <c r="B13" s="180">
        <v>8.0000000000000002E-3</v>
      </c>
      <c r="C13" s="180">
        <v>8.9999999999999993E-3</v>
      </c>
      <c r="D13" s="180">
        <v>0.01</v>
      </c>
      <c r="E13" s="180">
        <v>1.2E-2</v>
      </c>
      <c r="F13" s="180">
        <v>1.2999999999999999E-2</v>
      </c>
      <c r="G13" s="180">
        <v>1.4999999999999999E-2</v>
      </c>
      <c r="H13" s="180">
        <v>1.7000000000000001E-2</v>
      </c>
      <c r="I13" s="180">
        <v>0.02</v>
      </c>
      <c r="J13" s="180">
        <v>0.08</v>
      </c>
      <c r="K13" s="180">
        <v>1.7999999999999999E-2</v>
      </c>
    </row>
    <row r="14" spans="1:11">
      <c r="A14" s="148" t="s">
        <v>469</v>
      </c>
      <c r="B14" s="180">
        <v>5.0000000000000001E-3</v>
      </c>
      <c r="C14" s="180">
        <v>6.0000000000000001E-3</v>
      </c>
      <c r="D14" s="180">
        <v>7.0000000000000001E-3</v>
      </c>
      <c r="E14" s="180">
        <v>8.0000000000000002E-3</v>
      </c>
      <c r="F14" s="180">
        <v>8.9999999999999993E-3</v>
      </c>
      <c r="G14" s="180">
        <v>0.01</v>
      </c>
      <c r="H14" s="180">
        <v>1.2E-2</v>
      </c>
      <c r="I14" s="180">
        <v>1.4999999999999999E-2</v>
      </c>
      <c r="J14" s="180">
        <v>1.7999999999999999E-2</v>
      </c>
      <c r="K14" s="180">
        <v>8.5000000000000006E-2</v>
      </c>
    </row>
    <row r="15" spans="1:11">
      <c r="A15" s="148"/>
      <c r="B15" s="147"/>
      <c r="C15" s="147"/>
      <c r="D15" s="147"/>
      <c r="E15" s="147"/>
      <c r="F15" s="147"/>
      <c r="G15" s="147"/>
      <c r="H15" s="147"/>
      <c r="I15" s="147"/>
      <c r="J15" s="147"/>
      <c r="K15" s="147"/>
    </row>
    <row r="16" spans="1:11">
      <c r="A16" s="147"/>
      <c r="B16" s="294" t="s">
        <v>155</v>
      </c>
      <c r="C16" s="294"/>
      <c r="D16" s="294"/>
      <c r="E16" s="294"/>
      <c r="F16" s="294"/>
      <c r="G16" s="294"/>
      <c r="H16" s="294"/>
      <c r="I16" s="294"/>
      <c r="J16" s="294"/>
      <c r="K16" s="294"/>
    </row>
    <row r="17" spans="1:12">
      <c r="A17" s="147"/>
      <c r="B17" s="148" t="s">
        <v>0</v>
      </c>
      <c r="C17" s="148" t="s">
        <v>1</v>
      </c>
      <c r="D17" s="148" t="s">
        <v>2</v>
      </c>
      <c r="E17" s="148" t="s">
        <v>284</v>
      </c>
      <c r="F17" s="148" t="s">
        <v>285</v>
      </c>
      <c r="G17" s="148" t="s">
        <v>124</v>
      </c>
      <c r="H17" s="148" t="s">
        <v>466</v>
      </c>
      <c r="I17" s="148" t="s">
        <v>467</v>
      </c>
      <c r="J17" s="148" t="s">
        <v>468</v>
      </c>
      <c r="K17" s="148" t="s">
        <v>469</v>
      </c>
    </row>
    <row r="18" spans="1:12">
      <c r="A18" s="148" t="s">
        <v>13</v>
      </c>
      <c r="B18" s="180">
        <v>9.0809310134864318E-2</v>
      </c>
      <c r="C18" s="180">
        <v>0.24055491051035807</v>
      </c>
      <c r="D18" s="180">
        <v>0.13195093951515424</v>
      </c>
      <c r="E18" s="180">
        <v>0.17758941149382437</v>
      </c>
      <c r="F18" s="180">
        <v>0.3315832606128023</v>
      </c>
      <c r="G18" s="180">
        <v>0.16487253028733639</v>
      </c>
      <c r="H18" s="180">
        <v>5.4006303304853849E-2</v>
      </c>
      <c r="I18" s="180">
        <v>0.14352401885472385</v>
      </c>
      <c r="J18" s="180">
        <v>0.27689915176718943</v>
      </c>
      <c r="K18" s="180">
        <v>0.2332999272627205</v>
      </c>
    </row>
    <row r="19" spans="1:12">
      <c r="A19" s="148"/>
      <c r="B19" s="147"/>
      <c r="C19" s="147"/>
      <c r="D19" s="147"/>
      <c r="E19" s="147"/>
      <c r="F19" s="147"/>
      <c r="G19" s="147"/>
      <c r="H19" s="147"/>
      <c r="I19" s="147"/>
      <c r="J19" s="147"/>
      <c r="K19" s="147"/>
    </row>
    <row r="20" spans="1:12">
      <c r="A20" s="148"/>
      <c r="B20" s="294" t="s">
        <v>289</v>
      </c>
      <c r="C20" s="294"/>
      <c r="D20" s="294"/>
      <c r="E20" s="294"/>
      <c r="F20" s="294"/>
      <c r="G20" s="294"/>
      <c r="H20" s="294"/>
      <c r="I20" s="294"/>
      <c r="J20" s="294"/>
      <c r="K20" s="294"/>
      <c r="L20" s="1" t="s">
        <v>7</v>
      </c>
    </row>
    <row r="21" spans="1:12">
      <c r="A21" s="147"/>
      <c r="B21" s="148" t="s">
        <v>0</v>
      </c>
      <c r="C21" s="148" t="s">
        <v>1</v>
      </c>
      <c r="D21" s="148" t="s">
        <v>2</v>
      </c>
      <c r="E21" s="148" t="s">
        <v>284</v>
      </c>
      <c r="F21" s="148" t="s">
        <v>285</v>
      </c>
      <c r="G21" s="148" t="s">
        <v>124</v>
      </c>
      <c r="H21" s="148" t="s">
        <v>466</v>
      </c>
      <c r="I21" s="148" t="s">
        <v>467</v>
      </c>
      <c r="J21" s="148" t="s">
        <v>468</v>
      </c>
      <c r="K21" s="148" t="s">
        <v>469</v>
      </c>
    </row>
    <row r="22" spans="1:12">
      <c r="A22" s="150" t="s">
        <v>305</v>
      </c>
      <c r="B22" s="180">
        <f>B23+B24</f>
        <v>-0.11882939444579702</v>
      </c>
      <c r="C22" s="180">
        <f t="shared" ref="C22:K22" si="0">C23+C24</f>
        <v>0.30439575907330441</v>
      </c>
      <c r="D22" s="180">
        <f t="shared" si="0"/>
        <v>5.5280365413569704E-2</v>
      </c>
      <c r="E22" s="180">
        <f t="shared" si="0"/>
        <v>9.9835965106700869E-2</v>
      </c>
      <c r="F22" s="180">
        <f t="shared" si="0"/>
        <v>0.28354045027955466</v>
      </c>
      <c r="G22" s="180">
        <f t="shared" si="0"/>
        <v>5.1397672737116956E-2</v>
      </c>
      <c r="H22" s="180">
        <f t="shared" si="0"/>
        <v>-1.1204767049681416E-2</v>
      </c>
      <c r="I22" s="180">
        <f t="shared" si="0"/>
        <v>0.1026255660609353</v>
      </c>
      <c r="J22" s="180">
        <f t="shared" si="0"/>
        <v>7.0833022719522021E-2</v>
      </c>
      <c r="K22" s="180">
        <f t="shared" si="0"/>
        <v>0.16212536010477444</v>
      </c>
      <c r="L22" s="5">
        <f>SUM(B22:K22)</f>
        <v>0.99999999999999989</v>
      </c>
    </row>
    <row r="23" spans="1:12">
      <c r="A23" s="150" t="s">
        <v>144</v>
      </c>
      <c r="B23" s="180">
        <v>5.8000000000000003E-2</v>
      </c>
      <c r="C23" s="180">
        <v>0.105</v>
      </c>
      <c r="D23" s="180">
        <v>0.1466049260563845</v>
      </c>
      <c r="E23" s="180">
        <v>0.12924367752404323</v>
      </c>
      <c r="F23" s="180">
        <v>0.14373776951051659</v>
      </c>
      <c r="G23" s="180">
        <v>6.26658399405461E-2</v>
      </c>
      <c r="H23" s="180">
        <v>7.7190714282573236E-2</v>
      </c>
      <c r="I23" s="180">
        <v>0.13700000000000001</v>
      </c>
      <c r="J23" s="180">
        <v>0</v>
      </c>
      <c r="K23" s="180">
        <f>1-SUM(B23:J23)</f>
        <v>0.1405570726859362</v>
      </c>
      <c r="L23" s="5">
        <f>SUM(B23:K23)</f>
        <v>1</v>
      </c>
    </row>
    <row r="24" spans="1:12">
      <c r="A24" s="150" t="s">
        <v>175</v>
      </c>
      <c r="B24" s="180">
        <v>-0.17682939444579701</v>
      </c>
      <c r="C24" s="180">
        <v>0.1993957590733044</v>
      </c>
      <c r="D24" s="180">
        <v>-9.13245606428148E-2</v>
      </c>
      <c r="E24" s="180">
        <v>-2.9407712417342351E-2</v>
      </c>
      <c r="F24" s="180">
        <v>0.13980268076903804</v>
      </c>
      <c r="G24" s="180">
        <v>-1.1268167203429142E-2</v>
      </c>
      <c r="H24" s="180">
        <v>-8.8395481332254652E-2</v>
      </c>
      <c r="I24" s="180">
        <v>-3.4374433939064711E-2</v>
      </c>
      <c r="J24" s="180">
        <v>7.0833022719522021E-2</v>
      </c>
      <c r="K24" s="180">
        <v>2.1568287418838226E-2</v>
      </c>
      <c r="L24" s="5">
        <f>SUM(B24:K24)</f>
        <v>0</v>
      </c>
    </row>
    <row r="26" spans="1:12">
      <c r="B26" s="3" t="s">
        <v>473</v>
      </c>
      <c r="C26" s="3" t="s">
        <v>470</v>
      </c>
      <c r="D26" s="3" t="s">
        <v>13</v>
      </c>
      <c r="E26" s="3" t="s">
        <v>51</v>
      </c>
      <c r="F26" s="3" t="s">
        <v>311</v>
      </c>
    </row>
    <row r="27" spans="1:12">
      <c r="A27" s="3" t="s">
        <v>0</v>
      </c>
      <c r="B27" s="5">
        <f>SUMPRODUCT($B$23:$K$23,B5:K5)</f>
        <v>1.8323528801291098E-2</v>
      </c>
      <c r="C27" s="5">
        <f>B27/$B$38</f>
        <v>0.7929416917907659</v>
      </c>
      <c r="D27" s="5">
        <f>B18</f>
        <v>9.0809310134864318E-2</v>
      </c>
      <c r="E27" s="251">
        <f>D27-0.02-C27*($B$39-0.02)</f>
        <v>-6.1959749607669715E-2</v>
      </c>
      <c r="F27" s="251">
        <f>B24</f>
        <v>-0.17682939444579701</v>
      </c>
      <c r="H27" s="295" t="s">
        <v>474</v>
      </c>
      <c r="I27" s="295"/>
      <c r="J27" s="295"/>
    </row>
    <row r="28" spans="1:12">
      <c r="A28" s="3" t="s">
        <v>1</v>
      </c>
      <c r="B28" s="5">
        <f t="shared" ref="B28:B36" si="1">SUMPRODUCT($B$23:$K$23,B6:K6)</f>
        <v>2.1179873295427063E-2</v>
      </c>
      <c r="C28" s="5">
        <f t="shared" ref="C28:C36" si="2">B28/$B$38</f>
        <v>0.91654859415543621</v>
      </c>
      <c r="D28" s="5">
        <f>C18</f>
        <v>0.24055491051035807</v>
      </c>
      <c r="E28" s="251">
        <f t="shared" ref="E28:E36" si="3">D28-0.02-C28*($B$39-0.02)</f>
        <v>6.7089282061010613E-2</v>
      </c>
      <c r="F28" s="251">
        <f>C24</f>
        <v>0.1993957590733044</v>
      </c>
      <c r="H28" s="3" t="s">
        <v>51</v>
      </c>
      <c r="I28" s="3" t="s">
        <v>463</v>
      </c>
      <c r="J28" s="3" t="s">
        <v>288</v>
      </c>
    </row>
    <row r="29" spans="1:12">
      <c r="A29" s="3" t="s">
        <v>2</v>
      </c>
      <c r="B29" s="5">
        <f t="shared" si="1"/>
        <v>2.4658459316719658E-2</v>
      </c>
      <c r="C29" s="5">
        <f t="shared" si="2"/>
        <v>1.0670826924001533</v>
      </c>
      <c r="D29" s="5">
        <f>D18</f>
        <v>0.13195093951515424</v>
      </c>
      <c r="E29" s="251">
        <f t="shared" si="3"/>
        <v>-6.6719910062123453E-2</v>
      </c>
      <c r="F29" s="251">
        <f>D24</f>
        <v>-9.13245606428148E-2</v>
      </c>
      <c r="H29" cm="1">
        <f t="array" ref="H29">MMULT(B24:K24,E27:E36)</f>
        <v>7.4071444946716691E-2</v>
      </c>
      <c r="I29">
        <f>SQRT(SUMPRODUCT(MMULT(B24:K24,B5:K14),B24:K24))</f>
        <v>5.0000000975265982E-2</v>
      </c>
      <c r="J29">
        <f>H29/I29</f>
        <v>1.4814288700385903</v>
      </c>
    </row>
    <row r="30" spans="1:12">
      <c r="A30" s="3" t="s">
        <v>284</v>
      </c>
      <c r="B30" s="5">
        <f t="shared" si="1"/>
        <v>2.5512792777579892E-2</v>
      </c>
      <c r="C30" s="5">
        <f t="shared" si="2"/>
        <v>1.1040535524978132</v>
      </c>
      <c r="D30" s="5">
        <f>E18</f>
        <v>0.17758941149382437</v>
      </c>
      <c r="E30" s="251">
        <f t="shared" si="3"/>
        <v>-2.7271787744540754E-2</v>
      </c>
      <c r="F30" s="251">
        <f>E24</f>
        <v>-2.9407712417342351E-2</v>
      </c>
    </row>
    <row r="31" spans="1:12">
      <c r="A31" s="3" t="s">
        <v>285</v>
      </c>
      <c r="B31" s="5">
        <f t="shared" si="1"/>
        <v>2.6048067659617508E-2</v>
      </c>
      <c r="C31" s="5">
        <f t="shared" si="2"/>
        <v>1.1272173096069844</v>
      </c>
      <c r="D31" s="5">
        <f>F18</f>
        <v>0.3315832606128023</v>
      </c>
      <c r="E31" s="251">
        <f t="shared" si="3"/>
        <v>0.12284355393394225</v>
      </c>
      <c r="F31" s="251">
        <f>F24</f>
        <v>0.13980268076903804</v>
      </c>
    </row>
    <row r="32" spans="1:12">
      <c r="A32" s="3" t="s">
        <v>124</v>
      </c>
      <c r="B32" s="5">
        <f t="shared" si="1"/>
        <v>2.2301765522002789E-2</v>
      </c>
      <c r="C32" s="5">
        <f t="shared" si="2"/>
        <v>0.96509792817264706</v>
      </c>
      <c r="D32" s="5">
        <f>G18</f>
        <v>0.16487253028733639</v>
      </c>
      <c r="E32" s="251">
        <f t="shared" si="3"/>
        <v>-1.672213147596649E-2</v>
      </c>
      <c r="F32" s="251">
        <f>G24</f>
        <v>-1.1268167203429142E-2</v>
      </c>
    </row>
    <row r="33" spans="1:19">
      <c r="A33" s="3" t="s">
        <v>466</v>
      </c>
      <c r="B33" s="5">
        <f t="shared" si="1"/>
        <v>2.213406909319578E-2</v>
      </c>
      <c r="C33" s="5">
        <f t="shared" si="2"/>
        <v>0.95784094774013728</v>
      </c>
      <c r="D33" s="5">
        <f>H18</f>
        <v>5.4006303304853849E-2</v>
      </c>
      <c r="E33" s="251">
        <f t="shared" si="3"/>
        <v>-0.12637325969574137</v>
      </c>
      <c r="F33" s="251">
        <f>H24</f>
        <v>-8.8395481332254652E-2</v>
      </c>
    </row>
    <row r="34" spans="1:19">
      <c r="A34" s="3" t="s">
        <v>467</v>
      </c>
      <c r="B34" s="5">
        <f t="shared" si="1"/>
        <v>2.3882516259679947E-2</v>
      </c>
      <c r="C34" s="5">
        <f t="shared" si="2"/>
        <v>1.0335041384515813</v>
      </c>
      <c r="D34" s="5">
        <f>I18</f>
        <v>0.14352401885472385</v>
      </c>
      <c r="E34" s="251">
        <f t="shared" si="3"/>
        <v>-4.9524484109403064E-2</v>
      </c>
      <c r="F34" s="251">
        <f>I24</f>
        <v>-3.4374433939064711E-2</v>
      </c>
    </row>
    <row r="35" spans="1:19">
      <c r="A35" s="3" t="s">
        <v>468</v>
      </c>
      <c r="B35" s="5">
        <f t="shared" si="1"/>
        <v>1.3816821444747867E-2</v>
      </c>
      <c r="C35" s="5">
        <f t="shared" si="2"/>
        <v>0.59791614870588361</v>
      </c>
      <c r="D35" s="5">
        <f>J18</f>
        <v>0.27689915176718943</v>
      </c>
      <c r="E35" s="251">
        <f t="shared" si="3"/>
        <v>0.15678489911731786</v>
      </c>
      <c r="F35" s="251">
        <f>J24</f>
        <v>7.0833022719522021E-2</v>
      </c>
    </row>
    <row r="36" spans="1:19">
      <c r="A36" s="3" t="s">
        <v>469</v>
      </c>
      <c r="B36" s="5">
        <f t="shared" si="1"/>
        <v>1.9829121977282604E-2</v>
      </c>
      <c r="C36" s="5">
        <f t="shared" si="2"/>
        <v>0.85809549557310383</v>
      </c>
      <c r="D36" s="5">
        <f>K18</f>
        <v>0.2332999272627205</v>
      </c>
      <c r="E36" s="251">
        <f t="shared" si="3"/>
        <v>6.9621604763054068E-2</v>
      </c>
      <c r="F36" s="251">
        <f>K24</f>
        <v>2.1568287418838226E-2</v>
      </c>
      <c r="S36" s="99"/>
    </row>
    <row r="38" spans="1:19">
      <c r="A38" s="1" t="s">
        <v>471</v>
      </c>
      <c r="B38" s="27">
        <f>SUMPRODUCT(MMULT(B23:K23,B5:K14),B23:K23)</f>
        <v>2.3108292817734875E-2</v>
      </c>
      <c r="S38" s="99"/>
    </row>
    <row r="39" spans="1:19">
      <c r="A39" s="1" t="s">
        <v>472</v>
      </c>
      <c r="B39" s="27">
        <f>SUMPRODUCT(B23:K23,B18:K18)</f>
        <v>0.18743861637882939</v>
      </c>
    </row>
    <row r="41" spans="1:19">
      <c r="B41" s="1" t="s">
        <v>1277</v>
      </c>
      <c r="C41" s="3" t="s">
        <v>1276</v>
      </c>
    </row>
    <row r="42" spans="1:19">
      <c r="B42" s="13" cm="1">
        <f t="array" ref="B42">MMULT(B22:K22,C27:C36)</f>
        <v>0.99999999999959421</v>
      </c>
      <c r="C42" s="13" cm="1">
        <f t="array" ref="C42">MMULT(B24:K24,C27:C36)</f>
        <v>-4.0597733508285216E-13</v>
      </c>
    </row>
  </sheetData>
  <mergeCells count="5">
    <mergeCell ref="B3:K3"/>
    <mergeCell ref="B16:K16"/>
    <mergeCell ref="B20:K20"/>
    <mergeCell ref="H27:J27"/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BDEF-CE22-4BC6-BD1D-35847B56C097}">
  <dimension ref="A1:N41"/>
  <sheetViews>
    <sheetView workbookViewId="0">
      <selection sqref="A1:H1"/>
    </sheetView>
  </sheetViews>
  <sheetFormatPr defaultRowHeight="15"/>
  <cols>
    <col min="1" max="1" width="11.140625" bestFit="1" customWidth="1"/>
    <col min="2" max="2" width="10.85546875" bestFit="1" customWidth="1"/>
    <col min="3" max="3" width="11.85546875" bestFit="1" customWidth="1"/>
    <col min="4" max="4" width="5.85546875" bestFit="1" customWidth="1"/>
    <col min="12" max="12" width="11.140625" bestFit="1" customWidth="1"/>
    <col min="13" max="13" width="2.85546875" customWidth="1"/>
  </cols>
  <sheetData>
    <row r="1" spans="1:12" ht="21">
      <c r="A1" s="308" t="s">
        <v>1278</v>
      </c>
      <c r="B1" s="308"/>
      <c r="C1" s="308"/>
      <c r="D1" s="308"/>
      <c r="E1" s="308"/>
      <c r="F1" s="308"/>
      <c r="G1" s="308"/>
      <c r="H1" s="308"/>
    </row>
    <row r="3" spans="1:12">
      <c r="A3" s="147"/>
      <c r="B3" s="294" t="s">
        <v>135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</row>
    <row r="4" spans="1:12">
      <c r="A4" s="147"/>
      <c r="B4" s="148" t="s">
        <v>0</v>
      </c>
      <c r="C4" s="148" t="s">
        <v>1</v>
      </c>
      <c r="D4" s="148" t="s">
        <v>2</v>
      </c>
      <c r="E4" s="148" t="s">
        <v>284</v>
      </c>
      <c r="F4" s="148" t="s">
        <v>285</v>
      </c>
      <c r="G4" s="148" t="s">
        <v>124</v>
      </c>
      <c r="H4" s="148" t="s">
        <v>466</v>
      </c>
      <c r="I4" s="148" t="s">
        <v>467</v>
      </c>
      <c r="J4" s="148" t="s">
        <v>468</v>
      </c>
      <c r="K4" s="148" t="s">
        <v>469</v>
      </c>
      <c r="L4" s="148" t="s">
        <v>476</v>
      </c>
    </row>
    <row r="5" spans="1:12">
      <c r="A5" s="148" t="s">
        <v>0</v>
      </c>
      <c r="B5" s="147">
        <v>0.17299</v>
      </c>
      <c r="C5" s="147">
        <v>0.12052</v>
      </c>
      <c r="D5" s="147">
        <v>5.5730000000000002E-2</v>
      </c>
      <c r="E5" s="147">
        <v>0.1268</v>
      </c>
      <c r="F5" s="147">
        <v>0.14338000000000001</v>
      </c>
      <c r="G5" s="147">
        <v>8.974E-2</v>
      </c>
      <c r="H5" s="147">
        <v>0.15725</v>
      </c>
      <c r="I5" s="147">
        <v>7.6219999999999996E-2</v>
      </c>
      <c r="J5" s="147">
        <v>0.12442</v>
      </c>
      <c r="K5" s="147">
        <v>5.5669999999999997E-2</v>
      </c>
      <c r="L5" s="147">
        <v>5.3839999999999999E-2</v>
      </c>
    </row>
    <row r="6" spans="1:12">
      <c r="A6" s="148" t="s">
        <v>1</v>
      </c>
      <c r="B6" s="147">
        <v>0.12052</v>
      </c>
      <c r="C6" s="147">
        <v>0.13338</v>
      </c>
      <c r="D6" s="147">
        <v>4.7300000000000002E-2</v>
      </c>
      <c r="E6" s="147">
        <v>0.13214999999999999</v>
      </c>
      <c r="F6" s="147">
        <v>0.1239</v>
      </c>
      <c r="G6" s="147">
        <v>9.8280000000000006E-2</v>
      </c>
      <c r="H6" s="147">
        <v>0.11119</v>
      </c>
      <c r="I6" s="147">
        <v>5.6320000000000002E-2</v>
      </c>
      <c r="J6" s="147">
        <v>0.13220999999999999</v>
      </c>
      <c r="K6" s="147">
        <v>3.95E-2</v>
      </c>
      <c r="L6" s="147">
        <v>4.5039999999999997E-2</v>
      </c>
    </row>
    <row r="7" spans="1:12">
      <c r="A7" s="148" t="s">
        <v>2</v>
      </c>
      <c r="B7" s="147">
        <v>5.5730000000000002E-2</v>
      </c>
      <c r="C7" s="147">
        <v>4.7300000000000002E-2</v>
      </c>
      <c r="D7" s="147">
        <v>3.6360000000000003E-2</v>
      </c>
      <c r="E7" s="147">
        <v>6.4589999999999995E-2</v>
      </c>
      <c r="F7" s="147">
        <v>6.3390000000000002E-2</v>
      </c>
      <c r="G7" s="147">
        <v>3.4290000000000001E-2</v>
      </c>
      <c r="H7" s="147">
        <v>5.8909999999999997E-2</v>
      </c>
      <c r="I7" s="147">
        <v>3.4419999999999999E-2</v>
      </c>
      <c r="J7" s="147">
        <v>6.794E-2</v>
      </c>
      <c r="K7" s="147">
        <v>3.1419999999999997E-2</v>
      </c>
      <c r="L7" s="147">
        <v>3.397E-2</v>
      </c>
    </row>
    <row r="8" spans="1:12">
      <c r="A8" s="148" t="s">
        <v>284</v>
      </c>
      <c r="B8" s="147">
        <v>0.1268</v>
      </c>
      <c r="C8" s="147">
        <v>0.13214999999999999</v>
      </c>
      <c r="D8" s="147">
        <v>6.4589999999999995E-2</v>
      </c>
      <c r="E8" s="147">
        <v>0.20826</v>
      </c>
      <c r="F8" s="147">
        <v>0.13119</v>
      </c>
      <c r="G8" s="147">
        <v>0.11187</v>
      </c>
      <c r="H8" s="147">
        <v>0.12764</v>
      </c>
      <c r="I8" s="147">
        <v>6.812E-2</v>
      </c>
      <c r="J8" s="147">
        <v>0.13278999999999999</v>
      </c>
      <c r="K8" s="147">
        <v>5.833E-2</v>
      </c>
      <c r="L8" s="147">
        <v>7.1230000000000002E-2</v>
      </c>
    </row>
    <row r="9" spans="1:12">
      <c r="A9" s="148" t="s">
        <v>285</v>
      </c>
      <c r="B9" s="147">
        <v>0.14338000000000001</v>
      </c>
      <c r="C9" s="147">
        <v>0.1239</v>
      </c>
      <c r="D9" s="147">
        <v>6.3390000000000002E-2</v>
      </c>
      <c r="E9" s="147">
        <v>0.13119</v>
      </c>
      <c r="F9" s="147">
        <v>0.18618000000000001</v>
      </c>
      <c r="G9" s="147">
        <v>0.10576000000000001</v>
      </c>
      <c r="H9" s="147">
        <v>0.17186999999999999</v>
      </c>
      <c r="I9" s="147">
        <v>9.0260000000000007E-2</v>
      </c>
      <c r="J9" s="147">
        <v>0.15075</v>
      </c>
      <c r="K9" s="147">
        <v>6.1609999999999998E-2</v>
      </c>
      <c r="L9" s="147">
        <v>7.1319999999999995E-2</v>
      </c>
    </row>
    <row r="10" spans="1:12">
      <c r="A10" s="148" t="s">
        <v>124</v>
      </c>
      <c r="B10" s="147">
        <v>8.974E-2</v>
      </c>
      <c r="C10" s="147">
        <v>9.8280000000000006E-2</v>
      </c>
      <c r="D10" s="147">
        <v>3.4290000000000001E-2</v>
      </c>
      <c r="E10" s="147">
        <v>0.11187</v>
      </c>
      <c r="F10" s="147">
        <v>0.10576000000000001</v>
      </c>
      <c r="G10" s="147">
        <v>0.11598</v>
      </c>
      <c r="H10" s="147">
        <v>0.10279000000000001</v>
      </c>
      <c r="I10" s="147">
        <v>5.1659999999999998E-2</v>
      </c>
      <c r="J10" s="147">
        <v>0.11136</v>
      </c>
      <c r="K10" s="147">
        <v>4.4429999999999997E-2</v>
      </c>
      <c r="L10" s="147">
        <v>4.4659999999999998E-2</v>
      </c>
    </row>
    <row r="11" spans="1:12">
      <c r="A11" s="148" t="s">
        <v>466</v>
      </c>
      <c r="B11" s="147">
        <v>0.15725</v>
      </c>
      <c r="C11" s="147">
        <v>0.11119</v>
      </c>
      <c r="D11" s="147">
        <v>5.8909999999999997E-2</v>
      </c>
      <c r="E11" s="147">
        <v>0.12764</v>
      </c>
      <c r="F11" s="147">
        <v>0.17186999999999999</v>
      </c>
      <c r="G11" s="147">
        <v>0.10279000000000001</v>
      </c>
      <c r="H11" s="147">
        <v>0.21934999999999999</v>
      </c>
      <c r="I11" s="147">
        <v>0.11567</v>
      </c>
      <c r="J11" s="147">
        <v>0.14513000000000001</v>
      </c>
      <c r="K11" s="147">
        <v>5.9540000000000003E-2</v>
      </c>
      <c r="L11" s="147">
        <v>6.7250000000000004E-2</v>
      </c>
    </row>
    <row r="12" spans="1:12">
      <c r="A12" s="148" t="s">
        <v>467</v>
      </c>
      <c r="B12" s="147">
        <v>7.6219999999999996E-2</v>
      </c>
      <c r="C12" s="147">
        <v>5.6320000000000002E-2</v>
      </c>
      <c r="D12" s="147">
        <v>3.4419999999999999E-2</v>
      </c>
      <c r="E12" s="147">
        <v>6.812E-2</v>
      </c>
      <c r="F12" s="147">
        <v>9.0260000000000007E-2</v>
      </c>
      <c r="G12" s="147">
        <v>5.1659999999999998E-2</v>
      </c>
      <c r="H12" s="147">
        <v>0.11567</v>
      </c>
      <c r="I12" s="147">
        <v>6.8459999999999993E-2</v>
      </c>
      <c r="J12" s="147">
        <v>8.0100000000000005E-2</v>
      </c>
      <c r="K12" s="147">
        <v>3.4279999999999998E-2</v>
      </c>
      <c r="L12" s="147">
        <v>4.1399999999999999E-2</v>
      </c>
    </row>
    <row r="13" spans="1:12">
      <c r="A13" s="148" t="s">
        <v>468</v>
      </c>
      <c r="B13" s="147">
        <v>0.12442</v>
      </c>
      <c r="C13" s="147">
        <v>0.13220999999999999</v>
      </c>
      <c r="D13" s="147">
        <v>6.794E-2</v>
      </c>
      <c r="E13" s="147">
        <v>0.13278999999999999</v>
      </c>
      <c r="F13" s="147">
        <v>0.15075</v>
      </c>
      <c r="G13" s="147">
        <v>0.11136</v>
      </c>
      <c r="H13" s="147">
        <v>0.14513000000000001</v>
      </c>
      <c r="I13" s="147">
        <v>8.0100000000000005E-2</v>
      </c>
      <c r="J13" s="147">
        <v>0.17866000000000001</v>
      </c>
      <c r="K13" s="147">
        <v>6.3270000000000007E-2</v>
      </c>
      <c r="L13" s="147">
        <v>6.5689999999999998E-2</v>
      </c>
    </row>
    <row r="14" spans="1:12">
      <c r="A14" s="148" t="s">
        <v>469</v>
      </c>
      <c r="B14" s="147">
        <v>5.5669999999999997E-2</v>
      </c>
      <c r="C14" s="147">
        <v>3.95E-2</v>
      </c>
      <c r="D14" s="147">
        <v>3.1419999999999997E-2</v>
      </c>
      <c r="E14" s="147">
        <v>5.833E-2</v>
      </c>
      <c r="F14" s="147">
        <v>6.1609999999999998E-2</v>
      </c>
      <c r="G14" s="147">
        <v>4.4429999999999997E-2</v>
      </c>
      <c r="H14" s="147">
        <v>5.9540000000000003E-2</v>
      </c>
      <c r="I14" s="147">
        <v>3.4279999999999998E-2</v>
      </c>
      <c r="J14" s="147">
        <v>6.3270000000000007E-2</v>
      </c>
      <c r="K14" s="147">
        <v>4.2479999999999997E-2</v>
      </c>
      <c r="L14" s="147">
        <v>3.6080000000000001E-2</v>
      </c>
    </row>
    <row r="15" spans="1:12">
      <c r="A15" s="148" t="s">
        <v>476</v>
      </c>
      <c r="B15" s="147">
        <v>5.3839999999999999E-2</v>
      </c>
      <c r="C15" s="147">
        <v>4.5039999999999997E-2</v>
      </c>
      <c r="D15" s="147">
        <v>3.397E-2</v>
      </c>
      <c r="E15" s="147">
        <v>7.1230000000000002E-2</v>
      </c>
      <c r="F15" s="147">
        <v>7.1319999999999995E-2</v>
      </c>
      <c r="G15" s="147">
        <v>4.4659999999999998E-2</v>
      </c>
      <c r="H15" s="147">
        <v>6.7250000000000004E-2</v>
      </c>
      <c r="I15" s="147">
        <v>4.1399999999999999E-2</v>
      </c>
      <c r="J15" s="147">
        <v>6.5689999999999998E-2</v>
      </c>
      <c r="K15" s="147">
        <v>3.6080000000000001E-2</v>
      </c>
      <c r="L15" s="252">
        <v>4.9789319999999998E-2</v>
      </c>
    </row>
    <row r="16" spans="1:1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</row>
    <row r="17" spans="1:14">
      <c r="A17" s="147"/>
      <c r="B17" s="294" t="s">
        <v>155</v>
      </c>
      <c r="C17" s="294"/>
      <c r="D17" s="294"/>
      <c r="E17" s="294"/>
      <c r="F17" s="294"/>
      <c r="G17" s="294"/>
      <c r="H17" s="294"/>
      <c r="I17" s="294"/>
      <c r="J17" s="294"/>
      <c r="K17" s="294"/>
      <c r="L17" s="294"/>
    </row>
    <row r="18" spans="1:14">
      <c r="A18" s="147"/>
      <c r="B18" s="148" t="s">
        <v>0</v>
      </c>
      <c r="C18" s="148" t="s">
        <v>1</v>
      </c>
      <c r="D18" s="148" t="s">
        <v>2</v>
      </c>
      <c r="E18" s="148" t="s">
        <v>284</v>
      </c>
      <c r="F18" s="148" t="s">
        <v>285</v>
      </c>
      <c r="G18" s="148" t="s">
        <v>124</v>
      </c>
      <c r="H18" s="148" t="s">
        <v>466</v>
      </c>
      <c r="I18" s="148" t="s">
        <v>467</v>
      </c>
      <c r="J18" s="148" t="s">
        <v>468</v>
      </c>
      <c r="K18" s="148" t="s">
        <v>469</v>
      </c>
      <c r="L18" s="148" t="s">
        <v>476</v>
      </c>
    </row>
    <row r="19" spans="1:14">
      <c r="A19" s="150" t="s">
        <v>13</v>
      </c>
      <c r="B19" s="180">
        <v>0.25262367625964999</v>
      </c>
      <c r="C19" s="180">
        <v>0.26112991729483898</v>
      </c>
      <c r="D19" s="180">
        <v>0.15809802545243701</v>
      </c>
      <c r="E19" s="180">
        <v>0.22860377819147301</v>
      </c>
      <c r="F19" s="180">
        <v>0.20246314889980799</v>
      </c>
      <c r="G19" s="180">
        <v>0.24689687795648099</v>
      </c>
      <c r="H19" s="180">
        <v>0.27602771080660399</v>
      </c>
      <c r="I19" s="180">
        <v>0.19486404004028399</v>
      </c>
      <c r="J19" s="180">
        <v>0.26414319284646098</v>
      </c>
      <c r="K19" s="180">
        <v>0.15483749562999999</v>
      </c>
      <c r="L19" s="180">
        <v>0.1</v>
      </c>
    </row>
    <row r="20" spans="1:14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</row>
    <row r="21" spans="1:14">
      <c r="A21" s="147"/>
      <c r="B21" s="294" t="s">
        <v>289</v>
      </c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N21" t="s">
        <v>7</v>
      </c>
    </row>
    <row r="22" spans="1:14">
      <c r="A22" s="150" t="s">
        <v>305</v>
      </c>
      <c r="B22" s="180">
        <f>B23+B24</f>
        <v>-1.6138867116493457E-3</v>
      </c>
      <c r="C22" s="180">
        <f t="shared" ref="C22:L22" si="0">C23+C24</f>
        <v>-4.5886514899770218E-4</v>
      </c>
      <c r="D22" s="180">
        <f>D23+D24</f>
        <v>2.2927097976823522E-2</v>
      </c>
      <c r="E22" s="180">
        <f t="shared" si="0"/>
        <v>4.2188698182130585E-2</v>
      </c>
      <c r="F22" s="180">
        <f t="shared" si="0"/>
        <v>-5.8827698263969538E-2</v>
      </c>
      <c r="G22" s="180">
        <f t="shared" si="0"/>
        <v>4.1926169080082606E-2</v>
      </c>
      <c r="H22" s="180">
        <f t="shared" si="0"/>
        <v>5.6724475000721697E-2</v>
      </c>
      <c r="I22" s="180">
        <f t="shared" si="0"/>
        <v>4.8550086994594142E-2</v>
      </c>
      <c r="J22" s="180">
        <f t="shared" si="0"/>
        <v>6.8633942988324967E-2</v>
      </c>
      <c r="K22" s="180">
        <f t="shared" si="0"/>
        <v>5.3272095671180138E-2</v>
      </c>
      <c r="L22" s="180">
        <f t="shared" si="0"/>
        <v>0.72667788423075885</v>
      </c>
      <c r="N22" s="13">
        <f>SUM(B22:L22)</f>
        <v>1</v>
      </c>
    </row>
    <row r="23" spans="1:14">
      <c r="A23" s="150" t="s">
        <v>144</v>
      </c>
      <c r="B23" s="180">
        <v>0</v>
      </c>
      <c r="C23" s="180">
        <v>0</v>
      </c>
      <c r="D23" s="180">
        <v>0</v>
      </c>
      <c r="E23" s="180">
        <v>0</v>
      </c>
      <c r="F23" s="180">
        <v>0</v>
      </c>
      <c r="G23" s="180">
        <v>0</v>
      </c>
      <c r="H23" s="180">
        <v>0</v>
      </c>
      <c r="I23" s="180">
        <v>0</v>
      </c>
      <c r="J23" s="180">
        <v>0</v>
      </c>
      <c r="K23" s="180">
        <v>0</v>
      </c>
      <c r="L23" s="180">
        <v>1</v>
      </c>
      <c r="N23" s="13">
        <f>SUM(B23:L23)</f>
        <v>1</v>
      </c>
    </row>
    <row r="24" spans="1:14">
      <c r="A24" s="150" t="s">
        <v>175</v>
      </c>
      <c r="B24" s="180">
        <v>-1.6138867116493457E-3</v>
      </c>
      <c r="C24" s="180">
        <v>-4.5886514899770218E-4</v>
      </c>
      <c r="D24" s="180">
        <v>2.2927097976823522E-2</v>
      </c>
      <c r="E24" s="180">
        <v>4.2188698182130585E-2</v>
      </c>
      <c r="F24" s="180">
        <v>-5.8827698263969538E-2</v>
      </c>
      <c r="G24" s="180">
        <v>4.1926169080082606E-2</v>
      </c>
      <c r="H24" s="180">
        <v>5.6724475000721697E-2</v>
      </c>
      <c r="I24" s="180">
        <v>4.8550086994594142E-2</v>
      </c>
      <c r="J24" s="180">
        <v>6.8633942988324967E-2</v>
      </c>
      <c r="K24" s="180">
        <v>5.3272095671180138E-2</v>
      </c>
      <c r="L24" s="180">
        <f>0-SUM(B24:K24)</f>
        <v>-0.27332211576924109</v>
      </c>
      <c r="N24" s="13">
        <f>SUM(B24:L24)</f>
        <v>0</v>
      </c>
    </row>
    <row r="26" spans="1:14">
      <c r="B26" s="3" t="s">
        <v>473</v>
      </c>
      <c r="C26" s="3" t="s">
        <v>470</v>
      </c>
      <c r="D26" s="3" t="s">
        <v>13</v>
      </c>
      <c r="E26" s="3" t="s">
        <v>51</v>
      </c>
    </row>
    <row r="27" spans="1:14">
      <c r="A27" s="3" t="s">
        <v>0</v>
      </c>
      <c r="B27" s="5">
        <f>L5</f>
        <v>5.3839999999999999E-2</v>
      </c>
      <c r="C27" s="5">
        <f>B27/$L$15</f>
        <v>1.0813564033411183</v>
      </c>
      <c r="D27">
        <f t="array" ref="D27:D37">TRANSPOSE(B19:L19)</f>
        <v>0.25262367625964999</v>
      </c>
      <c r="E27">
        <f>D27-0.02-C27*($L$19-0.02)</f>
        <v>0.14611516399236052</v>
      </c>
      <c r="G27" s="295" t="s">
        <v>474</v>
      </c>
      <c r="H27" s="295"/>
      <c r="I27" s="295"/>
    </row>
    <row r="28" spans="1:14">
      <c r="A28" s="3" t="s">
        <v>1</v>
      </c>
      <c r="B28" s="5">
        <f t="shared" ref="B28:B36" si="1">L6</f>
        <v>4.5039999999999997E-2</v>
      </c>
      <c r="C28" s="5">
        <f t="shared" ref="C28:C37" si="2">B28/$L$15</f>
        <v>0.90461167174004387</v>
      </c>
      <c r="D28">
        <v>0.26112991729483898</v>
      </c>
      <c r="E28">
        <f t="shared" ref="E28:E37" si="3">D28-0.02-C28*($L$19-0.02)</f>
        <v>0.16876098355563546</v>
      </c>
      <c r="G28" s="3" t="s">
        <v>51</v>
      </c>
      <c r="H28" s="3" t="s">
        <v>463</v>
      </c>
      <c r="I28" s="3" t="s">
        <v>288</v>
      </c>
    </row>
    <row r="29" spans="1:14">
      <c r="A29" s="3" t="s">
        <v>2</v>
      </c>
      <c r="B29" s="5">
        <f t="shared" si="1"/>
        <v>3.397E-2</v>
      </c>
      <c r="C29" s="5">
        <f t="shared" si="2"/>
        <v>0.68227483323732885</v>
      </c>
      <c r="D29">
        <v>0.15809802545243701</v>
      </c>
      <c r="E29">
        <f t="shared" si="3"/>
        <v>8.3516038793450709E-2</v>
      </c>
      <c r="G29" cm="1">
        <f t="array" ref="G29">MMULT(B24:L24,E27:E37)</f>
        <v>3.5346382744065055E-2</v>
      </c>
      <c r="H29">
        <f>SQRT(SUMPRODUCT(MMULT(B24:L24,B5:L15),B24:L24))</f>
        <v>5.0000999999999997E-2</v>
      </c>
      <c r="I29">
        <f>G29/H29</f>
        <v>0.70691351661096891</v>
      </c>
    </row>
    <row r="30" spans="1:14">
      <c r="A30" s="3" t="s">
        <v>284</v>
      </c>
      <c r="B30" s="5">
        <f t="shared" si="1"/>
        <v>7.1230000000000002E-2</v>
      </c>
      <c r="C30" s="5">
        <f t="shared" si="2"/>
        <v>1.4306280945391503</v>
      </c>
      <c r="D30">
        <v>0.22860377819147301</v>
      </c>
      <c r="E30">
        <f t="shared" si="3"/>
        <v>9.415353062834099E-2</v>
      </c>
    </row>
    <row r="31" spans="1:14">
      <c r="A31" s="3" t="s">
        <v>285</v>
      </c>
      <c r="B31" s="5">
        <f t="shared" si="1"/>
        <v>7.1319999999999995E-2</v>
      </c>
      <c r="C31" s="5">
        <f t="shared" si="2"/>
        <v>1.4324357111123429</v>
      </c>
      <c r="D31">
        <v>0.20246314889980799</v>
      </c>
      <c r="E31">
        <f t="shared" si="3"/>
        <v>6.7868292010820563E-2</v>
      </c>
    </row>
    <row r="32" spans="1:14">
      <c r="A32" s="3" t="s">
        <v>124</v>
      </c>
      <c r="B32" s="5">
        <f t="shared" si="1"/>
        <v>4.4659999999999998E-2</v>
      </c>
      <c r="C32" s="5">
        <f t="shared" si="2"/>
        <v>0.89697951287545197</v>
      </c>
      <c r="D32">
        <v>0.24689687795648099</v>
      </c>
      <c r="E32">
        <f t="shared" si="3"/>
        <v>0.15513851692644484</v>
      </c>
    </row>
    <row r="33" spans="1:6">
      <c r="A33" s="3" t="s">
        <v>466</v>
      </c>
      <c r="B33" s="5">
        <f t="shared" si="1"/>
        <v>6.7250000000000004E-2</v>
      </c>
      <c r="C33" s="5">
        <f t="shared" si="2"/>
        <v>1.3506912727468463</v>
      </c>
      <c r="D33">
        <v>0.27602771080660399</v>
      </c>
      <c r="E33">
        <f t="shared" si="3"/>
        <v>0.14797240898685626</v>
      </c>
    </row>
    <row r="34" spans="1:6">
      <c r="A34" s="3" t="s">
        <v>467</v>
      </c>
      <c r="B34" s="5">
        <f t="shared" si="1"/>
        <v>4.1399999999999999E-2</v>
      </c>
      <c r="C34" s="5">
        <f t="shared" si="2"/>
        <v>0.83150362366869046</v>
      </c>
      <c r="D34">
        <v>0.19486404004028399</v>
      </c>
      <c r="E34">
        <f t="shared" si="3"/>
        <v>0.10834375014678876</v>
      </c>
    </row>
    <row r="35" spans="1:6">
      <c r="A35" s="3" t="s">
        <v>468</v>
      </c>
      <c r="B35" s="5">
        <f t="shared" si="1"/>
        <v>6.5689999999999998E-2</v>
      </c>
      <c r="C35" s="5">
        <f t="shared" si="2"/>
        <v>1.3193592521448374</v>
      </c>
      <c r="D35">
        <v>0.26414319284646098</v>
      </c>
      <c r="E35">
        <f t="shared" si="3"/>
        <v>0.138594452674874</v>
      </c>
    </row>
    <row r="36" spans="1:6">
      <c r="A36" s="3" t="s">
        <v>469</v>
      </c>
      <c r="B36" s="5">
        <f t="shared" si="1"/>
        <v>3.6080000000000001E-2</v>
      </c>
      <c r="C36" s="5">
        <f t="shared" si="2"/>
        <v>0.72465339956440467</v>
      </c>
      <c r="D36">
        <v>0.15483749562999999</v>
      </c>
      <c r="E36">
        <f t="shared" si="3"/>
        <v>7.6865223664847632E-2</v>
      </c>
    </row>
    <row r="37" spans="1:6">
      <c r="A37" s="3" t="s">
        <v>476</v>
      </c>
      <c r="B37" s="5">
        <f>L15</f>
        <v>4.9789319999999998E-2</v>
      </c>
      <c r="C37" s="5">
        <f t="shared" si="2"/>
        <v>1</v>
      </c>
      <c r="D37" s="13">
        <v>0.1</v>
      </c>
      <c r="E37">
        <f t="shared" si="3"/>
        <v>0</v>
      </c>
    </row>
    <row r="39" spans="1:6">
      <c r="A39" s="1"/>
    </row>
    <row r="40" spans="1:6">
      <c r="B40" s="1" t="s">
        <v>1277</v>
      </c>
      <c r="C40" s="3" t="s">
        <v>1276</v>
      </c>
      <c r="F40" s="3" t="s">
        <v>561</v>
      </c>
    </row>
    <row r="41" spans="1:6">
      <c r="B41" s="13" cm="1">
        <f t="array" ref="B41">MMULT(B22:L22,C27:C37)</f>
        <v>1.0000000000167137</v>
      </c>
      <c r="C41" s="13" cm="1">
        <f t="array" ref="C41">MMULT(B24:L24,C27:C37)</f>
        <v>1.6713797013068188E-11</v>
      </c>
      <c r="F41" s="36">
        <f>C41+1</f>
        <v>1.0000000000167137</v>
      </c>
    </row>
  </sheetData>
  <mergeCells count="5">
    <mergeCell ref="B3:L3"/>
    <mergeCell ref="B17:L17"/>
    <mergeCell ref="B21:L21"/>
    <mergeCell ref="G27:I27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F4B-F1A4-43D3-96C6-E1E9F97ED5F0}">
  <dimension ref="A1:X44"/>
  <sheetViews>
    <sheetView workbookViewId="0">
      <selection sqref="A1:H1"/>
    </sheetView>
  </sheetViews>
  <sheetFormatPr defaultRowHeight="15"/>
  <cols>
    <col min="1" max="1" width="8.42578125" customWidth="1"/>
    <col min="2" max="2" width="10.140625" customWidth="1"/>
    <col min="3" max="3" width="10.42578125" bestFit="1" customWidth="1"/>
    <col min="5" max="5" width="10" customWidth="1"/>
    <col min="6" max="6" width="7" customWidth="1"/>
    <col min="7" max="7" width="12.5703125" customWidth="1"/>
    <col min="8" max="8" width="11.85546875" customWidth="1"/>
    <col min="9" max="9" width="3.85546875" customWidth="1"/>
    <col min="10" max="10" width="13.42578125" bestFit="1" customWidth="1"/>
    <col min="11" max="11" width="9.42578125" customWidth="1"/>
    <col min="12" max="12" width="10.42578125" bestFit="1" customWidth="1"/>
    <col min="13" max="13" width="2.85546875" customWidth="1"/>
    <col min="14" max="14" width="11.85546875" customWidth="1"/>
    <col min="15" max="15" width="9" customWidth="1"/>
    <col min="16" max="16" width="2.85546875" customWidth="1"/>
    <col min="17" max="17" width="11.85546875" customWidth="1"/>
    <col min="18" max="18" width="12.85546875" customWidth="1"/>
    <col min="19" max="19" width="2.85546875" customWidth="1"/>
    <col min="20" max="20" width="11.85546875" customWidth="1"/>
    <col min="21" max="21" width="12.85546875" customWidth="1"/>
    <col min="24" max="24" width="8.140625" customWidth="1"/>
    <col min="26" max="26" width="12" customWidth="1"/>
  </cols>
  <sheetData>
    <row r="1" spans="1:21" ht="21">
      <c r="A1" s="309" t="s">
        <v>1282</v>
      </c>
      <c r="B1" s="309"/>
      <c r="C1" s="309"/>
      <c r="D1" s="309"/>
      <c r="E1" s="309"/>
      <c r="F1" s="309"/>
      <c r="G1" s="309"/>
      <c r="H1" s="309"/>
    </row>
    <row r="3" spans="1:21">
      <c r="A3" s="146"/>
      <c r="B3" s="146"/>
      <c r="C3" s="148" t="s">
        <v>320</v>
      </c>
      <c r="D3" s="310" t="s">
        <v>477</v>
      </c>
      <c r="E3" s="310"/>
      <c r="F3" s="3"/>
      <c r="G3" s="295" t="s">
        <v>485</v>
      </c>
      <c r="H3" s="295"/>
      <c r="I3" s="3"/>
      <c r="J3" s="311" t="s">
        <v>485</v>
      </c>
      <c r="K3" s="311"/>
      <c r="M3" s="3"/>
      <c r="N3" s="3"/>
      <c r="O3" s="3"/>
    </row>
    <row r="4" spans="1:21">
      <c r="A4" s="149" t="s">
        <v>312</v>
      </c>
      <c r="B4" s="149" t="s">
        <v>489</v>
      </c>
      <c r="C4" s="148" t="s">
        <v>165</v>
      </c>
      <c r="D4" s="148" t="s">
        <v>17</v>
      </c>
      <c r="E4" s="150" t="s">
        <v>144</v>
      </c>
      <c r="F4" s="1"/>
      <c r="G4" s="1" t="s">
        <v>17</v>
      </c>
      <c r="H4" s="1" t="s">
        <v>144</v>
      </c>
      <c r="I4" s="1"/>
      <c r="J4" s="295" t="s">
        <v>478</v>
      </c>
      <c r="K4" s="295"/>
      <c r="M4" s="1"/>
      <c r="N4" s="1"/>
      <c r="O4" s="1"/>
    </row>
    <row r="5" spans="1:21">
      <c r="A5" s="151" t="s">
        <v>0</v>
      </c>
      <c r="B5" s="151">
        <v>1</v>
      </c>
      <c r="C5" s="155">
        <v>1.3631031661925469E-2</v>
      </c>
      <c r="D5" s="152">
        <v>0.23</v>
      </c>
      <c r="E5" s="152">
        <v>0.25</v>
      </c>
      <c r="F5" s="2"/>
      <c r="G5" s="13">
        <f>D5/$G$13</f>
        <v>0.43396226415094341</v>
      </c>
      <c r="H5" s="13">
        <f>E5/$H$13</f>
        <v>0.41666666666666669</v>
      </c>
      <c r="J5" s="4">
        <f>SUM(G5:G7)</f>
        <v>1</v>
      </c>
      <c r="K5" s="4">
        <f>SUM(H5:H7)</f>
        <v>1</v>
      </c>
    </row>
    <row r="6" spans="1:21">
      <c r="A6" s="151" t="s">
        <v>1</v>
      </c>
      <c r="B6" s="151">
        <v>1</v>
      </c>
      <c r="C6" s="155">
        <v>-1.30175915692063E-2</v>
      </c>
      <c r="D6" s="152">
        <v>0.21</v>
      </c>
      <c r="E6" s="152">
        <v>0.18</v>
      </c>
      <c r="F6" s="2"/>
      <c r="G6" s="13">
        <f>D6/$G$13</f>
        <v>0.39622641509433959</v>
      </c>
      <c r="H6" s="13">
        <f>E6/$H$13</f>
        <v>0.3</v>
      </c>
      <c r="J6" s="4"/>
      <c r="K6" s="4"/>
    </row>
    <row r="7" spans="1:21">
      <c r="A7" s="151" t="s">
        <v>2</v>
      </c>
      <c r="B7" s="151">
        <v>1</v>
      </c>
      <c r="C7" s="155">
        <v>1.1811999923555E-3</v>
      </c>
      <c r="D7" s="152">
        <v>0.09</v>
      </c>
      <c r="E7" s="152">
        <v>0.17</v>
      </c>
      <c r="F7" s="2"/>
      <c r="G7" s="13">
        <f>D7/$G$13</f>
        <v>0.16981132075471697</v>
      </c>
      <c r="H7" s="13">
        <f>E7/$H$13</f>
        <v>0.28333333333333338</v>
      </c>
    </row>
    <row r="8" spans="1:21">
      <c r="A8" s="151" t="s">
        <v>284</v>
      </c>
      <c r="B8" s="151">
        <v>2</v>
      </c>
      <c r="C8" s="155">
        <v>4.6045465053296292E-2</v>
      </c>
      <c r="D8" s="152">
        <v>0.35</v>
      </c>
      <c r="E8" s="152">
        <v>0.19</v>
      </c>
      <c r="F8" s="2"/>
      <c r="G8" s="13">
        <f>D8/$G$14</f>
        <v>0.74468085106382975</v>
      </c>
      <c r="H8" s="13">
        <f>E8/$H$14</f>
        <v>0.47500000000000003</v>
      </c>
      <c r="J8" s="4">
        <f>SUM(G8:G9)</f>
        <v>1</v>
      </c>
      <c r="K8" s="4">
        <f>SUM(H8:H9)</f>
        <v>1</v>
      </c>
    </row>
    <row r="9" spans="1:21">
      <c r="A9" s="151" t="s">
        <v>285</v>
      </c>
      <c r="B9" s="151">
        <v>2</v>
      </c>
      <c r="C9" s="155">
        <v>9.7110800474578002E-3</v>
      </c>
      <c r="D9" s="152">
        <f>1-SUM(D5:D8)</f>
        <v>0.12</v>
      </c>
      <c r="E9" s="152">
        <f>1-SUM(E5:E8)</f>
        <v>0.20999999999999996</v>
      </c>
      <c r="F9" s="2"/>
      <c r="G9" s="13">
        <f>D9/$G$14</f>
        <v>0.25531914893617019</v>
      </c>
      <c r="H9" s="13">
        <f>E9/$H$14</f>
        <v>0.52499999999999991</v>
      </c>
      <c r="J9" s="1"/>
    </row>
    <row r="10" spans="1:21">
      <c r="A10" s="91"/>
      <c r="B10" s="91"/>
    </row>
    <row r="11" spans="1:21">
      <c r="B11" s="1" t="s">
        <v>48</v>
      </c>
      <c r="G11" s="295" t="s">
        <v>487</v>
      </c>
      <c r="H11" s="295"/>
      <c r="I11" s="3"/>
      <c r="J11" s="295" t="s">
        <v>486</v>
      </c>
      <c r="K11" s="295"/>
    </row>
    <row r="12" spans="1:21">
      <c r="B12" s="3" t="s">
        <v>17</v>
      </c>
      <c r="C12" s="3" t="s">
        <v>144</v>
      </c>
      <c r="D12" s="1" t="s">
        <v>480</v>
      </c>
      <c r="G12" s="1" t="s">
        <v>17</v>
      </c>
      <c r="H12" s="1" t="s">
        <v>144</v>
      </c>
      <c r="I12" s="1"/>
      <c r="J12" s="3" t="s">
        <v>17</v>
      </c>
      <c r="K12" s="141" t="s">
        <v>144</v>
      </c>
    </row>
    <row r="13" spans="1:21">
      <c r="A13" s="1" t="s">
        <v>320</v>
      </c>
      <c r="B13" s="118">
        <f>SUMPRODUCT(C5:C9,D5:D9)</f>
        <v>1.7788993426370168E-2</v>
      </c>
      <c r="C13" s="118">
        <f>SUMPRODUCT(E5:E9,C5:C9)</f>
        <v>1.2053360601817102E-2</v>
      </c>
      <c r="D13" s="254">
        <f>B13-C13</f>
        <v>5.7356328245530656E-3</v>
      </c>
      <c r="F13" s="1">
        <v>1</v>
      </c>
      <c r="G13" s="2">
        <f>SUM(D5:D7)</f>
        <v>0.53</v>
      </c>
      <c r="H13" s="2">
        <f>SUM(E5:E7)</f>
        <v>0.6</v>
      </c>
      <c r="I13" s="1">
        <v>1</v>
      </c>
      <c r="J13" s="118">
        <f>SUMPRODUCT(G5:G7,C5:C7)</f>
        <v>9.580208528708117E-4</v>
      </c>
      <c r="K13" s="118">
        <f>SUMPRODUCT(H5:H7,C5:C7)</f>
        <v>2.1089923862077807E-3</v>
      </c>
    </row>
    <row r="14" spans="1:21">
      <c r="A14" s="145" t="s">
        <v>491</v>
      </c>
      <c r="B14" s="118">
        <f>B13*12</f>
        <v>0.21346792111644203</v>
      </c>
      <c r="C14" s="118">
        <f>C13*12</f>
        <v>0.14464032722180523</v>
      </c>
      <c r="D14" s="154">
        <f>D13*12</f>
        <v>6.8827593894636788E-2</v>
      </c>
      <c r="F14" s="1">
        <v>2</v>
      </c>
      <c r="G14" s="2">
        <f>SUM(D8:D9)</f>
        <v>0.47</v>
      </c>
      <c r="H14" s="2">
        <f>SUM(E8:E9)</f>
        <v>0.39999999999999997</v>
      </c>
      <c r="I14" s="1">
        <v>2</v>
      </c>
      <c r="J14" s="118">
        <f>SUMPRODUCT(G8:G9,C8:C9)</f>
        <v>3.6768600796486459E-2</v>
      </c>
      <c r="K14" s="118">
        <f>SUMPRODUCT(H8:H9,C8:C9)</f>
        <v>2.6969912925231085E-2</v>
      </c>
    </row>
    <row r="15" spans="1:21">
      <c r="A15" s="145"/>
      <c r="B15" s="91"/>
      <c r="T15" s="295"/>
      <c r="U15" s="295"/>
    </row>
    <row r="16" spans="1:21">
      <c r="A16" s="145" t="s">
        <v>479</v>
      </c>
      <c r="B16" s="91"/>
      <c r="I16" s="4"/>
      <c r="J16" s="295" t="s">
        <v>497</v>
      </c>
      <c r="K16" s="295"/>
      <c r="P16" s="4"/>
    </row>
    <row r="17" spans="1:24">
      <c r="B17" s="1">
        <v>1</v>
      </c>
      <c r="C17" s="1">
        <v>2</v>
      </c>
      <c r="D17" s="1" t="s">
        <v>7</v>
      </c>
      <c r="I17" s="100">
        <v>1</v>
      </c>
      <c r="J17" s="118">
        <f>J13*12</f>
        <v>1.149625023444974E-2</v>
      </c>
      <c r="K17" s="118">
        <f>K13*12</f>
        <v>2.5307908634493368E-2</v>
      </c>
      <c r="P17" s="4"/>
    </row>
    <row r="18" spans="1:24">
      <c r="A18" s="1" t="s">
        <v>320</v>
      </c>
      <c r="B18" s="118">
        <f>(G13-H13)*(K13-$C$13)</f>
        <v>6.9610577509265198E-4</v>
      </c>
      <c r="C18" s="118">
        <f>(G14-H14)*(K14-$C$13)</f>
        <v>1.044158662638979E-3</v>
      </c>
      <c r="D18" s="118">
        <f>SUM(B18:C18)</f>
        <v>1.7402644377316309E-3</v>
      </c>
      <c r="I18" s="100">
        <v>2</v>
      </c>
      <c r="J18" s="118">
        <f>J14*12</f>
        <v>0.4412232095578375</v>
      </c>
      <c r="K18" s="118">
        <f>K14*12</f>
        <v>0.32363895510277302</v>
      </c>
    </row>
    <row r="19" spans="1:24">
      <c r="A19" s="1" t="s">
        <v>491</v>
      </c>
      <c r="B19" s="154">
        <f>B18*12</f>
        <v>8.3532693011118229E-3</v>
      </c>
      <c r="C19" s="154">
        <f>C18*12</f>
        <v>1.2529903951667747E-2</v>
      </c>
      <c r="D19" s="118">
        <f>D18*12</f>
        <v>2.0883173252779573E-2</v>
      </c>
    </row>
    <row r="20" spans="1:24">
      <c r="A20" s="91"/>
      <c r="B20" s="91"/>
      <c r="U20" s="91"/>
      <c r="V20" s="118"/>
      <c r="W20" s="118"/>
      <c r="X20" s="118"/>
    </row>
    <row r="21" spans="1:24">
      <c r="A21" s="145" t="s">
        <v>481</v>
      </c>
      <c r="B21" s="91"/>
      <c r="V21" s="118"/>
      <c r="W21" s="118"/>
      <c r="X21" s="118"/>
    </row>
    <row r="22" spans="1:24">
      <c r="A22" s="145"/>
      <c r="B22" s="1">
        <v>1</v>
      </c>
      <c r="C22" s="1">
        <v>2</v>
      </c>
      <c r="D22" s="1" t="s">
        <v>7</v>
      </c>
      <c r="V22" s="118"/>
      <c r="W22" s="118"/>
      <c r="X22" s="118"/>
    </row>
    <row r="23" spans="1:24">
      <c r="A23" s="1" t="s">
        <v>320</v>
      </c>
      <c r="B23" s="118">
        <f>H13*(J13-K13)</f>
        <v>-6.9058292000218134E-4</v>
      </c>
      <c r="C23" s="118">
        <f>H14*(J14-K14)</f>
        <v>3.9194751485021493E-3</v>
      </c>
      <c r="D23" s="118">
        <f>SUM(B23:C23)</f>
        <v>3.2288922284999678E-3</v>
      </c>
    </row>
    <row r="24" spans="1:24">
      <c r="A24" s="1" t="s">
        <v>491</v>
      </c>
      <c r="B24" s="154">
        <f>B23*12</f>
        <v>-8.2869950400261752E-3</v>
      </c>
      <c r="C24" s="154">
        <f>C23*12</f>
        <v>4.7033701782025789E-2</v>
      </c>
      <c r="D24" s="118">
        <f>D23*12</f>
        <v>3.8746706741999613E-2</v>
      </c>
      <c r="G24">
        <f>4.7+1.25</f>
        <v>5.95</v>
      </c>
    </row>
    <row r="25" spans="1:24">
      <c r="A25" s="91"/>
      <c r="B25" s="91"/>
      <c r="G25">
        <f>G24/6.88</f>
        <v>0.86482558139534893</v>
      </c>
    </row>
    <row r="26" spans="1:24">
      <c r="A26" s="145" t="s">
        <v>482</v>
      </c>
      <c r="B26" s="91"/>
      <c r="G26">
        <v>86.2</v>
      </c>
    </row>
    <row r="27" spans="1:24">
      <c r="A27" s="145"/>
      <c r="B27" s="1">
        <v>1</v>
      </c>
      <c r="C27" s="1">
        <v>2</v>
      </c>
      <c r="D27" s="1" t="s">
        <v>7</v>
      </c>
    </row>
    <row r="28" spans="1:24">
      <c r="A28" s="1" t="s">
        <v>320</v>
      </c>
      <c r="B28" s="118">
        <f>(G13-H13)*(J13-K13)</f>
        <v>8.0568007333587776E-5</v>
      </c>
      <c r="C28" s="118">
        <f>(G14-H14)*(J14-K14)</f>
        <v>6.8590815098787622E-4</v>
      </c>
      <c r="D28" s="117">
        <f>SUM(B28:C28)</f>
        <v>7.66476158321464E-4</v>
      </c>
    </row>
    <row r="29" spans="1:24">
      <c r="A29" s="1" t="s">
        <v>491</v>
      </c>
      <c r="B29" s="154">
        <f>B28*12</f>
        <v>9.6681608800305331E-4</v>
      </c>
      <c r="C29" s="154">
        <f>C28*12</f>
        <v>8.2308978118545151E-3</v>
      </c>
      <c r="D29" s="118">
        <f>D28*12</f>
        <v>9.1977138998575684E-3</v>
      </c>
    </row>
    <row r="30" spans="1:24">
      <c r="A30" s="91"/>
      <c r="B30" s="118"/>
    </row>
    <row r="31" spans="1:24">
      <c r="B31" s="91"/>
    </row>
    <row r="32" spans="1:24">
      <c r="A32" s="1" t="s">
        <v>483</v>
      </c>
      <c r="B32" s="91"/>
    </row>
    <row r="33" spans="1:7">
      <c r="A33" s="1"/>
      <c r="B33" s="91"/>
    </row>
    <row r="34" spans="1:7">
      <c r="A34" s="1" t="s">
        <v>320</v>
      </c>
      <c r="B34" s="255">
        <f>D18+D23+D28</f>
        <v>5.7356328245530622E-3</v>
      </c>
    </row>
    <row r="35" spans="1:7">
      <c r="A35" s="1" t="s">
        <v>491</v>
      </c>
      <c r="B35" s="154">
        <f>B34*12</f>
        <v>6.8827593894636746E-2</v>
      </c>
    </row>
    <row r="36" spans="1:7">
      <c r="B36" s="91"/>
    </row>
    <row r="37" spans="1:7">
      <c r="A37" s="1" t="s">
        <v>484</v>
      </c>
      <c r="B37" s="91"/>
    </row>
    <row r="38" spans="1:7">
      <c r="A38" s="1"/>
      <c r="B38" s="145" t="s">
        <v>0</v>
      </c>
      <c r="C38" s="1" t="s">
        <v>1</v>
      </c>
      <c r="D38" s="1" t="s">
        <v>2</v>
      </c>
      <c r="E38" s="1" t="s">
        <v>284</v>
      </c>
      <c r="F38" s="1" t="s">
        <v>285</v>
      </c>
      <c r="G38" s="1" t="s">
        <v>7</v>
      </c>
    </row>
    <row r="39" spans="1:7">
      <c r="A39" s="1" t="s">
        <v>320</v>
      </c>
      <c r="B39" s="118">
        <f>(D5-E5)*(C5-$C$13)</f>
        <v>-3.1553421202167329E-5</v>
      </c>
      <c r="C39" s="118">
        <f>(D6-E6)*(C6-$C$13)</f>
        <v>-7.5212856513070213E-4</v>
      </c>
      <c r="D39" s="118">
        <f>(D7-E7)*(C7-$C$13)</f>
        <v>8.6977284875692834E-4</v>
      </c>
      <c r="E39" s="118">
        <f>(D8-E8)*(C8-$C$13)</f>
        <v>5.4387367122366694E-3</v>
      </c>
      <c r="F39" s="118">
        <f>(D9-E9)*(C9-$C$13)</f>
        <v>2.108052498923371E-4</v>
      </c>
      <c r="G39" s="153">
        <f>SUM(B39:F39)</f>
        <v>5.7356328245530656E-3</v>
      </c>
    </row>
    <row r="40" spans="1:7">
      <c r="A40" s="1" t="s">
        <v>491</v>
      </c>
      <c r="B40" s="118">
        <f>B39*12</f>
        <v>-3.7864105442600795E-4</v>
      </c>
      <c r="C40" s="118">
        <f>C39*12</f>
        <v>-9.0255427815684255E-3</v>
      </c>
      <c r="D40" s="118">
        <f>D39*12</f>
        <v>1.043727418508314E-2</v>
      </c>
      <c r="E40" s="118">
        <f>E39*12</f>
        <v>6.5264840546840036E-2</v>
      </c>
      <c r="F40" s="118">
        <f>F39*12</f>
        <v>2.5296629987080453E-3</v>
      </c>
      <c r="G40" s="153">
        <f>SUM(B40:F40)</f>
        <v>6.8827593894636788E-2</v>
      </c>
    </row>
    <row r="42" spans="1:7">
      <c r="B42" s="154"/>
    </row>
    <row r="43" spans="1:7">
      <c r="A43" s="1"/>
    </row>
    <row r="44" spans="1:7">
      <c r="A44" s="1"/>
      <c r="B44" s="91"/>
    </row>
  </sheetData>
  <mergeCells count="9">
    <mergeCell ref="A1:H1"/>
    <mergeCell ref="T15:U15"/>
    <mergeCell ref="J16:K16"/>
    <mergeCell ref="J11:K11"/>
    <mergeCell ref="D3:E3"/>
    <mergeCell ref="G11:H11"/>
    <mergeCell ref="G3:H3"/>
    <mergeCell ref="J4:K4"/>
    <mergeCell ref="J3:K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7DC7-E2BE-489E-9E49-E879DAA22D85}">
  <dimension ref="A1:BC78"/>
  <sheetViews>
    <sheetView workbookViewId="0">
      <pane ySplit="4" topLeftCell="A5" activePane="bottomLeft" state="frozen"/>
      <selection pane="bottomLeft" sqref="A1:XFD1"/>
    </sheetView>
  </sheetViews>
  <sheetFormatPr defaultRowHeight="15"/>
  <cols>
    <col min="7" max="7" width="7.140625" customWidth="1"/>
    <col min="13" max="13" width="3.140625" customWidth="1"/>
    <col min="19" max="19" width="8.5703125" bestFit="1" customWidth="1"/>
    <col min="20" max="20" width="14.28515625" customWidth="1"/>
    <col min="21" max="21" width="12.85546875" customWidth="1"/>
    <col min="22" max="22" width="12.85546875" bestFit="1" customWidth="1"/>
    <col min="23" max="23" width="2.140625" customWidth="1"/>
    <col min="24" max="24" width="11.85546875" customWidth="1"/>
    <col min="25" max="25" width="9.85546875" customWidth="1"/>
    <col min="26" max="26" width="8.42578125" bestFit="1" customWidth="1"/>
    <col min="27" max="31" width="9.5703125" bestFit="1" customWidth="1"/>
    <col min="32" max="32" width="1.42578125" customWidth="1"/>
    <col min="38" max="38" width="1.42578125" customWidth="1"/>
    <col min="41" max="41" width="1.42578125" customWidth="1"/>
    <col min="44" max="44" width="1.85546875" customWidth="1"/>
    <col min="47" max="47" width="1.5703125" customWidth="1"/>
    <col min="50" max="50" width="1.42578125" customWidth="1"/>
    <col min="51" max="51" width="13.140625" customWidth="1"/>
    <col min="52" max="52" width="12.85546875" bestFit="1" customWidth="1"/>
    <col min="53" max="53" width="1.85546875" customWidth="1"/>
    <col min="54" max="54" width="19.5703125" bestFit="1" customWidth="1"/>
    <col min="55" max="55" width="20.85546875" bestFit="1" customWidth="1"/>
  </cols>
  <sheetData>
    <row r="1" spans="1:55" ht="21">
      <c r="A1" s="307" t="s">
        <v>1283</v>
      </c>
      <c r="B1" s="307"/>
      <c r="C1" s="307"/>
      <c r="D1" s="307"/>
      <c r="E1" s="307"/>
      <c r="F1" s="307"/>
      <c r="G1" s="307"/>
      <c r="H1" s="307"/>
      <c r="I1" s="307"/>
    </row>
    <row r="3" spans="1:55">
      <c r="A3" s="148"/>
      <c r="B3" s="294" t="s">
        <v>496</v>
      </c>
      <c r="C3" s="294"/>
      <c r="D3" s="294"/>
      <c r="E3" s="294"/>
      <c r="F3" s="294"/>
      <c r="G3" s="147"/>
      <c r="H3" s="294" t="s">
        <v>488</v>
      </c>
      <c r="I3" s="294"/>
      <c r="J3" s="294"/>
      <c r="K3" s="294"/>
      <c r="L3" s="294"/>
      <c r="M3" s="148"/>
      <c r="N3" s="294" t="s">
        <v>490</v>
      </c>
      <c r="O3" s="294"/>
      <c r="P3" s="294"/>
      <c r="Q3" s="294"/>
      <c r="R3" s="294"/>
      <c r="T3" s="295" t="s">
        <v>165</v>
      </c>
      <c r="U3" s="295"/>
      <c r="V3" s="295"/>
      <c r="X3" s="295" t="s">
        <v>47</v>
      </c>
      <c r="Y3" s="295"/>
      <c r="AA3" s="295" t="s">
        <v>492</v>
      </c>
      <c r="AB3" s="295"/>
      <c r="AC3" s="295"/>
      <c r="AD3" s="295"/>
      <c r="AE3" s="295"/>
      <c r="AG3" s="295"/>
      <c r="AH3" s="295"/>
      <c r="AI3" s="295"/>
      <c r="AJ3" s="295"/>
      <c r="AK3" s="295"/>
      <c r="AM3" s="295"/>
      <c r="AN3" s="295"/>
      <c r="AP3" s="295"/>
      <c r="AQ3" s="295"/>
      <c r="AS3" s="1"/>
      <c r="AV3" s="1"/>
      <c r="AY3" s="295"/>
      <c r="AZ3" s="295"/>
      <c r="BB3" s="1"/>
      <c r="BC3" s="1"/>
    </row>
    <row r="4" spans="1:55">
      <c r="A4" s="160" t="s">
        <v>163</v>
      </c>
      <c r="B4" s="151" t="s">
        <v>0</v>
      </c>
      <c r="C4" s="151" t="s">
        <v>1</v>
      </c>
      <c r="D4" s="151" t="s">
        <v>2</v>
      </c>
      <c r="E4" s="151" t="s">
        <v>284</v>
      </c>
      <c r="F4" s="151" t="s">
        <v>285</v>
      </c>
      <c r="G4" s="147"/>
      <c r="H4" s="151" t="s">
        <v>1286</v>
      </c>
      <c r="I4" s="151" t="s">
        <v>1285</v>
      </c>
      <c r="J4" s="151" t="s">
        <v>1287</v>
      </c>
      <c r="K4" s="151" t="s">
        <v>1288</v>
      </c>
      <c r="L4" s="151" t="s">
        <v>1289</v>
      </c>
      <c r="M4" s="151"/>
      <c r="N4" s="151" t="s">
        <v>1290</v>
      </c>
      <c r="O4" s="151" t="s">
        <v>1291</v>
      </c>
      <c r="P4" s="151" t="s">
        <v>1292</v>
      </c>
      <c r="Q4" s="151" t="s">
        <v>1293</v>
      </c>
      <c r="R4" s="151" t="s">
        <v>1294</v>
      </c>
      <c r="T4" s="1" t="s">
        <v>144</v>
      </c>
      <c r="U4" s="1" t="s">
        <v>17</v>
      </c>
      <c r="V4" s="1" t="s">
        <v>175</v>
      </c>
      <c r="X4" s="1" t="s">
        <v>144</v>
      </c>
      <c r="Y4" s="1" t="s">
        <v>17</v>
      </c>
      <c r="AA4" s="156" t="s">
        <v>0</v>
      </c>
      <c r="AB4" s="156" t="s">
        <v>1</v>
      </c>
      <c r="AC4" s="156" t="s">
        <v>2</v>
      </c>
      <c r="AD4" s="156" t="s">
        <v>284</v>
      </c>
      <c r="AE4" s="156" t="s">
        <v>285</v>
      </c>
      <c r="AG4" s="156" t="s">
        <v>478</v>
      </c>
      <c r="BB4" s="1"/>
      <c r="BC4" s="1"/>
    </row>
    <row r="5" spans="1:55">
      <c r="A5" s="146">
        <v>44227</v>
      </c>
      <c r="B5" s="161">
        <v>-2.5249999999999999E-3</v>
      </c>
      <c r="C5" s="161">
        <v>6.471563881394104E-3</v>
      </c>
      <c r="D5" s="161">
        <v>-3.8583333333333334E-3</v>
      </c>
      <c r="E5" s="161">
        <v>-8.7735389038784591E-3</v>
      </c>
      <c r="F5" s="161">
        <v>2.3797183607428452E-3</v>
      </c>
      <c r="G5" s="162"/>
      <c r="H5" s="161">
        <v>0.22097187842590618</v>
      </c>
      <c r="I5" s="161">
        <v>0.15034550496306842</v>
      </c>
      <c r="J5" s="161">
        <v>0.36630222879224561</v>
      </c>
      <c r="K5" s="161">
        <v>7.3121549290883922E-2</v>
      </c>
      <c r="L5" s="161">
        <v>0.18925883852789588</v>
      </c>
      <c r="M5" s="161"/>
      <c r="N5" s="161">
        <v>0.21892707629244659</v>
      </c>
      <c r="O5" s="161">
        <v>0.35485153512260514</v>
      </c>
      <c r="P5" s="161">
        <f t="shared" ref="P5:P63" si="0">1-N5-O5-Q5-R5</f>
        <v>0.31529549642456789</v>
      </c>
      <c r="Q5" s="161">
        <v>0.30888241565721075</v>
      </c>
      <c r="R5" s="161">
        <v>-0.19795652349683035</v>
      </c>
      <c r="S5" s="13"/>
      <c r="T5" s="13">
        <f t="shared" ref="T5:T36" si="1">SUMPRODUCT(H5:L5,B5:F5)</f>
        <v>-1.1894515772376132E-3</v>
      </c>
      <c r="U5" s="13">
        <f t="shared" ref="U5:U36" si="2">SUMPRODUCT(N5:R5,B5:F5)</f>
        <v>-2.6539342774732412E-3</v>
      </c>
      <c r="V5" s="157">
        <f t="shared" ref="V5:V36" si="3">SUMPRODUCT(N5:R5,B5:F5)-T5</f>
        <v>-1.464482700235628E-3</v>
      </c>
      <c r="W5" s="13"/>
      <c r="X5" s="13">
        <f>T5-0.0025</f>
        <v>-3.6894515772376135E-3</v>
      </c>
      <c r="Y5" s="13">
        <f>U5-0.0025</f>
        <v>-5.1539342774732412E-3</v>
      </c>
      <c r="Z5" s="13"/>
      <c r="AA5" s="13">
        <f t="shared" ref="AA5:AA36" si="4">(N5-H5)*(B5-$T5)</f>
        <v>2.7309322642031174E-6</v>
      </c>
      <c r="AB5" s="13">
        <f t="shared" ref="AB5:AB36" si="5">(O5-I5)*(C5-$T5)</f>
        <v>1.566723858435615E-3</v>
      </c>
      <c r="AC5" s="13">
        <f t="shared" ref="AC5:AC36" si="6">(P5-J5)*(D5-$T5)</f>
        <v>1.3613093745415213E-4</v>
      </c>
      <c r="AD5" s="13">
        <f t="shared" ref="AD5:AD36" si="7">(Q5-K5)*(E5-$T5)</f>
        <v>-1.7880309987267254E-3</v>
      </c>
      <c r="AE5" s="13">
        <f t="shared" ref="AE5:AE36" si="8">(R5-L5)*(F5-$T5)</f>
        <v>-1.382037429662873E-3</v>
      </c>
      <c r="AF5" s="13"/>
      <c r="AG5" s="157">
        <f>SUM(AA5:AE5)</f>
        <v>-1.464482700235628E-3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B5" s="18"/>
      <c r="BC5" s="18"/>
    </row>
    <row r="6" spans="1:55">
      <c r="A6" s="146">
        <v>44255</v>
      </c>
      <c r="B6" s="161">
        <v>-8.0000000000000004E-4</v>
      </c>
      <c r="C6" s="161">
        <v>1.819773646866088E-2</v>
      </c>
      <c r="D6" s="161">
        <v>2.5841666666666666E-2</v>
      </c>
      <c r="E6" s="161">
        <v>6.5288062706550867E-3</v>
      </c>
      <c r="F6" s="161">
        <v>3.0568633695744214E-3</v>
      </c>
      <c r="G6" s="162"/>
      <c r="H6" s="161">
        <v>0.21240500696561546</v>
      </c>
      <c r="I6" s="161">
        <v>0.14991969847052533</v>
      </c>
      <c r="J6" s="161">
        <v>0.38974372703432986</v>
      </c>
      <c r="K6" s="161">
        <v>7.924176231430051E-2</v>
      </c>
      <c r="L6" s="161">
        <v>0.16868980521522892</v>
      </c>
      <c r="M6" s="161"/>
      <c r="N6" s="161">
        <v>0.20811338912089603</v>
      </c>
      <c r="O6" s="161">
        <v>0.26253256675020964</v>
      </c>
      <c r="P6" s="161">
        <f t="shared" si="0"/>
        <v>0.27268012162847388</v>
      </c>
      <c r="Q6" s="161">
        <v>0.24814840163740468</v>
      </c>
      <c r="R6" s="161">
        <v>8.5255208630157231E-3</v>
      </c>
      <c r="S6" s="13"/>
      <c r="T6" s="13">
        <f t="shared" si="1"/>
        <v>1.3662918439179146E-2</v>
      </c>
      <c r="U6" s="13">
        <f t="shared" si="2"/>
        <v>1.3303690755709885E-2</v>
      </c>
      <c r="V6" s="157">
        <f t="shared" si="3"/>
        <v>-3.5922768346926051E-4</v>
      </c>
      <c r="W6" s="13"/>
      <c r="X6" s="13">
        <f t="shared" ref="X6:X64" si="9">T6-0.0025</f>
        <v>1.1162918439179145E-2</v>
      </c>
      <c r="Y6" s="13">
        <f t="shared" ref="Y6:Y64" si="10">U6-0.0025</f>
        <v>1.0803690755709885E-2</v>
      </c>
      <c r="Z6" s="13"/>
      <c r="AA6" s="13">
        <f t="shared" si="4"/>
        <v>6.2069318860302926E-5</v>
      </c>
      <c r="AB6" s="13">
        <f t="shared" si="5"/>
        <v>5.1067886542636412E-4</v>
      </c>
      <c r="AC6" s="13">
        <f t="shared" si="6"/>
        <v>-1.4256881768398668E-3</v>
      </c>
      <c r="AD6" s="13">
        <f t="shared" si="7"/>
        <v>-1.2049989109394618E-3</v>
      </c>
      <c r="AE6" s="13">
        <f t="shared" si="8"/>
        <v>1.6987112200234035E-3</v>
      </c>
      <c r="AF6" s="13"/>
      <c r="AG6" s="157">
        <f t="shared" ref="AG6:AG64" si="11">SUM(AA6:AE6)</f>
        <v>-3.5922768346925791E-4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B6" s="18"/>
      <c r="BC6" s="18"/>
    </row>
    <row r="7" spans="1:55">
      <c r="A7" s="146">
        <v>44286</v>
      </c>
      <c r="B7" s="161">
        <v>2.225E-3</v>
      </c>
      <c r="C7" s="161">
        <v>1.8306919284992909E-2</v>
      </c>
      <c r="D7" s="161">
        <v>1.8191666666666665E-2</v>
      </c>
      <c r="E7" s="161">
        <v>2.47217190331915E-3</v>
      </c>
      <c r="F7" s="161">
        <v>2.4506622112136396E-3</v>
      </c>
      <c r="G7" s="162"/>
      <c r="H7" s="161">
        <v>0.20824763079398931</v>
      </c>
      <c r="I7" s="161">
        <v>0.1461354884834605</v>
      </c>
      <c r="J7" s="161">
        <v>0.40630447118100188</v>
      </c>
      <c r="K7" s="161">
        <v>8.1956873935074809E-2</v>
      </c>
      <c r="L7" s="161">
        <v>0.15735553560647336</v>
      </c>
      <c r="M7" s="161"/>
      <c r="N7" s="161">
        <v>0.20391845081808666</v>
      </c>
      <c r="O7" s="161">
        <v>0.41153719114755455</v>
      </c>
      <c r="P7" s="161">
        <f t="shared" si="0"/>
        <v>0.26856884701171146</v>
      </c>
      <c r="Q7" s="161">
        <v>0.15060843435285873</v>
      </c>
      <c r="R7" s="161">
        <v>-3.4632923330211396E-2</v>
      </c>
      <c r="S7" s="13"/>
      <c r="T7" s="13">
        <f t="shared" si="1"/>
        <v>1.1118233821619635E-2</v>
      </c>
      <c r="U7" s="13">
        <f t="shared" si="2"/>
        <v>1.3160867979410087E-2</v>
      </c>
      <c r="V7" s="157">
        <f t="shared" si="3"/>
        <v>2.0426341577904523E-3</v>
      </c>
      <c r="W7" s="13"/>
      <c r="X7" s="13">
        <f t="shared" si="9"/>
        <v>8.6182338216196346E-3</v>
      </c>
      <c r="Y7" s="13">
        <f t="shared" si="10"/>
        <v>1.0660867979410087E-2</v>
      </c>
      <c r="Z7" s="13"/>
      <c r="AA7" s="13">
        <f t="shared" si="4"/>
        <v>3.8500409781575948E-5</v>
      </c>
      <c r="AB7" s="13">
        <f t="shared" si="5"/>
        <v>1.9078893618958885E-3</v>
      </c>
      <c r="AC7" s="13">
        <f t="shared" si="6"/>
        <v>-9.7426368793211238E-4</v>
      </c>
      <c r="AD7" s="13">
        <f t="shared" si="7"/>
        <v>-5.9356564216010645E-4</v>
      </c>
      <c r="AE7" s="13">
        <f t="shared" si="8"/>
        <v>1.6640737162052061E-3</v>
      </c>
      <c r="AF7" s="13"/>
      <c r="AG7" s="157">
        <f t="shared" si="11"/>
        <v>2.0426341577904519E-3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B7" s="18"/>
      <c r="BC7" s="18"/>
    </row>
    <row r="8" spans="1:55">
      <c r="A8" s="146">
        <v>44316</v>
      </c>
      <c r="B8" s="161">
        <v>-3.4499999999999999E-3</v>
      </c>
      <c r="C8" s="161">
        <v>5.7206784725130997E-3</v>
      </c>
      <c r="D8" s="161">
        <v>1.2041666666666666E-2</v>
      </c>
      <c r="E8" s="161">
        <v>-1.0625309721640467E-2</v>
      </c>
      <c r="F8" s="161">
        <v>1.3252950199326733E-3</v>
      </c>
      <c r="G8" s="162"/>
      <c r="H8" s="161">
        <v>0.20297317983485053</v>
      </c>
      <c r="I8" s="161">
        <v>0.14391698735023037</v>
      </c>
      <c r="J8" s="161">
        <v>0.42089671292781722</v>
      </c>
      <c r="K8" s="161">
        <v>8.3088643302059076E-2</v>
      </c>
      <c r="L8" s="161">
        <v>0.1491244765850428</v>
      </c>
      <c r="M8" s="161"/>
      <c r="N8" s="161">
        <v>0.20649628152827726</v>
      </c>
      <c r="O8" s="161">
        <v>0.37601249381331381</v>
      </c>
      <c r="P8" s="161">
        <f t="shared" si="0"/>
        <v>0.24977269697384341</v>
      </c>
      <c r="Q8" s="161">
        <v>7.3895301639883115E-2</v>
      </c>
      <c r="R8" s="161">
        <v>9.3823226044682406E-2</v>
      </c>
      <c r="S8" s="13"/>
      <c r="T8" s="13">
        <f t="shared" si="1"/>
        <v>4.5061346158385722E-3</v>
      </c>
      <c r="U8" s="13">
        <f t="shared" si="2"/>
        <v>3.7854969542078275E-3</v>
      </c>
      <c r="V8" s="157">
        <f t="shared" si="3"/>
        <v>-7.2063766163074465E-4</v>
      </c>
      <c r="W8" s="13"/>
      <c r="X8" s="13">
        <f t="shared" si="9"/>
        <v>2.0061346158385721E-3</v>
      </c>
      <c r="Y8" s="13">
        <f t="shared" si="10"/>
        <v>1.2854969542078275E-3</v>
      </c>
      <c r="Z8" s="13"/>
      <c r="AA8" s="13">
        <f t="shared" si="4"/>
        <v>-2.8030271338191923E-5</v>
      </c>
      <c r="AB8" s="13">
        <f t="shared" si="5"/>
        <v>2.8189017153650107E-4</v>
      </c>
      <c r="AC8" s="13">
        <f t="shared" si="6"/>
        <v>-1.2895105068875877E-3</v>
      </c>
      <c r="AD8" s="13">
        <f t="shared" si="7"/>
        <v>1.3910853763664257E-4</v>
      </c>
      <c r="AE8" s="13">
        <f t="shared" si="8"/>
        <v>1.7590440742189082E-4</v>
      </c>
      <c r="AF8" s="13"/>
      <c r="AG8" s="157">
        <f t="shared" si="11"/>
        <v>-7.206376616307453E-4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B8" s="18"/>
      <c r="BC8" s="18"/>
    </row>
    <row r="9" spans="1:55">
      <c r="A9" s="146">
        <v>44347</v>
      </c>
      <c r="B9" s="161">
        <v>-8.175E-3</v>
      </c>
      <c r="C9" s="161">
        <v>-2.7308080622184209E-3</v>
      </c>
      <c r="D9" s="161">
        <v>9.9166666666666674E-4</v>
      </c>
      <c r="E9" s="161">
        <v>-1.7553282791103509E-2</v>
      </c>
      <c r="F9" s="161">
        <v>1.4602133096165198E-3</v>
      </c>
      <c r="G9" s="162"/>
      <c r="H9" s="161">
        <v>0.1975624460712789</v>
      </c>
      <c r="I9" s="161">
        <v>0.14618694600528101</v>
      </c>
      <c r="J9" s="161">
        <v>0.42520599509176865</v>
      </c>
      <c r="K9" s="161">
        <v>8.3674575106909538E-2</v>
      </c>
      <c r="L9" s="161">
        <v>0.14737003772476204</v>
      </c>
      <c r="M9" s="161"/>
      <c r="N9" s="161">
        <v>0.21456078042774615</v>
      </c>
      <c r="O9" s="161">
        <v>0.38989283445752221</v>
      </c>
      <c r="P9" s="161">
        <f t="shared" si="0"/>
        <v>0.32637671253755296</v>
      </c>
      <c r="Q9" s="161">
        <v>0.11645827928403676</v>
      </c>
      <c r="R9" s="161">
        <v>-4.7288606706858083E-2</v>
      </c>
      <c r="S9" s="13"/>
      <c r="T9" s="13">
        <f t="shared" si="1"/>
        <v>-2.8461906643283052E-3</v>
      </c>
      <c r="U9" s="13">
        <f t="shared" si="2"/>
        <v>-4.6083765316794634E-3</v>
      </c>
      <c r="V9" s="157">
        <f t="shared" si="3"/>
        <v>-1.7621858673511582E-3</v>
      </c>
      <c r="W9" s="13"/>
      <c r="X9" s="13">
        <f t="shared" si="9"/>
        <v>-5.3461906643283048E-3</v>
      </c>
      <c r="Y9" s="13">
        <f t="shared" si="10"/>
        <v>-7.1083765316794639E-3</v>
      </c>
      <c r="Z9" s="13"/>
      <c r="AA9" s="13">
        <f t="shared" si="4"/>
        <v>-9.0580882809611577E-5</v>
      </c>
      <c r="AB9" s="13">
        <f t="shared" si="5"/>
        <v>2.81194195591208E-5</v>
      </c>
      <c r="AC9" s="13">
        <f t="shared" si="6"/>
        <v>-3.7929268656767016E-4</v>
      </c>
      <c r="AD9" s="13">
        <f t="shared" si="7"/>
        <v>-4.8215295758995515E-4</v>
      </c>
      <c r="AE9" s="13">
        <f t="shared" si="8"/>
        <v>-8.3827875994304157E-4</v>
      </c>
      <c r="AF9" s="13"/>
      <c r="AG9" s="157">
        <f t="shared" si="11"/>
        <v>-1.7621858673511578E-3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B9" s="18"/>
      <c r="BC9" s="18"/>
    </row>
    <row r="10" spans="1:55">
      <c r="A10" s="146">
        <v>44377</v>
      </c>
      <c r="B10" s="161">
        <v>9.7499999999999996E-4</v>
      </c>
      <c r="C10" s="161">
        <v>9.2902365215122712E-3</v>
      </c>
      <c r="D10" s="161">
        <v>1.2516666666666667E-2</v>
      </c>
      <c r="E10" s="161">
        <v>-1.1736193623642126E-2</v>
      </c>
      <c r="F10" s="161">
        <v>1.7066002717358061E-3</v>
      </c>
      <c r="G10" s="162"/>
      <c r="H10" s="161">
        <v>0.19597571040033596</v>
      </c>
      <c r="I10" s="161">
        <v>0.13881113820914745</v>
      </c>
      <c r="J10" s="161">
        <v>0.44118795803876776</v>
      </c>
      <c r="K10" s="161">
        <v>8.2440312721772449E-2</v>
      </c>
      <c r="L10" s="161">
        <v>0.14158488062997632</v>
      </c>
      <c r="M10" s="161"/>
      <c r="N10" s="161">
        <v>0.18053923542956124</v>
      </c>
      <c r="O10" s="161">
        <v>0.41506593209896803</v>
      </c>
      <c r="P10" s="161">
        <f t="shared" si="0"/>
        <v>0.390439613115864</v>
      </c>
      <c r="Q10" s="161">
        <v>2.9704002717515776E-2</v>
      </c>
      <c r="R10" s="161">
        <v>-1.5748783361908991E-2</v>
      </c>
      <c r="S10" s="13"/>
      <c r="T10" s="13">
        <f t="shared" si="1"/>
        <v>6.2769605548026845E-3</v>
      </c>
      <c r="U10" s="13">
        <f t="shared" si="2"/>
        <v>8.5436001213438518E-3</v>
      </c>
      <c r="V10" s="157">
        <f t="shared" si="3"/>
        <v>2.2666395665411673E-3</v>
      </c>
      <c r="W10" s="13"/>
      <c r="X10" s="13">
        <f t="shared" si="9"/>
        <v>3.7769605548026845E-3</v>
      </c>
      <c r="Y10" s="13">
        <f t="shared" si="10"/>
        <v>6.0436001213438513E-3</v>
      </c>
      <c r="Z10" s="13"/>
      <c r="AA10" s="13">
        <f t="shared" si="4"/>
        <v>8.1843581400246464E-5</v>
      </c>
      <c r="AB10" s="13">
        <f t="shared" si="5"/>
        <v>8.3243193111650661E-4</v>
      </c>
      <c r="AC10" s="13">
        <f t="shared" si="6"/>
        <v>-3.1665475798242409E-4</v>
      </c>
      <c r="AD10" s="13">
        <f t="shared" si="7"/>
        <v>9.4994728290893698E-4</v>
      </c>
      <c r="AE10" s="13">
        <f t="shared" si="8"/>
        <v>7.1907152909790205E-4</v>
      </c>
      <c r="AF10" s="13"/>
      <c r="AG10" s="157">
        <f t="shared" si="11"/>
        <v>2.2666395665411681E-3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B10" s="18"/>
      <c r="BC10" s="18"/>
    </row>
    <row r="11" spans="1:55">
      <c r="A11" s="146">
        <v>44408</v>
      </c>
      <c r="B11" s="161">
        <v>2.3249999999999998E-3</v>
      </c>
      <c r="C11" s="161">
        <v>2.0023784370391512E-2</v>
      </c>
      <c r="D11" s="161">
        <v>-1.1433333333333334E-2</v>
      </c>
      <c r="E11" s="161">
        <v>8.8559020741163577E-3</v>
      </c>
      <c r="F11" s="161">
        <v>3.9829323299750106E-3</v>
      </c>
      <c r="G11" s="162"/>
      <c r="H11" s="161">
        <v>0.19822781366444089</v>
      </c>
      <c r="I11" s="161">
        <v>0.14521497864317884</v>
      </c>
      <c r="J11" s="161">
        <v>0.42192520906878106</v>
      </c>
      <c r="K11" s="161">
        <v>8.3346386262563923E-2</v>
      </c>
      <c r="L11" s="161">
        <v>0.15128561236103516</v>
      </c>
      <c r="M11" s="161"/>
      <c r="N11" s="161">
        <v>0.21430291994913844</v>
      </c>
      <c r="O11" s="161">
        <v>0.27402276432998279</v>
      </c>
      <c r="P11" s="161">
        <f t="shared" si="0"/>
        <v>0.2825573374955862</v>
      </c>
      <c r="Q11" s="161">
        <v>0.15870961967550001</v>
      </c>
      <c r="R11" s="161">
        <v>7.040735854979252E-2</v>
      </c>
      <c r="S11" s="13"/>
      <c r="T11" s="13">
        <f t="shared" si="1"/>
        <v>-1.1471067904230651E-4</v>
      </c>
      <c r="U11" s="13">
        <f t="shared" si="2"/>
        <v>4.4405994037403206E-3</v>
      </c>
      <c r="V11" s="157">
        <f t="shared" si="3"/>
        <v>4.555310082782627E-3</v>
      </c>
      <c r="W11" s="13"/>
      <c r="X11" s="13">
        <f t="shared" si="9"/>
        <v>-2.6147106790423064E-3</v>
      </c>
      <c r="Y11" s="13">
        <f t="shared" si="10"/>
        <v>1.9405994037403206E-3</v>
      </c>
      <c r="Z11" s="13"/>
      <c r="AA11" s="13">
        <f t="shared" si="4"/>
        <v>3.9218608469516705E-5</v>
      </c>
      <c r="AB11" s="13">
        <f t="shared" si="5"/>
        <v>2.5939949543822335E-3</v>
      </c>
      <c r="AC11" s="13">
        <f t="shared" si="6"/>
        <v>1.5774523484686856E-3</v>
      </c>
      <c r="AD11" s="13">
        <f t="shared" si="7"/>
        <v>6.7605438277335776E-4</v>
      </c>
      <c r="AE11" s="13">
        <f t="shared" si="8"/>
        <v>-3.3141021131116656E-4</v>
      </c>
      <c r="AF11" s="13"/>
      <c r="AG11" s="157">
        <f t="shared" si="11"/>
        <v>4.555310082782627E-3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B11" s="18"/>
      <c r="BC11" s="18"/>
    </row>
    <row r="12" spans="1:55">
      <c r="A12" s="146">
        <v>44439</v>
      </c>
      <c r="B12" s="161">
        <v>1.3950000000000001E-2</v>
      </c>
      <c r="C12" s="161">
        <v>3.4135831394535493E-2</v>
      </c>
      <c r="D12" s="161">
        <v>-1.1133333333333334E-2</v>
      </c>
      <c r="E12" s="161">
        <v>1.9154996122404309E-2</v>
      </c>
      <c r="F12" s="161">
        <v>4.4005879671470032E-3</v>
      </c>
      <c r="G12" s="162"/>
      <c r="H12" s="161">
        <v>0.2090983547806366</v>
      </c>
      <c r="I12" s="161">
        <v>0.14609349432986424</v>
      </c>
      <c r="J12" s="161">
        <v>0.4027683925871901</v>
      </c>
      <c r="K12" s="161">
        <v>7.7258364401470436E-2</v>
      </c>
      <c r="L12" s="161">
        <v>0.16478139390083871</v>
      </c>
      <c r="M12" s="161"/>
      <c r="N12" s="161">
        <v>0.23492797364078916</v>
      </c>
      <c r="O12" s="161">
        <v>0.41217036038581945</v>
      </c>
      <c r="P12" s="161">
        <f t="shared" si="0"/>
        <v>0.1943477724281768</v>
      </c>
      <c r="Q12" s="161">
        <v>0.15481251370755866</v>
      </c>
      <c r="R12" s="161">
        <v>3.7413798376558782E-3</v>
      </c>
      <c r="S12" s="13"/>
      <c r="T12" s="13">
        <f t="shared" si="1"/>
        <v>5.6248088584118106E-3</v>
      </c>
      <c r="U12" s="13">
        <f t="shared" si="2"/>
        <v>1.8165181998072634E-2</v>
      </c>
      <c r="V12" s="157">
        <f t="shared" si="3"/>
        <v>1.2540373139660823E-2</v>
      </c>
      <c r="W12" s="13"/>
      <c r="X12" s="13">
        <f t="shared" si="9"/>
        <v>3.1248088584118106E-3</v>
      </c>
      <c r="Y12" s="13">
        <f t="shared" si="10"/>
        <v>1.5665181998072635E-2</v>
      </c>
      <c r="Z12" s="13"/>
      <c r="AA12" s="13">
        <f t="shared" si="4"/>
        <v>2.1503651412514132E-4</v>
      </c>
      <c r="AB12" s="13">
        <f t="shared" si="5"/>
        <v>7.5861235244625022E-3</v>
      </c>
      <c r="AC12" s="13">
        <f t="shared" si="6"/>
        <v>3.4927423883164494E-3</v>
      </c>
      <c r="AD12" s="13">
        <f t="shared" si="7"/>
        <v>1.0493221632110075E-3</v>
      </c>
      <c r="AE12" s="13">
        <f t="shared" si="8"/>
        <v>1.9714854954572681E-4</v>
      </c>
      <c r="AF12" s="13"/>
      <c r="AG12" s="157">
        <f t="shared" si="11"/>
        <v>1.2540373139660827E-2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B12" s="18"/>
      <c r="BC12" s="18"/>
    </row>
    <row r="13" spans="1:55">
      <c r="A13" s="146">
        <v>44469</v>
      </c>
      <c r="B13" s="161">
        <v>5.2500000000000003E-3</v>
      </c>
      <c r="C13" s="161">
        <v>2.3968673347312869E-2</v>
      </c>
      <c r="D13" s="161">
        <v>1.4416666666666666E-2</v>
      </c>
      <c r="E13" s="161">
        <v>1.1420680027959075E-2</v>
      </c>
      <c r="F13" s="161">
        <v>4.273107869715677E-3</v>
      </c>
      <c r="G13" s="162"/>
      <c r="H13" s="161">
        <v>0.20716539829861208</v>
      </c>
      <c r="I13" s="161">
        <v>0.14594325473918096</v>
      </c>
      <c r="J13" s="161">
        <v>0.41337581165141984</v>
      </c>
      <c r="K13" s="161">
        <v>7.8028571234559072E-2</v>
      </c>
      <c r="L13" s="161">
        <v>0.15548696407622806</v>
      </c>
      <c r="M13" s="161"/>
      <c r="N13" s="161">
        <v>0.20427888155602919</v>
      </c>
      <c r="O13" s="161">
        <v>0.40848100406212717</v>
      </c>
      <c r="P13" s="161">
        <f t="shared" si="0"/>
        <v>0.28415755988949781</v>
      </c>
      <c r="Q13" s="161">
        <v>0.13741749654897434</v>
      </c>
      <c r="R13" s="161">
        <v>-3.433494205662857E-2</v>
      </c>
      <c r="S13" s="13"/>
      <c r="T13" s="13">
        <f t="shared" si="1"/>
        <v>1.2100737740737156E-2</v>
      </c>
      <c r="U13" s="13">
        <f t="shared" si="2"/>
        <v>1.6382501052077513E-2</v>
      </c>
      <c r="V13" s="157">
        <f t="shared" si="3"/>
        <v>4.2817633113403572E-3</v>
      </c>
      <c r="W13" s="13"/>
      <c r="X13" s="13">
        <f t="shared" si="9"/>
        <v>9.6007377407371555E-3</v>
      </c>
      <c r="Y13" s="13">
        <f t="shared" si="10"/>
        <v>1.3882501052077513E-2</v>
      </c>
      <c r="Z13" s="13"/>
      <c r="AA13" s="13">
        <f t="shared" si="4"/>
        <v>1.9774769187682278E-5</v>
      </c>
      <c r="AB13" s="13">
        <f t="shared" si="5"/>
        <v>3.1157811032600422E-3</v>
      </c>
      <c r="AC13" s="13">
        <f t="shared" si="6"/>
        <v>-2.9926028701347714E-4</v>
      </c>
      <c r="AD13" s="13">
        <f t="shared" si="7"/>
        <v>-4.0387896713669516E-5</v>
      </c>
      <c r="AE13" s="13">
        <f t="shared" si="8"/>
        <v>1.485855622619784E-3</v>
      </c>
      <c r="AF13" s="13"/>
      <c r="AG13" s="157">
        <f t="shared" si="11"/>
        <v>4.2817633113403615E-3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B13" s="18"/>
      <c r="BC13" s="18"/>
    </row>
    <row r="14" spans="1:55">
      <c r="A14" s="146">
        <v>44500</v>
      </c>
      <c r="B14" s="161">
        <v>2.5250000000000002E-2</v>
      </c>
      <c r="C14" s="161">
        <v>5.3624346855853218E-2</v>
      </c>
      <c r="D14" s="161">
        <v>1.8166666666666665E-3</v>
      </c>
      <c r="E14" s="161">
        <v>3.7157027045039773E-2</v>
      </c>
      <c r="F14" s="161">
        <v>6.7471746203504159E-3</v>
      </c>
      <c r="G14" s="162"/>
      <c r="H14" s="161">
        <v>0.22098063474116256</v>
      </c>
      <c r="I14" s="161">
        <v>0.14157398740686397</v>
      </c>
      <c r="J14" s="161">
        <v>0.40340307207656911</v>
      </c>
      <c r="K14" s="161">
        <v>7.1786708198400759E-2</v>
      </c>
      <c r="L14" s="161">
        <v>0.16225559757700372</v>
      </c>
      <c r="M14" s="161"/>
      <c r="N14" s="161">
        <v>0.1926023230125696</v>
      </c>
      <c r="O14" s="161">
        <v>0.39161480204273169</v>
      </c>
      <c r="P14" s="161">
        <f t="shared" si="0"/>
        <v>0.26330362570263577</v>
      </c>
      <c r="Q14" s="161">
        <v>0.11295794304553451</v>
      </c>
      <c r="R14" s="161">
        <v>3.9521306196528383E-2</v>
      </c>
      <c r="S14" s="13"/>
      <c r="T14" s="13">
        <f t="shared" si="1"/>
        <v>1.7666570055942361E-2</v>
      </c>
      <c r="U14" s="13">
        <f t="shared" si="2"/>
        <v>3.080547005354688E-2</v>
      </c>
      <c r="V14" s="157">
        <f t="shared" si="3"/>
        <v>1.3138899997604519E-2</v>
      </c>
      <c r="W14" s="13"/>
      <c r="X14" s="13">
        <f t="shared" si="9"/>
        <v>1.5166570055942361E-2</v>
      </c>
      <c r="Y14" s="13">
        <f t="shared" si="10"/>
        <v>2.8305470053546881E-2</v>
      </c>
      <c r="Z14" s="13"/>
      <c r="AA14" s="13">
        <f t="shared" si="4"/>
        <v>-2.1520493892441395E-4</v>
      </c>
      <c r="AB14" s="13">
        <f t="shared" si="5"/>
        <v>8.990911803544414E-3</v>
      </c>
      <c r="AC14" s="13">
        <f t="shared" si="6"/>
        <v>2.2205626899178543E-3</v>
      </c>
      <c r="AD14" s="13">
        <f t="shared" si="7"/>
        <v>8.0244618197608899E-4</v>
      </c>
      <c r="AE14" s="13">
        <f t="shared" si="8"/>
        <v>1.3401842610905744E-3</v>
      </c>
      <c r="AF14" s="13"/>
      <c r="AG14" s="157">
        <f t="shared" si="11"/>
        <v>1.3138899997604517E-2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B14" s="18"/>
      <c r="BC14" s="18"/>
    </row>
    <row r="15" spans="1:55">
      <c r="A15" s="146">
        <v>44530</v>
      </c>
      <c r="B15" s="161">
        <v>3.875E-3</v>
      </c>
      <c r="C15" s="161">
        <v>2.3605412736136352E-2</v>
      </c>
      <c r="D15" s="161">
        <v>9.7166666666666669E-3</v>
      </c>
      <c r="E15" s="161">
        <v>1.3244158805606032E-2</v>
      </c>
      <c r="F15" s="161">
        <v>3.7374044158271866E-3</v>
      </c>
      <c r="G15" s="162"/>
      <c r="H15" s="161">
        <v>0.21859191524492591</v>
      </c>
      <c r="I15" s="161">
        <v>0.14405209467160709</v>
      </c>
      <c r="J15" s="161">
        <v>0.40822440400436782</v>
      </c>
      <c r="K15" s="161">
        <v>7.3213416151146252E-2</v>
      </c>
      <c r="L15" s="161">
        <v>0.1559181699279529</v>
      </c>
      <c r="M15" s="161"/>
      <c r="N15" s="161">
        <v>0.21966181414189298</v>
      </c>
      <c r="O15" s="161">
        <v>0.21732295063669987</v>
      </c>
      <c r="P15" s="161">
        <f t="shared" si="0"/>
        <v>0.32517108012289986</v>
      </c>
      <c r="Q15" s="161">
        <v>0.13168511605882349</v>
      </c>
      <c r="R15" s="161">
        <v>0.10615903903968371</v>
      </c>
      <c r="S15" s="13"/>
      <c r="T15" s="13">
        <f t="shared" si="1"/>
        <v>9.7664126477145976E-3</v>
      </c>
      <c r="U15" s="13">
        <f t="shared" si="2"/>
        <v>1.1281584322512904E-2</v>
      </c>
      <c r="V15" s="157">
        <f t="shared" si="3"/>
        <v>1.5151716747983067E-3</v>
      </c>
      <c r="W15" s="13"/>
      <c r="X15" s="13">
        <f t="shared" si="9"/>
        <v>7.2664126477145971E-3</v>
      </c>
      <c r="Y15" s="13">
        <f t="shared" si="10"/>
        <v>8.7815843225129038E-3</v>
      </c>
      <c r="Z15" s="13"/>
      <c r="AA15" s="13">
        <f t="shared" si="4"/>
        <v>-6.3032158933676919E-6</v>
      </c>
      <c r="AB15" s="13">
        <f t="shared" si="5"/>
        <v>1.0139953821796566E-3</v>
      </c>
      <c r="AC15" s="13">
        <f t="shared" si="6"/>
        <v>4.1315690757751589E-6</v>
      </c>
      <c r="AD15" s="13">
        <f t="shared" si="7"/>
        <v>2.0334972969930548E-4</v>
      </c>
      <c r="AE15" s="13">
        <f t="shared" si="8"/>
        <v>2.999982097369381E-4</v>
      </c>
      <c r="AF15" s="13"/>
      <c r="AG15" s="157">
        <f t="shared" si="11"/>
        <v>1.5151716747983076E-3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B15" s="18"/>
      <c r="BC15" s="18"/>
    </row>
    <row r="16" spans="1:55">
      <c r="A16" s="146">
        <v>44561</v>
      </c>
      <c r="B16" s="161">
        <v>9.4750000000000008E-3</v>
      </c>
      <c r="C16" s="161">
        <v>3.1687457995366271E-2</v>
      </c>
      <c r="D16" s="161">
        <v>1.1216666666666666E-2</v>
      </c>
      <c r="E16" s="161">
        <v>1.8383249324065883E-2</v>
      </c>
      <c r="F16" s="161">
        <v>4.9865615317475015E-3</v>
      </c>
      <c r="G16" s="162"/>
      <c r="H16" s="161">
        <v>0.21955003043753279</v>
      </c>
      <c r="I16" s="161">
        <v>0.14260178266776033</v>
      </c>
      <c r="J16" s="161">
        <v>0.41276582498373371</v>
      </c>
      <c r="K16" s="161">
        <v>7.3867310484741058E-2</v>
      </c>
      <c r="L16" s="161">
        <v>0.15121505142623193</v>
      </c>
      <c r="M16" s="161"/>
      <c r="N16" s="161">
        <v>0.23444779583078529</v>
      </c>
      <c r="O16" s="161">
        <v>0.23517775507162564</v>
      </c>
      <c r="P16" s="161">
        <f t="shared" si="0"/>
        <v>0.37375596437873221</v>
      </c>
      <c r="Q16" s="161">
        <v>0.11362678218104778</v>
      </c>
      <c r="R16" s="161">
        <v>4.299170253780904E-2</v>
      </c>
      <c r="S16" s="13"/>
      <c r="T16" s="13">
        <f t="shared" si="1"/>
        <v>1.3340745550981289E-2</v>
      </c>
      <c r="U16" s="13">
        <f t="shared" si="2"/>
        <v>1.6169084404673042E-2</v>
      </c>
      <c r="V16" s="157">
        <f t="shared" si="3"/>
        <v>2.8283388536917524E-3</v>
      </c>
      <c r="W16" s="13"/>
      <c r="X16" s="13">
        <f t="shared" si="9"/>
        <v>1.0840745550981289E-2</v>
      </c>
      <c r="Y16" s="13">
        <f t="shared" si="10"/>
        <v>1.3669084404673041E-2</v>
      </c>
      <c r="Z16" s="13"/>
      <c r="AA16" s="13">
        <f t="shared" si="4"/>
        <v>-5.7590970288528833E-5</v>
      </c>
      <c r="AB16" s="13">
        <f t="shared" si="5"/>
        <v>1.6984647449530363E-3</v>
      </c>
      <c r="AC16" s="13">
        <f t="shared" si="6"/>
        <v>8.2860021191140547E-5</v>
      </c>
      <c r="AD16" s="13">
        <f t="shared" si="7"/>
        <v>2.0048728604447674E-4</v>
      </c>
      <c r="AE16" s="13">
        <f t="shared" si="8"/>
        <v>9.0411777179162526E-4</v>
      </c>
      <c r="AF16" s="13"/>
      <c r="AG16" s="157">
        <f t="shared" si="11"/>
        <v>2.8283388536917498E-3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B16" s="18"/>
      <c r="BC16" s="18"/>
    </row>
    <row r="17" spans="1:55">
      <c r="A17" s="146">
        <v>44592</v>
      </c>
      <c r="B17" s="161">
        <v>5.8250000000000003E-3</v>
      </c>
      <c r="C17" s="161">
        <v>2.6075907604342502E-2</v>
      </c>
      <c r="D17" s="161">
        <v>8.9916666666666669E-3</v>
      </c>
      <c r="E17" s="161">
        <v>1.4610148542018336E-2</v>
      </c>
      <c r="F17" s="161">
        <v>4.4481495445313343E-3</v>
      </c>
      <c r="G17" s="162"/>
      <c r="H17" s="161">
        <v>0.21867470864678992</v>
      </c>
      <c r="I17" s="161">
        <v>0.14397180754957106</v>
      </c>
      <c r="J17" s="161">
        <v>0.4162091227657701</v>
      </c>
      <c r="K17" s="161">
        <v>7.4564996473675871E-2</v>
      </c>
      <c r="L17" s="161">
        <v>0.1465793645641931</v>
      </c>
      <c r="M17" s="161"/>
      <c r="N17" s="161">
        <v>0.24867386049248538</v>
      </c>
      <c r="O17" s="161">
        <v>0.40967350704104488</v>
      </c>
      <c r="P17" s="161">
        <f t="shared" si="0"/>
        <v>0.37402630799469333</v>
      </c>
      <c r="Q17" s="161">
        <v>0.10082898788114386</v>
      </c>
      <c r="R17" s="161">
        <v>-0.13320266340936748</v>
      </c>
      <c r="S17" s="13"/>
      <c r="T17" s="13">
        <f t="shared" si="1"/>
        <v>1.0511802032935282E-2</v>
      </c>
      <c r="U17" s="13">
        <f t="shared" si="2"/>
        <v>1.6374874764680396E-2</v>
      </c>
      <c r="V17" s="157">
        <f t="shared" si="3"/>
        <v>5.8630727317451146E-3</v>
      </c>
      <c r="W17" s="13"/>
      <c r="X17" s="13">
        <f t="shared" si="9"/>
        <v>8.0118020329352814E-3</v>
      </c>
      <c r="Y17" s="13">
        <f t="shared" si="10"/>
        <v>1.3874874764680396E-2</v>
      </c>
      <c r="Z17" s="13"/>
      <c r="AA17" s="13">
        <f t="shared" si="4"/>
        <v>-1.4060008585673969E-4</v>
      </c>
      <c r="AB17" s="13">
        <f t="shared" si="5"/>
        <v>4.135409301387615E-3</v>
      </c>
      <c r="AC17" s="13">
        <f t="shared" si="6"/>
        <v>6.4123588582271933E-5</v>
      </c>
      <c r="AD17" s="13">
        <f t="shared" si="7"/>
        <v>1.0763893749938378E-4</v>
      </c>
      <c r="AE17" s="13">
        <f t="shared" si="8"/>
        <v>1.6965009901325834E-3</v>
      </c>
      <c r="AF17" s="13"/>
      <c r="AG17" s="157">
        <f t="shared" si="11"/>
        <v>5.8630727317451146E-3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B17" s="18"/>
      <c r="BC17" s="18"/>
    </row>
    <row r="18" spans="1:55">
      <c r="A18" s="146">
        <v>44620</v>
      </c>
      <c r="B18" s="161">
        <v>2.8E-3</v>
      </c>
      <c r="C18" s="161">
        <v>1.8546510594036954E-2</v>
      </c>
      <c r="D18" s="161">
        <v>1.1641666666666666E-2</v>
      </c>
      <c r="E18" s="161">
        <v>4.126354521407239E-3</v>
      </c>
      <c r="F18" s="161">
        <v>2.5247902067362157E-3</v>
      </c>
      <c r="G18" s="162"/>
      <c r="H18" s="161">
        <v>0.21600122639159061</v>
      </c>
      <c r="I18" s="161">
        <v>0.14260072542086918</v>
      </c>
      <c r="J18" s="161">
        <v>0.42549953800436341</v>
      </c>
      <c r="K18" s="161">
        <v>7.5707396866060192E-2</v>
      </c>
      <c r="L18" s="161">
        <v>0.14019111331711648</v>
      </c>
      <c r="M18" s="161"/>
      <c r="N18" s="161">
        <v>0.24088169658097294</v>
      </c>
      <c r="O18" s="161">
        <v>0.38686840875039552</v>
      </c>
      <c r="P18" s="161">
        <f t="shared" si="0"/>
        <v>0.36286809910597512</v>
      </c>
      <c r="Q18" s="161">
        <v>0.16936335405917408</v>
      </c>
      <c r="R18" s="161">
        <v>-0.15998155849651763</v>
      </c>
      <c r="S18" s="13"/>
      <c r="T18" s="13">
        <f t="shared" si="1"/>
        <v>8.8694217962361661E-3</v>
      </c>
      <c r="U18" s="13">
        <f t="shared" si="2"/>
        <v>1.2368850615205243E-2</v>
      </c>
      <c r="V18" s="157">
        <f t="shared" si="3"/>
        <v>3.4994288189690772E-3</v>
      </c>
      <c r="W18" s="13"/>
      <c r="X18" s="13">
        <f t="shared" si="9"/>
        <v>6.3694217962361657E-3</v>
      </c>
      <c r="Y18" s="13">
        <f t="shared" si="10"/>
        <v>9.8688506152052428E-3</v>
      </c>
      <c r="Z18" s="13"/>
      <c r="AA18" s="13">
        <f t="shared" si="4"/>
        <v>-1.5101006806804128E-4</v>
      </c>
      <c r="AB18" s="13">
        <f t="shared" si="5"/>
        <v>2.3638000620129097E-3</v>
      </c>
      <c r="AC18" s="13">
        <f t="shared" si="6"/>
        <v>-1.7362968521373825E-4</v>
      </c>
      <c r="AD18" s="13">
        <f t="shared" si="7"/>
        <v>-4.4421650565543733E-4</v>
      </c>
      <c r="AE18" s="13">
        <f t="shared" si="8"/>
        <v>1.9044850158933843E-3</v>
      </c>
      <c r="AF18" s="13"/>
      <c r="AG18" s="157">
        <f t="shared" si="11"/>
        <v>3.4994288189690772E-3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B18" s="18"/>
      <c r="BC18" s="18"/>
    </row>
    <row r="19" spans="1:55">
      <c r="A19" s="146">
        <v>44651</v>
      </c>
      <c r="B19" s="161">
        <v>2.845E-2</v>
      </c>
      <c r="C19" s="161">
        <v>5.9065629507793344E-2</v>
      </c>
      <c r="D19" s="161">
        <v>1.3166666666666667E-3</v>
      </c>
      <c r="E19" s="161">
        <v>4.2639592348920029E-2</v>
      </c>
      <c r="F19" s="161">
        <v>7.6908217390999198E-3</v>
      </c>
      <c r="G19" s="162"/>
      <c r="H19" s="161">
        <v>0.23245891742086547</v>
      </c>
      <c r="I19" s="161">
        <v>0.13779500256746446</v>
      </c>
      <c r="J19" s="161">
        <v>0.4132978589355879</v>
      </c>
      <c r="K19" s="161">
        <v>6.9083935881786962E-2</v>
      </c>
      <c r="L19" s="161">
        <v>0.14736428519429509</v>
      </c>
      <c r="M19" s="161"/>
      <c r="N19" s="161">
        <v>0.20461629807161677</v>
      </c>
      <c r="O19" s="161">
        <v>0.35106355943123246</v>
      </c>
      <c r="P19" s="161">
        <f t="shared" si="0"/>
        <v>0.26923917748852905</v>
      </c>
      <c r="Q19" s="161">
        <v>0.15794867498596105</v>
      </c>
      <c r="R19" s="161">
        <v>1.7132290022660701E-2</v>
      </c>
      <c r="S19" s="13"/>
      <c r="T19" s="13">
        <f t="shared" si="1"/>
        <v>1.9375643596561631E-2</v>
      </c>
      <c r="U19" s="13">
        <f t="shared" si="2"/>
        <v>3.3778250567550044E-2</v>
      </c>
      <c r="V19" s="157">
        <f t="shared" si="3"/>
        <v>1.4402606970988413E-2</v>
      </c>
      <c r="W19" s="13"/>
      <c r="X19" s="13">
        <f t="shared" si="9"/>
        <v>1.6875643596561633E-2</v>
      </c>
      <c r="Y19" s="13">
        <f t="shared" si="10"/>
        <v>3.1278250567550042E-2</v>
      </c>
      <c r="Z19" s="13"/>
      <c r="AA19" s="13">
        <f t="shared" si="4"/>
        <v>-2.5265385118035193E-4</v>
      </c>
      <c r="AB19" s="13">
        <f t="shared" si="5"/>
        <v>8.4646260172316704E-3</v>
      </c>
      <c r="AC19" s="13">
        <f t="shared" si="6"/>
        <v>2.6015524048035236E-3</v>
      </c>
      <c r="AD19" s="13">
        <f t="shared" si="7"/>
        <v>2.0673447364112051E-3</v>
      </c>
      <c r="AE19" s="13">
        <f t="shared" si="8"/>
        <v>1.5217376637223616E-3</v>
      </c>
      <c r="AF19" s="13"/>
      <c r="AG19" s="157">
        <f t="shared" si="11"/>
        <v>1.440260697098841E-2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B19" s="18"/>
      <c r="BC19" s="18"/>
    </row>
    <row r="20" spans="1:55">
      <c r="A20" s="146">
        <v>44681</v>
      </c>
      <c r="B20" s="161">
        <v>-7.4250000000000002E-3</v>
      </c>
      <c r="C20" s="161">
        <v>-6.2158360476605602E-3</v>
      </c>
      <c r="D20" s="161">
        <v>-1.9833333333333335E-3</v>
      </c>
      <c r="E20" s="161">
        <v>-2.5098338761987787E-2</v>
      </c>
      <c r="F20" s="161">
        <v>1.5531360383145513E-3</v>
      </c>
      <c r="G20" s="162"/>
      <c r="H20" s="161">
        <v>0.2296048206588959</v>
      </c>
      <c r="I20" s="161">
        <v>0.13678581887072994</v>
      </c>
      <c r="J20" s="161">
        <v>0.41738109376191868</v>
      </c>
      <c r="K20" s="161">
        <v>6.7223062483905527E-2</v>
      </c>
      <c r="L20" s="161">
        <v>0.14900520422454983</v>
      </c>
      <c r="M20" s="161"/>
      <c r="N20" s="161">
        <v>0.23907615412612285</v>
      </c>
      <c r="O20" s="161">
        <v>0.35464416348436256</v>
      </c>
      <c r="P20" s="161">
        <f t="shared" si="0"/>
        <v>0.28328779123692099</v>
      </c>
      <c r="Q20" s="161">
        <v>0.12600092104556709</v>
      </c>
      <c r="R20" s="161">
        <v>-3.0090298929734693E-3</v>
      </c>
      <c r="S20" s="13"/>
      <c r="T20" s="13">
        <f t="shared" si="1"/>
        <v>-4.8386216953606566E-3</v>
      </c>
      <c r="U20" s="13">
        <f t="shared" si="2"/>
        <v>-7.7084917726428104E-3</v>
      </c>
      <c r="V20" s="157">
        <f t="shared" si="3"/>
        <v>-2.8698700772821538E-3</v>
      </c>
      <c r="W20" s="13"/>
      <c r="X20" s="13">
        <f t="shared" si="9"/>
        <v>-7.3386216953606562E-3</v>
      </c>
      <c r="Y20" s="13">
        <f t="shared" si="10"/>
        <v>-1.0208491772642811E-2</v>
      </c>
      <c r="Z20" s="13"/>
      <c r="AA20" s="13">
        <f t="shared" si="4"/>
        <v>-2.4496451395640315E-5</v>
      </c>
      <c r="AB20" s="13">
        <f t="shared" si="5"/>
        <v>-3.0003763897019323E-4</v>
      </c>
      <c r="AC20" s="13">
        <f t="shared" si="6"/>
        <v>-3.8287504612543493E-4</v>
      </c>
      <c r="AD20" s="13">
        <f t="shared" si="7"/>
        <v>-1.1908227842414906E-3</v>
      </c>
      <c r="AE20" s="13">
        <f t="shared" si="8"/>
        <v>-9.7163815654939317E-4</v>
      </c>
      <c r="AF20" s="13"/>
      <c r="AG20" s="157">
        <f t="shared" si="11"/>
        <v>-2.8698700772821521E-3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B20" s="18"/>
      <c r="BC20" s="18"/>
    </row>
    <row r="21" spans="1:55">
      <c r="A21" s="146">
        <v>44712</v>
      </c>
      <c r="B21" s="161">
        <v>1.5975E-2</v>
      </c>
      <c r="C21" s="161">
        <v>4.1501101374272542E-2</v>
      </c>
      <c r="D21" s="161">
        <v>6.8166666666666662E-3</v>
      </c>
      <c r="E21" s="161">
        <v>2.9085536081878423E-2</v>
      </c>
      <c r="F21" s="161">
        <v>4.8086282162078716E-3</v>
      </c>
      <c r="G21" s="162"/>
      <c r="H21" s="161">
        <v>0.23600797609362939</v>
      </c>
      <c r="I21" s="161">
        <v>0.1363538601772733</v>
      </c>
      <c r="J21" s="161">
        <v>0.41424839894814947</v>
      </c>
      <c r="K21" s="161">
        <v>6.5181419784010847E-2</v>
      </c>
      <c r="L21" s="161">
        <v>0.14820834499693714</v>
      </c>
      <c r="M21" s="161"/>
      <c r="N21" s="161">
        <v>0.26103414733423574</v>
      </c>
      <c r="O21" s="161">
        <v>0.34015171228727453</v>
      </c>
      <c r="P21" s="161">
        <f t="shared" si="0"/>
        <v>0.28199354901331553</v>
      </c>
      <c r="Q21" s="161">
        <v>0.1640056943067871</v>
      </c>
      <c r="R21" s="161">
        <v>-4.7185102941612822E-2</v>
      </c>
      <c r="S21" s="13"/>
      <c r="T21" s="13">
        <f t="shared" si="1"/>
        <v>1.4861371411541672E-2</v>
      </c>
      <c r="U21" s="13">
        <f t="shared" si="2"/>
        <v>2.4752245145708951E-2</v>
      </c>
      <c r="V21" s="157">
        <f t="shared" si="3"/>
        <v>9.8908737341672787E-3</v>
      </c>
      <c r="W21" s="13"/>
      <c r="X21" s="13">
        <f t="shared" si="9"/>
        <v>1.2361371411541672E-2</v>
      </c>
      <c r="Y21" s="13">
        <f t="shared" si="10"/>
        <v>2.2252245145708952E-2</v>
      </c>
      <c r="Z21" s="13"/>
      <c r="AA21" s="13">
        <f t="shared" si="4"/>
        <v>2.7869859753192844E-5</v>
      </c>
      <c r="AB21" s="13">
        <f t="shared" si="5"/>
        <v>5.4291197471949939E-3</v>
      </c>
      <c r="AC21" s="13">
        <f t="shared" si="6"/>
        <v>1.0639512188034903E-3</v>
      </c>
      <c r="AD21" s="13">
        <f t="shared" si="7"/>
        <v>1.4056927542385343E-3</v>
      </c>
      <c r="AE21" s="13">
        <f t="shared" si="8"/>
        <v>1.9642401541770673E-3</v>
      </c>
      <c r="AF21" s="13"/>
      <c r="AG21" s="157">
        <f t="shared" si="11"/>
        <v>9.8908737341672787E-3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B21" s="18"/>
      <c r="BC21" s="18"/>
    </row>
    <row r="22" spans="1:55">
      <c r="A22" s="146">
        <v>44742</v>
      </c>
      <c r="B22" s="161">
        <v>5.0000000000000001E-4</v>
      </c>
      <c r="C22" s="161">
        <v>1.2951226667778974E-2</v>
      </c>
      <c r="D22" s="161">
        <v>9.0916666666666663E-3</v>
      </c>
      <c r="E22" s="161">
        <v>-4.9642133311087189E-3</v>
      </c>
      <c r="F22" s="161">
        <v>2.4903744963362989E-3</v>
      </c>
      <c r="G22" s="162"/>
      <c r="H22" s="161">
        <v>0.23316917867449913</v>
      </c>
      <c r="I22" s="161">
        <v>0.13247747589520489</v>
      </c>
      <c r="J22" s="161">
        <v>0.42330267742504146</v>
      </c>
      <c r="K22" s="161">
        <v>6.6364018785202428E-2</v>
      </c>
      <c r="L22" s="161">
        <v>0.14468664922005209</v>
      </c>
      <c r="M22" s="161"/>
      <c r="N22" s="161">
        <v>0.2344683839231507</v>
      </c>
      <c r="O22" s="161">
        <v>0.32905910145556166</v>
      </c>
      <c r="P22" s="161">
        <f t="shared" si="0"/>
        <v>0.26121806109988616</v>
      </c>
      <c r="Q22" s="161">
        <v>0.17288762070583741</v>
      </c>
      <c r="R22" s="161">
        <v>2.3668328155640461E-3</v>
      </c>
      <c r="S22" s="13"/>
      <c r="T22" s="13">
        <f t="shared" si="1"/>
        <v>5.7117360447057983E-3</v>
      </c>
      <c r="U22" s="13">
        <f t="shared" si="2"/>
        <v>5.9015040094307506E-3</v>
      </c>
      <c r="V22" s="157">
        <f t="shared" si="3"/>
        <v>1.8976796472495224E-4</v>
      </c>
      <c r="W22" s="13"/>
      <c r="X22" s="13">
        <f t="shared" si="9"/>
        <v>3.2117360447057983E-3</v>
      </c>
      <c r="Y22" s="13">
        <f t="shared" si="10"/>
        <v>3.4015040094307505E-3</v>
      </c>
      <c r="Z22" s="13"/>
      <c r="AA22" s="13">
        <f t="shared" si="4"/>
        <v>-6.7711148238683421E-6</v>
      </c>
      <c r="AB22" s="13">
        <f t="shared" si="5"/>
        <v>1.423150834912685E-3</v>
      </c>
      <c r="AC22" s="13">
        <f t="shared" si="6"/>
        <v>-5.4783475806617079E-4</v>
      </c>
      <c r="AD22" s="13">
        <f t="shared" si="7"/>
        <v>-1.1372405814341171E-3</v>
      </c>
      <c r="AE22" s="13">
        <f t="shared" si="8"/>
        <v>4.584635841364245E-4</v>
      </c>
      <c r="AF22" s="13"/>
      <c r="AG22" s="157">
        <f t="shared" si="11"/>
        <v>1.8976796472495327E-4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B22" s="18"/>
      <c r="BC22" s="18"/>
    </row>
    <row r="23" spans="1:55">
      <c r="A23" s="146">
        <v>44773</v>
      </c>
      <c r="B23" s="161">
        <v>3.375E-3</v>
      </c>
      <c r="C23" s="161">
        <v>1.61896705659492E-2</v>
      </c>
      <c r="D23" s="161">
        <v>-1.6833333333333333E-3</v>
      </c>
      <c r="E23" s="161">
        <v>1.9876744652317334E-3</v>
      </c>
      <c r="F23" s="161">
        <v>3.4212395243524954E-3</v>
      </c>
      <c r="G23" s="162"/>
      <c r="H23" s="161">
        <v>0.23562700459940888</v>
      </c>
      <c r="I23" s="161">
        <v>0.13425257504697855</v>
      </c>
      <c r="J23" s="161">
        <v>0.41922487403050285</v>
      </c>
      <c r="K23" s="161">
        <v>6.3774897007140258E-2</v>
      </c>
      <c r="L23" s="161">
        <v>0.14712064931596935</v>
      </c>
      <c r="M23" s="161"/>
      <c r="N23" s="161">
        <v>0.25655130926028424</v>
      </c>
      <c r="O23" s="161">
        <v>0.44046339592909406</v>
      </c>
      <c r="P23" s="161">
        <f t="shared" si="0"/>
        <v>0.27085818902955616</v>
      </c>
      <c r="Q23" s="161">
        <v>0.20050406852886912</v>
      </c>
      <c r="R23" s="161">
        <v>-0.16837696274780356</v>
      </c>
      <c r="S23" s="13"/>
      <c r="T23" s="13">
        <f t="shared" si="1"/>
        <v>2.8931496131380198E-3</v>
      </c>
      <c r="U23" s="13">
        <f t="shared" si="2"/>
        <v>7.3633522242516833E-3</v>
      </c>
      <c r="V23" s="157">
        <f t="shared" si="3"/>
        <v>4.4702026111136635E-3</v>
      </c>
      <c r="W23" s="13"/>
      <c r="X23" s="13">
        <f t="shared" si="9"/>
        <v>3.9314961313801971E-4</v>
      </c>
      <c r="Y23" s="13">
        <f t="shared" si="10"/>
        <v>4.8633522242516828E-3</v>
      </c>
      <c r="Z23" s="13"/>
      <c r="AA23" s="13">
        <f t="shared" si="4"/>
        <v>1.0082384295660728E-5</v>
      </c>
      <c r="AB23" s="13">
        <f t="shared" si="5"/>
        <v>4.0715385958365593E-3</v>
      </c>
      <c r="AC23" s="13">
        <f t="shared" si="6"/>
        <v>6.7899760373131958E-4</v>
      </c>
      <c r="AD23" s="13">
        <f t="shared" si="7"/>
        <v>-1.2380486680674144E-4</v>
      </c>
      <c r="AE23" s="13">
        <f t="shared" si="8"/>
        <v>-1.6661110594313691E-4</v>
      </c>
      <c r="AF23" s="13"/>
      <c r="AG23" s="157">
        <f t="shared" si="11"/>
        <v>4.4702026111136618E-3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B23" s="18"/>
      <c r="BC23" s="18"/>
    </row>
    <row r="24" spans="1:55">
      <c r="A24" s="146">
        <v>44804</v>
      </c>
      <c r="B24" s="161">
        <v>5.3E-3</v>
      </c>
      <c r="C24" s="161">
        <v>1.890835586358007E-2</v>
      </c>
      <c r="D24" s="161">
        <v>-7.0833333333333338E-3</v>
      </c>
      <c r="E24" s="161">
        <v>4.2000450604934778E-3</v>
      </c>
      <c r="F24" s="161">
        <v>3.1314831386528384E-3</v>
      </c>
      <c r="G24" s="162"/>
      <c r="H24" s="161">
        <v>0.24104001594698796</v>
      </c>
      <c r="I24" s="161">
        <v>0.13629670994490534</v>
      </c>
      <c r="J24" s="161">
        <v>0.40805398757244654</v>
      </c>
      <c r="K24" s="161">
        <v>6.0365512739702629E-2</v>
      </c>
      <c r="L24" s="161">
        <v>0.15424377379595747</v>
      </c>
      <c r="M24" s="161"/>
      <c r="N24" s="161">
        <v>0.22331798079065787</v>
      </c>
      <c r="O24" s="161">
        <v>0.45631420609675499</v>
      </c>
      <c r="P24" s="161">
        <f t="shared" si="0"/>
        <v>0.30329175275542031</v>
      </c>
      <c r="Q24" s="161">
        <v>0.13252152677367424</v>
      </c>
      <c r="R24" s="161">
        <v>-0.11544546641650744</v>
      </c>
      <c r="S24" s="13"/>
      <c r="T24" s="13">
        <f t="shared" si="1"/>
        <v>1.7008260177117304E-3</v>
      </c>
      <c r="U24" s="13">
        <f t="shared" si="2"/>
        <v>7.8585009630750078E-3</v>
      </c>
      <c r="V24" s="157">
        <f t="shared" si="3"/>
        <v>6.1576749453632774E-3</v>
      </c>
      <c r="W24" s="13"/>
      <c r="X24" s="13">
        <f t="shared" si="9"/>
        <v>-7.9917398228826963E-4</v>
      </c>
      <c r="Y24" s="13">
        <f t="shared" si="10"/>
        <v>5.3585009630750073E-3</v>
      </c>
      <c r="Z24" s="13"/>
      <c r="AA24" s="13">
        <f t="shared" si="4"/>
        <v>-6.3784687847861268E-5</v>
      </c>
      <c r="AB24" s="13">
        <f t="shared" si="5"/>
        <v>5.5067106162330097E-3</v>
      </c>
      <c r="AC24" s="13">
        <f t="shared" si="6"/>
        <v>9.2024816460435979E-4</v>
      </c>
      <c r="AD24" s="13">
        <f t="shared" si="7"/>
        <v>1.8033368432492886E-4</v>
      </c>
      <c r="AE24" s="13">
        <f t="shared" si="8"/>
        <v>-3.8583283195115989E-4</v>
      </c>
      <c r="AF24" s="13"/>
      <c r="AG24" s="157">
        <f t="shared" si="11"/>
        <v>6.1576749453632774E-3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B24" s="18"/>
      <c r="BC24" s="18"/>
    </row>
    <row r="25" spans="1:55">
      <c r="A25" s="146">
        <v>44834</v>
      </c>
      <c r="B25" s="161">
        <v>-9.5250000000000005E-3</v>
      </c>
      <c r="C25" s="161">
        <v>-1.1209949184674772E-2</v>
      </c>
      <c r="D25" s="161">
        <v>8.4666666666666675E-3</v>
      </c>
      <c r="E25" s="161">
        <v>-3.4511565036016212E-2</v>
      </c>
      <c r="F25" s="161">
        <v>-3.263016085955318E-4</v>
      </c>
      <c r="G25" s="162"/>
      <c r="H25" s="161">
        <v>0.23411242697484913</v>
      </c>
      <c r="I25" s="161">
        <v>0.1302967930501418</v>
      </c>
      <c r="J25" s="161">
        <v>0.42597837702050217</v>
      </c>
      <c r="K25" s="161">
        <v>6.0471360354579291E-2</v>
      </c>
      <c r="L25" s="161">
        <v>0.14914104259992753</v>
      </c>
      <c r="M25" s="161"/>
      <c r="N25" s="161">
        <v>0.2937541029891384</v>
      </c>
      <c r="O25" s="161">
        <v>0.41666253048904223</v>
      </c>
      <c r="P25" s="161">
        <f t="shared" si="0"/>
        <v>0.27204838114091301</v>
      </c>
      <c r="Q25" s="161">
        <v>0.11553177300958173</v>
      </c>
      <c r="R25" s="161">
        <v>-9.7996787628675364E-2</v>
      </c>
      <c r="S25" s="13"/>
      <c r="T25" s="13">
        <f t="shared" si="1"/>
        <v>-2.2195506183147668E-3</v>
      </c>
      <c r="U25" s="13">
        <f t="shared" si="2"/>
        <v>-9.1206364530913228E-3</v>
      </c>
      <c r="V25" s="157">
        <f t="shared" si="3"/>
        <v>-6.9010858347765564E-3</v>
      </c>
      <c r="W25" s="13"/>
      <c r="X25" s="13">
        <f t="shared" si="9"/>
        <v>-4.7195506183147669E-3</v>
      </c>
      <c r="Y25" s="13">
        <f t="shared" si="10"/>
        <v>-1.1620636453091323E-2</v>
      </c>
      <c r="Z25" s="13"/>
      <c r="AA25" s="13">
        <f t="shared" si="4"/>
        <v>-4.3570924516126059E-4</v>
      </c>
      <c r="AB25" s="13">
        <f t="shared" si="5"/>
        <v>-2.5745421153253161E-3</v>
      </c>
      <c r="AC25" s="13">
        <f t="shared" si="6"/>
        <v>-1.6449293826455867E-3</v>
      </c>
      <c r="AD25" s="13">
        <f t="shared" si="7"/>
        <v>-1.7780116392999297E-3</v>
      </c>
      <c r="AE25" s="13">
        <f t="shared" si="8"/>
        <v>-4.6789345234446287E-4</v>
      </c>
      <c r="AF25" s="13"/>
      <c r="AG25" s="157">
        <f t="shared" si="11"/>
        <v>-6.9010858347765564E-3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B25" s="18"/>
      <c r="BC25" s="18"/>
    </row>
    <row r="26" spans="1:55">
      <c r="A26" s="146">
        <v>44865</v>
      </c>
      <c r="B26" s="161">
        <v>1.6975000000000001E-2</v>
      </c>
      <c r="C26" s="161">
        <v>4.781716591940495E-2</v>
      </c>
      <c r="D26" s="161">
        <v>-5.8333333333333414E-5</v>
      </c>
      <c r="E26" s="161">
        <v>3.9167665172143228E-2</v>
      </c>
      <c r="F26" s="161">
        <v>6.0404954895493584E-3</v>
      </c>
      <c r="G26" s="162"/>
      <c r="H26" s="161">
        <v>0.24180047047937722</v>
      </c>
      <c r="I26" s="161">
        <v>0.13304659385951281</v>
      </c>
      <c r="J26" s="161">
        <v>0.41189668355931958</v>
      </c>
      <c r="K26" s="161">
        <v>5.9895499699568949E-2</v>
      </c>
      <c r="L26" s="161">
        <v>0.15336075240222141</v>
      </c>
      <c r="M26" s="161"/>
      <c r="N26" s="161">
        <v>0.21013651819115939</v>
      </c>
      <c r="O26" s="161">
        <v>0.41153437914112628</v>
      </c>
      <c r="P26" s="161">
        <f t="shared" si="0"/>
        <v>0.38048073991624132</v>
      </c>
      <c r="Q26" s="161">
        <v>0.18186175322211964</v>
      </c>
      <c r="R26" s="161">
        <v>-0.18401339047064669</v>
      </c>
      <c r="S26" s="13"/>
      <c r="T26" s="13">
        <f t="shared" si="1"/>
        <v>1.3714788544148912E-2</v>
      </c>
      <c r="U26" s="13">
        <f t="shared" si="2"/>
        <v>2.9234848578065322E-2</v>
      </c>
      <c r="V26" s="157">
        <f t="shared" si="3"/>
        <v>1.552006003391641E-2</v>
      </c>
      <c r="W26" s="13"/>
      <c r="X26" s="13">
        <f t="shared" si="9"/>
        <v>1.1214788544148912E-2</v>
      </c>
      <c r="Y26" s="13">
        <f t="shared" si="10"/>
        <v>2.6734848578065323E-2</v>
      </c>
      <c r="Z26" s="13"/>
      <c r="AA26" s="13">
        <f t="shared" si="4"/>
        <v>-1.0323117998757007E-4</v>
      </c>
      <c r="AB26" s="13">
        <f t="shared" si="5"/>
        <v>9.497095548072855E-3</v>
      </c>
      <c r="AC26" s="13">
        <f t="shared" si="6"/>
        <v>4.3269562069223045E-4</v>
      </c>
      <c r="AD26" s="13">
        <f t="shared" si="7"/>
        <v>3.1043920036881601E-3</v>
      </c>
      <c r="AE26" s="13">
        <f t="shared" si="8"/>
        <v>2.5891080414507293E-3</v>
      </c>
      <c r="AF26" s="13"/>
      <c r="AG26" s="157">
        <f t="shared" si="11"/>
        <v>1.5520060033916405E-2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B26" s="18"/>
      <c r="BC26" s="18"/>
    </row>
    <row r="27" spans="1:55">
      <c r="A27" s="146">
        <v>44895</v>
      </c>
      <c r="B27" s="161">
        <v>1.25E-3</v>
      </c>
      <c r="C27" s="161">
        <v>1.3385481556260492E-2</v>
      </c>
      <c r="D27" s="161">
        <v>-1.0908333333333334E-2</v>
      </c>
      <c r="E27" s="161">
        <v>1.0292964458543177E-3</v>
      </c>
      <c r="F27" s="161">
        <v>2.644874299375224E-3</v>
      </c>
      <c r="G27" s="162"/>
      <c r="H27" s="161">
        <v>0.24509465984418824</v>
      </c>
      <c r="I27" s="161">
        <v>0.1386656381275666</v>
      </c>
      <c r="J27" s="161">
        <v>0.39730439706390908</v>
      </c>
      <c r="K27" s="161">
        <v>5.7050678853607491E-2</v>
      </c>
      <c r="L27" s="161">
        <v>0.16188462611072851</v>
      </c>
      <c r="M27" s="161"/>
      <c r="N27" s="161">
        <v>0.25873377551965715</v>
      </c>
      <c r="O27" s="161">
        <v>0.30841391854206313</v>
      </c>
      <c r="P27" s="161">
        <f t="shared" si="0"/>
        <v>0.27805486661707696</v>
      </c>
      <c r="Q27" s="161">
        <v>0.10790217740248026</v>
      </c>
      <c r="R27" s="161">
        <v>4.6895261918722508E-2</v>
      </c>
      <c r="S27" s="13"/>
      <c r="T27" s="13">
        <f t="shared" si="1"/>
        <v>-1.6845675834814442E-3</v>
      </c>
      <c r="U27" s="13">
        <f t="shared" si="2"/>
        <v>1.6536662684353827E-3</v>
      </c>
      <c r="V27" s="157">
        <f t="shared" si="3"/>
        <v>3.3382338519168269E-3</v>
      </c>
      <c r="W27" s="13"/>
      <c r="X27" s="13">
        <f t="shared" si="9"/>
        <v>-4.1845675834814439E-3</v>
      </c>
      <c r="Y27" s="13">
        <f t="shared" si="10"/>
        <v>-8.4633373156461737E-4</v>
      </c>
      <c r="Z27" s="13"/>
      <c r="AA27" s="13">
        <f t="shared" si="4"/>
        <v>4.0024906728584687E-5</v>
      </c>
      <c r="AB27" s="13">
        <f t="shared" si="5"/>
        <v>2.5581149272331559E-3</v>
      </c>
      <c r="AC27" s="13">
        <f t="shared" si="6"/>
        <v>1.0999297346214103E-3</v>
      </c>
      <c r="AD27" s="13">
        <f t="shared" si="7"/>
        <v>1.3800405274960549E-4</v>
      </c>
      <c r="AE27" s="13">
        <f t="shared" si="8"/>
        <v>-4.9783976941592954E-4</v>
      </c>
      <c r="AF27" s="13"/>
      <c r="AG27" s="157">
        <f t="shared" si="11"/>
        <v>3.3382338519168274E-3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B27" s="18"/>
      <c r="BC27" s="18"/>
    </row>
    <row r="28" spans="1:55">
      <c r="A28" s="146">
        <v>44926</v>
      </c>
      <c r="B28" s="161">
        <v>2.0899999999999998E-2</v>
      </c>
      <c r="C28" s="161">
        <v>4.716385529249819E-2</v>
      </c>
      <c r="D28" s="161">
        <v>2.3491666666666668E-2</v>
      </c>
      <c r="E28" s="161">
        <v>2.9211043918329717E-2</v>
      </c>
      <c r="F28" s="161">
        <v>5.7231741404435892E-3</v>
      </c>
      <c r="G28" s="162"/>
      <c r="H28" s="161">
        <v>0.25169103837777307</v>
      </c>
      <c r="I28" s="161">
        <v>0.12980401565135188</v>
      </c>
      <c r="J28" s="161">
        <v>0.41190054628498413</v>
      </c>
      <c r="K28" s="161">
        <v>5.5044782648892898E-2</v>
      </c>
      <c r="L28" s="161">
        <v>0.151559617036998</v>
      </c>
      <c r="M28" s="161"/>
      <c r="N28" s="161">
        <v>0.28034313762067264</v>
      </c>
      <c r="O28" s="161">
        <v>0.36009667624184594</v>
      </c>
      <c r="P28" s="161">
        <f t="shared" si="0"/>
        <v>0.37833101013757781</v>
      </c>
      <c r="Q28" s="161">
        <v>0.10512844029579388</v>
      </c>
      <c r="R28" s="161">
        <v>-0.12389926429589027</v>
      </c>
      <c r="S28" s="13"/>
      <c r="T28" s="13">
        <f t="shared" si="1"/>
        <v>2.3533948490199144E-2</v>
      </c>
      <c r="U28" s="13">
        <f t="shared" si="2"/>
        <v>3.4092159506775029E-2</v>
      </c>
      <c r="V28" s="157">
        <f t="shared" si="3"/>
        <v>1.0558211016575884E-2</v>
      </c>
      <c r="W28" s="13"/>
      <c r="X28" s="13">
        <f t="shared" si="9"/>
        <v>2.1033948490199145E-2</v>
      </c>
      <c r="Y28" s="13">
        <f t="shared" si="10"/>
        <v>3.1592159506775026E-2</v>
      </c>
      <c r="Z28" s="13"/>
      <c r="AA28" s="13">
        <f t="shared" si="4"/>
        <v>-7.5468153541871427E-5</v>
      </c>
      <c r="AB28" s="13">
        <f t="shared" si="5"/>
        <v>5.4417941070068606E-3</v>
      </c>
      <c r="AC28" s="13">
        <f t="shared" si="6"/>
        <v>1.4193812034517252E-6</v>
      </c>
      <c r="AD28" s="13">
        <f t="shared" si="7"/>
        <v>2.8432970385127836E-4</v>
      </c>
      <c r="AE28" s="13">
        <f t="shared" si="8"/>
        <v>4.9061359780561654E-3</v>
      </c>
      <c r="AF28" s="13"/>
      <c r="AG28" s="157">
        <f t="shared" si="11"/>
        <v>1.0558211016575884E-2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B28" s="18"/>
      <c r="BC28" s="18"/>
    </row>
    <row r="29" spans="1:55">
      <c r="A29" s="146">
        <v>44957</v>
      </c>
      <c r="B29" s="161">
        <v>1.2449999999999999E-2</v>
      </c>
      <c r="C29" s="161">
        <v>3.4784271941571208E-2</v>
      </c>
      <c r="D29" s="161">
        <v>2.8916666666666665E-3</v>
      </c>
      <c r="E29" s="161">
        <v>2.2176877216475745E-2</v>
      </c>
      <c r="F29" s="161">
        <v>4.0260585420292053E-3</v>
      </c>
      <c r="G29" s="162"/>
      <c r="H29" s="161">
        <v>0.25770056943433217</v>
      </c>
      <c r="I29" s="161">
        <v>0.1301898649343414</v>
      </c>
      <c r="J29" s="161">
        <v>0.40637589143101432</v>
      </c>
      <c r="K29" s="161">
        <v>5.3009089090378693E-2</v>
      </c>
      <c r="L29" s="161">
        <v>0.15272458510993342</v>
      </c>
      <c r="M29" s="161"/>
      <c r="N29" s="161">
        <v>0.26406454604084928</v>
      </c>
      <c r="O29" s="161">
        <v>0.38284026998063864</v>
      </c>
      <c r="P29" s="161">
        <f t="shared" si="0"/>
        <v>0.32270306523343373</v>
      </c>
      <c r="Q29" s="161">
        <v>0.15703067108643634</v>
      </c>
      <c r="R29" s="161">
        <v>-0.12663855234135801</v>
      </c>
      <c r="S29" s="13"/>
      <c r="T29" s="13">
        <f t="shared" si="1"/>
        <v>1.0702489555332274E-2</v>
      </c>
      <c r="U29" s="13">
        <f t="shared" si="2"/>
        <v>2.0510169042866878E-2</v>
      </c>
      <c r="V29" s="157">
        <f t="shared" si="3"/>
        <v>9.8076794875346044E-3</v>
      </c>
      <c r="W29" s="13"/>
      <c r="X29" s="13">
        <f t="shared" si="9"/>
        <v>8.2024895553322735E-3</v>
      </c>
      <c r="Y29" s="13">
        <f t="shared" si="10"/>
        <v>1.801016904286688E-2</v>
      </c>
      <c r="Z29" s="13"/>
      <c r="AA29" s="13">
        <f t="shared" si="4"/>
        <v>1.1121115589509712E-5</v>
      </c>
      <c r="AB29" s="13">
        <f t="shared" si="5"/>
        <v>6.0842720741200521E-3</v>
      </c>
      <c r="AC29" s="13">
        <f t="shared" si="6"/>
        <v>6.5355362602340181E-4</v>
      </c>
      <c r="AD29" s="13">
        <f t="shared" si="7"/>
        <v>1.1935839569481878E-3</v>
      </c>
      <c r="AE29" s="13">
        <f t="shared" si="8"/>
        <v>1.8651487148534502E-3</v>
      </c>
      <c r="AF29" s="13"/>
      <c r="AG29" s="157">
        <f t="shared" si="11"/>
        <v>9.8076794875346009E-3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B29" s="18"/>
      <c r="BC29" s="18"/>
    </row>
    <row r="30" spans="1:55">
      <c r="A30" s="146">
        <v>44985</v>
      </c>
      <c r="B30" s="161">
        <v>2.1874999999999999E-2</v>
      </c>
      <c r="C30" s="161">
        <v>4.9243424207913625E-2</v>
      </c>
      <c r="D30" s="161">
        <v>1.5466666666666667E-2</v>
      </c>
      <c r="E30" s="161">
        <v>3.1395181749160589E-2</v>
      </c>
      <c r="F30" s="161">
        <v>6.840332421716739E-3</v>
      </c>
      <c r="G30" s="162"/>
      <c r="H30" s="161">
        <v>0.26698427580410372</v>
      </c>
      <c r="I30" s="161">
        <v>0.12227464188590396</v>
      </c>
      <c r="J30" s="161">
        <v>0.41109194137821398</v>
      </c>
      <c r="K30" s="161">
        <v>5.0661600408827723E-2</v>
      </c>
      <c r="L30" s="161">
        <v>0.14898754052295052</v>
      </c>
      <c r="M30" s="161"/>
      <c r="N30" s="161">
        <v>0.28981811006608643</v>
      </c>
      <c r="O30" s="161">
        <v>0.28484796407284896</v>
      </c>
      <c r="P30" s="161">
        <f t="shared" si="0"/>
        <v>0.22601404843702394</v>
      </c>
      <c r="Q30" s="161">
        <v>8.5267477220957011E-2</v>
      </c>
      <c r="R30" s="161">
        <v>0.11405240020308371</v>
      </c>
      <c r="S30" s="13"/>
      <c r="T30" s="13">
        <f t="shared" si="1"/>
        <v>2.0829379576532241E-2</v>
      </c>
      <c r="U30" s="13">
        <f t="shared" si="2"/>
        <v>2.7319488511982903E-2</v>
      </c>
      <c r="V30" s="157">
        <f t="shared" si="3"/>
        <v>6.4901089354506628E-3</v>
      </c>
      <c r="W30" s="13"/>
      <c r="X30" s="13">
        <f t="shared" si="9"/>
        <v>1.8329379576532242E-2</v>
      </c>
      <c r="Y30" s="13">
        <f t="shared" si="10"/>
        <v>2.4819488511982905E-2</v>
      </c>
      <c r="Z30" s="13"/>
      <c r="AA30" s="13">
        <f t="shared" si="4"/>
        <v>2.3875523450406963E-5</v>
      </c>
      <c r="AB30" s="13">
        <f t="shared" si="5"/>
        <v>4.6193656324917997E-3</v>
      </c>
      <c r="AC30" s="13">
        <f t="shared" si="6"/>
        <v>9.925196058064383E-4</v>
      </c>
      <c r="AD30" s="13">
        <f t="shared" si="7"/>
        <v>3.6563884840730459E-4</v>
      </c>
      <c r="AE30" s="13">
        <f t="shared" si="8"/>
        <v>4.8870932529471297E-4</v>
      </c>
      <c r="AF30" s="13"/>
      <c r="AG30" s="157">
        <f t="shared" si="11"/>
        <v>6.4901089354506628E-3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B30" s="18"/>
      <c r="BC30" s="18"/>
    </row>
    <row r="31" spans="1:55">
      <c r="A31" s="146">
        <v>45016</v>
      </c>
      <c r="B31" s="161">
        <v>-1.0975E-2</v>
      </c>
      <c r="C31" s="161">
        <v>1.1154121808765929E-3</v>
      </c>
      <c r="D31" s="161">
        <v>1.1366666666666667E-2</v>
      </c>
      <c r="E31" s="161">
        <v>-7.7608423049134803E-3</v>
      </c>
      <c r="F31" s="161">
        <v>1.3633579337544507E-3</v>
      </c>
      <c r="G31" s="162"/>
      <c r="H31" s="161">
        <v>0.25237206032226855</v>
      </c>
      <c r="I31" s="161">
        <v>0.12807842189479998</v>
      </c>
      <c r="J31" s="161">
        <v>0.42491437612690797</v>
      </c>
      <c r="K31" s="161">
        <v>5.567248963639581E-2</v>
      </c>
      <c r="L31" s="161">
        <v>0.13896265201962765</v>
      </c>
      <c r="M31" s="161"/>
      <c r="N31" s="161">
        <v>0.25365443991893732</v>
      </c>
      <c r="O31" s="161">
        <v>0.41145510499632365</v>
      </c>
      <c r="P31" s="161">
        <f t="shared" si="0"/>
        <v>0.39182696312091142</v>
      </c>
      <c r="Q31" s="161">
        <v>0.128701789114326</v>
      </c>
      <c r="R31" s="161">
        <v>-0.1856382971504984</v>
      </c>
      <c r="S31" s="13"/>
      <c r="T31" s="13">
        <f t="shared" si="1"/>
        <v>1.9603273664977219E-3</v>
      </c>
      <c r="U31" s="13">
        <f t="shared" si="2"/>
        <v>8.7692530378880051E-4</v>
      </c>
      <c r="V31" s="157">
        <f t="shared" si="3"/>
        <v>-1.0834020627089214E-3</v>
      </c>
      <c r="W31" s="13"/>
      <c r="X31" s="13">
        <f t="shared" si="9"/>
        <v>-5.3967263350227813E-4</v>
      </c>
      <c r="Y31" s="13">
        <f t="shared" si="10"/>
        <v>-1.6230746962111995E-3</v>
      </c>
      <c r="Z31" s="13"/>
      <c r="AA31" s="13">
        <f t="shared" si="4"/>
        <v>-1.6587999891027854E-5</v>
      </c>
      <c r="AB31" s="13">
        <f t="shared" si="5"/>
        <v>-2.394292628034237E-4</v>
      </c>
      <c r="AC31" s="13">
        <f t="shared" si="6"/>
        <v>-3.1123143329922639E-4</v>
      </c>
      <c r="AD31" s="13">
        <f t="shared" si="7"/>
        <v>-7.0993021120926091E-4</v>
      </c>
      <c r="AE31" s="13">
        <f t="shared" si="8"/>
        <v>1.9377684449401757E-4</v>
      </c>
      <c r="AF31" s="13"/>
      <c r="AG31" s="157">
        <f t="shared" si="11"/>
        <v>-1.0834020627089214E-3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B31" s="18"/>
      <c r="BC31" s="18"/>
    </row>
    <row r="32" spans="1:55">
      <c r="A32" s="146">
        <v>45046</v>
      </c>
      <c r="B32" s="161">
        <v>6.025E-3</v>
      </c>
      <c r="C32" s="161">
        <v>2.901978197903736E-2</v>
      </c>
      <c r="D32" s="161">
        <v>-1.6783333333333334E-2</v>
      </c>
      <c r="E32" s="161">
        <v>2.1072897291408051E-2</v>
      </c>
      <c r="F32" s="161">
        <v>4.2716256365270969E-3</v>
      </c>
      <c r="G32" s="162"/>
      <c r="H32" s="161">
        <v>0.25846737722480989</v>
      </c>
      <c r="I32" s="161">
        <v>0.13670078544135711</v>
      </c>
      <c r="J32" s="161">
        <v>0.39640862607083227</v>
      </c>
      <c r="K32" s="161">
        <v>5.6126292384132047E-2</v>
      </c>
      <c r="L32" s="161">
        <v>0.15229691887886873</v>
      </c>
      <c r="M32" s="161"/>
      <c r="N32" s="161">
        <v>0.28522449878183048</v>
      </c>
      <c r="O32" s="161">
        <v>0.45862822046692986</v>
      </c>
      <c r="P32" s="161">
        <f t="shared" si="0"/>
        <v>0.28629160477291282</v>
      </c>
      <c r="Q32" s="161">
        <v>0.10212751253186866</v>
      </c>
      <c r="R32" s="161">
        <v>-0.1322718365535418</v>
      </c>
      <c r="S32" s="13"/>
      <c r="T32" s="13">
        <f t="shared" si="1"/>
        <v>7.0453384790077392E-4</v>
      </c>
      <c r="U32" s="13">
        <f t="shared" si="2"/>
        <v>1.1809947953304419E-2</v>
      </c>
      <c r="V32" s="157">
        <f t="shared" si="3"/>
        <v>1.1105414105403645E-2</v>
      </c>
      <c r="W32" s="13"/>
      <c r="X32" s="13">
        <f t="shared" si="9"/>
        <v>-1.7954661520992261E-3</v>
      </c>
      <c r="Y32" s="13">
        <f t="shared" si="10"/>
        <v>9.3099479533044188E-3</v>
      </c>
      <c r="Z32" s="13"/>
      <c r="AA32" s="13">
        <f t="shared" si="4"/>
        <v>1.4236035957173259E-4</v>
      </c>
      <c r="AB32" s="13">
        <f t="shared" si="5"/>
        <v>9.1154552029694431E-3</v>
      </c>
      <c r="AC32" s="13">
        <f t="shared" si="6"/>
        <v>1.9257118428511429E-3</v>
      </c>
      <c r="AD32" s="13">
        <f t="shared" si="7"/>
        <v>9.3696957081388895E-4</v>
      </c>
      <c r="AE32" s="13">
        <f t="shared" si="8"/>
        <v>-1.015082870802564E-3</v>
      </c>
      <c r="AF32" s="13"/>
      <c r="AG32" s="157">
        <f t="shared" si="11"/>
        <v>1.1105414105403643E-2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B32" s="18"/>
      <c r="BC32" s="18"/>
    </row>
    <row r="33" spans="1:55">
      <c r="A33" s="146">
        <v>45077</v>
      </c>
      <c r="B33" s="161">
        <v>-4.4749999999999998E-3</v>
      </c>
      <c r="C33" s="161">
        <v>1.6448666422511429E-4</v>
      </c>
      <c r="D33" s="161">
        <v>-1.0383333333333333E-2</v>
      </c>
      <c r="E33" s="161">
        <v>-1.7962693338216439E-2</v>
      </c>
      <c r="F33" s="161">
        <v>1.8512082849274157E-3</v>
      </c>
      <c r="G33" s="162"/>
      <c r="H33" s="161">
        <v>0.25891470086660118</v>
      </c>
      <c r="I33" s="161">
        <v>0.13775537865186904</v>
      </c>
      <c r="J33" s="161">
        <v>0.38753896317983072</v>
      </c>
      <c r="K33" s="161">
        <v>5.4609030461982858E-2</v>
      </c>
      <c r="L33" s="161">
        <v>0.16118192683971608</v>
      </c>
      <c r="M33" s="161"/>
      <c r="N33" s="161">
        <v>0.27909690332556492</v>
      </c>
      <c r="O33" s="161">
        <v>0.36673222778257308</v>
      </c>
      <c r="P33" s="161">
        <f t="shared" si="0"/>
        <v>0.36501405784234436</v>
      </c>
      <c r="Q33" s="161">
        <v>0.17440545699977877</v>
      </c>
      <c r="R33" s="161">
        <v>-0.18524864595026114</v>
      </c>
      <c r="S33" s="13"/>
      <c r="T33" s="13">
        <f t="shared" si="1"/>
        <v>-5.8424745473547738E-3</v>
      </c>
      <c r="U33" s="13">
        <f t="shared" si="2"/>
        <v>-8.4544242842530069E-3</v>
      </c>
      <c r="V33" s="157">
        <f t="shared" si="3"/>
        <v>-2.6119497368982331E-3</v>
      </c>
      <c r="W33" s="13"/>
      <c r="X33" s="13">
        <f t="shared" si="9"/>
        <v>-8.3424745473547734E-3</v>
      </c>
      <c r="Y33" s="13">
        <f t="shared" si="10"/>
        <v>-1.0954424284253007E-2</v>
      </c>
      <c r="Z33" s="13"/>
      <c r="AA33" s="13">
        <f t="shared" si="4"/>
        <v>2.7598648172193845E-5</v>
      </c>
      <c r="AB33" s="13">
        <f t="shared" si="5"/>
        <v>1.3754550510779193E-3</v>
      </c>
      <c r="AC33" s="13">
        <f t="shared" si="6"/>
        <v>1.0228241430506026E-4</v>
      </c>
      <c r="AD33" s="13">
        <f t="shared" si="7"/>
        <v>-1.4519589000014732E-3</v>
      </c>
      <c r="AE33" s="13">
        <f t="shared" si="8"/>
        <v>-2.6653269504519333E-3</v>
      </c>
      <c r="AF33" s="13"/>
      <c r="AG33" s="157">
        <f t="shared" si="11"/>
        <v>-2.6119497368982331E-3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B33" s="18"/>
      <c r="BC33" s="18"/>
    </row>
    <row r="34" spans="1:55">
      <c r="A34" s="146">
        <v>45107</v>
      </c>
      <c r="B34" s="161">
        <v>2.9250000000000001E-3</v>
      </c>
      <c r="C34" s="161">
        <v>1.29500569094831E-2</v>
      </c>
      <c r="D34" s="161">
        <v>-1.9333333333333336E-3</v>
      </c>
      <c r="E34" s="161">
        <v>-7.3165528477004659E-3</v>
      </c>
      <c r="F34" s="161">
        <v>2.2791069568063541E-3</v>
      </c>
      <c r="G34" s="162"/>
      <c r="H34" s="161">
        <v>0.26194913880038728</v>
      </c>
      <c r="I34" s="161">
        <v>0.13363452110367249</v>
      </c>
      <c r="J34" s="161">
        <v>0.38454953490925786</v>
      </c>
      <c r="K34" s="161">
        <v>5.3217543600630329E-2</v>
      </c>
      <c r="L34" s="161">
        <v>0.16664926158605209</v>
      </c>
      <c r="M34" s="161"/>
      <c r="N34" s="161">
        <v>0.27329423598957436</v>
      </c>
      <c r="O34" s="161">
        <v>0.3381928017338261</v>
      </c>
      <c r="P34" s="161">
        <f t="shared" si="0"/>
        <v>0.26367055375472936</v>
      </c>
      <c r="Q34" s="161">
        <v>0.13108910655763731</v>
      </c>
      <c r="R34" s="161">
        <v>-6.246698035767162E-3</v>
      </c>
      <c r="S34" s="13"/>
      <c r="T34" s="13">
        <f t="shared" si="1"/>
        <v>1.743755971445911E-3</v>
      </c>
      <c r="U34" s="13">
        <f t="shared" si="2"/>
        <v>3.6958813296704331E-3</v>
      </c>
      <c r="V34" s="157">
        <f t="shared" si="3"/>
        <v>1.9521253582245222E-3</v>
      </c>
      <c r="W34" s="13"/>
      <c r="X34" s="13">
        <f t="shared" si="9"/>
        <v>-7.562440285540891E-4</v>
      </c>
      <c r="Y34" s="13">
        <f t="shared" si="10"/>
        <v>1.1958813296704331E-3</v>
      </c>
      <c r="Z34" s="13"/>
      <c r="AA34" s="13">
        <f t="shared" si="4"/>
        <v>1.340132830809302E-5</v>
      </c>
      <c r="AB34" s="13">
        <f t="shared" si="5"/>
        <v>2.2923416521089647E-3</v>
      </c>
      <c r="AC34" s="13">
        <f t="shared" si="6"/>
        <v>4.4448280877592861E-4</v>
      </c>
      <c r="AD34" s="13">
        <f t="shared" si="7"/>
        <v>-7.055404086200827E-4</v>
      </c>
      <c r="AE34" s="13">
        <f t="shared" si="8"/>
        <v>-9.256002234838033E-5</v>
      </c>
      <c r="AF34" s="13"/>
      <c r="AG34" s="157">
        <f t="shared" si="11"/>
        <v>1.9521253582245233E-3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B34" s="18"/>
      <c r="BC34" s="18"/>
    </row>
    <row r="35" spans="1:55">
      <c r="A35" s="146">
        <v>45138</v>
      </c>
      <c r="B35" s="161">
        <v>-1.555E-2</v>
      </c>
      <c r="C35" s="161">
        <v>-1.8509634020949302E-2</v>
      </c>
      <c r="D35" s="161">
        <v>-1.7333333333333335E-3</v>
      </c>
      <c r="E35" s="161">
        <v>-3.7135934708565271E-2</v>
      </c>
      <c r="F35" s="161">
        <v>-1.0362668806119428E-4</v>
      </c>
      <c r="G35" s="162"/>
      <c r="H35" s="161">
        <v>0.25217298631798468</v>
      </c>
      <c r="I35" s="161">
        <v>0.1348568435250784</v>
      </c>
      <c r="J35" s="161">
        <v>0.39201442958258731</v>
      </c>
      <c r="K35" s="161">
        <v>5.423057443190385E-2</v>
      </c>
      <c r="L35" s="161">
        <v>0.16672516614244554</v>
      </c>
      <c r="M35" s="161"/>
      <c r="N35" s="161">
        <v>0.27454406967570533</v>
      </c>
      <c r="O35" s="161">
        <v>0.3260325917396697</v>
      </c>
      <c r="P35" s="161">
        <f t="shared" si="0"/>
        <v>0.27119506580575997</v>
      </c>
      <c r="Q35" s="161">
        <v>2.7075621904414329E-2</v>
      </c>
      <c r="R35" s="161">
        <v>0.10115265087445069</v>
      </c>
      <c r="S35" s="13"/>
      <c r="T35" s="13">
        <f t="shared" si="1"/>
        <v>-9.1281126821524047E-3</v>
      </c>
      <c r="U35" s="13">
        <f t="shared" si="2"/>
        <v>-1.1789936324291593E-2</v>
      </c>
      <c r="V35" s="157">
        <f t="shared" si="3"/>
        <v>-2.661823642139188E-3</v>
      </c>
      <c r="W35" s="13"/>
      <c r="X35" s="13">
        <f t="shared" si="9"/>
        <v>-1.1628112682152405E-2</v>
      </c>
      <c r="Y35" s="13">
        <f t="shared" si="10"/>
        <v>-1.4289936324291593E-2</v>
      </c>
      <c r="Z35" s="13"/>
      <c r="AA35" s="13">
        <f t="shared" si="4"/>
        <v>-1.436645765014576E-4</v>
      </c>
      <c r="AB35" s="13">
        <f t="shared" si="5"/>
        <v>-1.793519361335651E-3</v>
      </c>
      <c r="AC35" s="13">
        <f t="shared" si="6"/>
        <v>-8.9343253619434174E-4</v>
      </c>
      <c r="AD35" s="13">
        <f t="shared" si="7"/>
        <v>7.6055107752561672E-4</v>
      </c>
      <c r="AE35" s="13">
        <f t="shared" si="8"/>
        <v>-5.9175824563335161E-4</v>
      </c>
      <c r="AF35" s="13"/>
      <c r="AG35" s="157">
        <f t="shared" si="11"/>
        <v>-2.6618236421391854E-3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B35" s="18"/>
      <c r="BC35" s="18"/>
    </row>
    <row r="36" spans="1:55">
      <c r="A36" s="146">
        <v>45169</v>
      </c>
      <c r="B36" s="161">
        <v>-3.4749999999999998E-3</v>
      </c>
      <c r="C36" s="161">
        <v>9.118145741289484E-3</v>
      </c>
      <c r="D36" s="161">
        <v>1.6816666666666667E-2</v>
      </c>
      <c r="E36" s="161">
        <v>-3.2553751840877047E-3</v>
      </c>
      <c r="F36" s="161">
        <v>2.1355063030117894E-3</v>
      </c>
      <c r="G36" s="162"/>
      <c r="H36" s="161">
        <v>0.24400045665199366</v>
      </c>
      <c r="I36" s="161">
        <v>0.13597344998176322</v>
      </c>
      <c r="J36" s="161">
        <v>0.41053115163828241</v>
      </c>
      <c r="K36" s="161">
        <v>5.6107474496297965E-2</v>
      </c>
      <c r="L36" s="161">
        <v>0.15338746723166274</v>
      </c>
      <c r="M36" s="161"/>
      <c r="N36" s="161">
        <v>0.26650705472027847</v>
      </c>
      <c r="O36" s="161">
        <v>0.37082759029952922</v>
      </c>
      <c r="P36" s="161">
        <f t="shared" si="0"/>
        <v>0.37279522026205414</v>
      </c>
      <c r="Q36" s="161">
        <v>0.15065274697748918</v>
      </c>
      <c r="R36" s="161">
        <v>-0.16078261225935098</v>
      </c>
      <c r="S36" s="13"/>
      <c r="T36" s="13">
        <f t="shared" si="1"/>
        <v>7.4405987033569054E-3</v>
      </c>
      <c r="U36" s="13">
        <f t="shared" si="2"/>
        <v>7.8905374563431642E-3</v>
      </c>
      <c r="V36" s="157">
        <f t="shared" si="3"/>
        <v>4.4993875298625884E-4</v>
      </c>
      <c r="W36" s="13"/>
      <c r="X36" s="13">
        <f t="shared" si="9"/>
        <v>4.9405987033569049E-3</v>
      </c>
      <c r="Y36" s="13">
        <f t="shared" si="10"/>
        <v>5.3905374563431637E-3</v>
      </c>
      <c r="Z36" s="13"/>
      <c r="AA36" s="13">
        <f t="shared" si="4"/>
        <v>-2.4567299269114473E-4</v>
      </c>
      <c r="AB36" s="13">
        <f t="shared" si="5"/>
        <v>3.9397886743627056E-4</v>
      </c>
      <c r="AC36" s="13">
        <f t="shared" si="6"/>
        <v>-3.5381465724230955E-4</v>
      </c>
      <c r="AD36" s="13">
        <f t="shared" si="7"/>
        <v>-1.0112537656401567E-3</v>
      </c>
      <c r="AE36" s="13">
        <f t="shared" si="8"/>
        <v>1.6667013011235977E-3</v>
      </c>
      <c r="AF36" s="13"/>
      <c r="AG36" s="157">
        <f t="shared" si="11"/>
        <v>4.4993875298625732E-4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B36" s="18"/>
      <c r="BC36" s="18"/>
    </row>
    <row r="37" spans="1:55">
      <c r="A37" s="146">
        <v>45199</v>
      </c>
      <c r="B37" s="161">
        <v>-1.475E-3</v>
      </c>
      <c r="C37" s="161">
        <v>1.1793480192113201E-2</v>
      </c>
      <c r="D37" s="161">
        <v>2.2966666666666666E-2</v>
      </c>
      <c r="E37" s="161">
        <v>-5.6047062824402631E-3</v>
      </c>
      <c r="F37" s="161">
        <v>2.1330283925976258E-3</v>
      </c>
      <c r="G37" s="162"/>
      <c r="H37" s="161">
        <v>0.23570774204339934</v>
      </c>
      <c r="I37" s="161">
        <v>0.13037001268797899</v>
      </c>
      <c r="J37" s="161">
        <v>0.43558093208595922</v>
      </c>
      <c r="K37" s="161">
        <v>5.8856780470960289E-2</v>
      </c>
      <c r="L37" s="161">
        <v>0.13948453271170214</v>
      </c>
      <c r="M37" s="161"/>
      <c r="N37" s="161">
        <v>0.22946453046761556</v>
      </c>
      <c r="O37" s="161">
        <v>0.28672007190330762</v>
      </c>
      <c r="P37" s="161">
        <f t="shared" si="0"/>
        <v>0.38359644743914056</v>
      </c>
      <c r="Q37" s="161">
        <v>8.9392441118980287E-2</v>
      </c>
      <c r="R37" s="161">
        <v>1.0826509070956059E-2</v>
      </c>
      <c r="S37" s="13"/>
      <c r="T37" s="13">
        <f t="shared" ref="T37:T64" si="12">SUMPRODUCT(H37:L37,B37:F37)</f>
        <v>1.1161338817673885E-2</v>
      </c>
      <c r="U37" s="13">
        <f t="shared" ref="U37:U64" si="13">SUMPRODUCT(N37:R37,B37:F37)</f>
        <v>1.1374973923984304E-2</v>
      </c>
      <c r="V37" s="157">
        <f t="shared" ref="V37:V64" si="14">SUMPRODUCT(N37:R37,B37:F37)-T37</f>
        <v>2.1363510631041902E-4</v>
      </c>
      <c r="W37" s="13"/>
      <c r="X37" s="13">
        <f t="shared" si="9"/>
        <v>8.6613388176738845E-3</v>
      </c>
      <c r="Y37" s="13">
        <f t="shared" si="10"/>
        <v>8.8749739239843035E-3</v>
      </c>
      <c r="Z37" s="13"/>
      <c r="AA37" s="13">
        <f t="shared" ref="AA37:AA64" si="15">(N37-H37)*(B37-$T37)</f>
        <v>7.8891336782027532E-5</v>
      </c>
      <c r="AB37" s="13">
        <f t="shared" ref="AB37:AB64" si="16">(O37-I37)*(C37-$T37)</f>
        <v>9.8835341326046228E-5</v>
      </c>
      <c r="AC37" s="13">
        <f t="shared" ref="AC37:AC64" si="17">(P37-J37)*(D37-$T37)</f>
        <v>-6.136938843166259E-4</v>
      </c>
      <c r="AD37" s="13">
        <f t="shared" ref="AD37:AD64" si="18">(Q37-K37)*(E37-$T37)</f>
        <v>-5.1196226358648405E-4</v>
      </c>
      <c r="AE37" s="13">
        <f t="shared" ref="AE37:AE64" si="19">(R37-L37)*(F37-$T37)</f>
        <v>1.1615645761054558E-3</v>
      </c>
      <c r="AF37" s="13"/>
      <c r="AG37" s="157">
        <f t="shared" si="11"/>
        <v>2.1363510631041967E-4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B37" s="18"/>
      <c r="BC37" s="18"/>
    </row>
    <row r="38" spans="1:55">
      <c r="A38" s="146">
        <v>45230</v>
      </c>
      <c r="B38" s="161">
        <v>-1.075E-3</v>
      </c>
      <c r="C38" s="161">
        <v>1.4751413418177978E-2</v>
      </c>
      <c r="D38" s="161">
        <v>2.1641666666666667E-2</v>
      </c>
      <c r="E38" s="161">
        <v>4.0361601696892908E-3</v>
      </c>
      <c r="F38" s="161">
        <v>2.9793041837017516E-3</v>
      </c>
      <c r="G38" s="162"/>
      <c r="H38" s="161">
        <v>0.22632352744638687</v>
      </c>
      <c r="I38" s="161">
        <v>0.1316374286888661</v>
      </c>
      <c r="J38" s="161">
        <v>0.45640730441027416</v>
      </c>
      <c r="K38" s="161">
        <v>6.1264129134291662E-2</v>
      </c>
      <c r="L38" s="161">
        <v>0.12436761032018123</v>
      </c>
      <c r="M38" s="161"/>
      <c r="N38" s="161">
        <v>0.25641112765182972</v>
      </c>
      <c r="O38" s="161">
        <v>0.3273896632933086</v>
      </c>
      <c r="P38" s="161">
        <f t="shared" si="0"/>
        <v>0.32171878307770096</v>
      </c>
      <c r="Q38" s="161">
        <v>0.14138276928228524</v>
      </c>
      <c r="R38" s="161">
        <v>-4.690234330512455E-2</v>
      </c>
      <c r="S38" s="13"/>
      <c r="T38" s="13">
        <f t="shared" si="12"/>
        <v>1.2193755865755973E-2</v>
      </c>
      <c r="U38" s="13">
        <f t="shared" si="13"/>
        <v>1.1947256128048367E-2</v>
      </c>
      <c r="V38" s="157">
        <f t="shared" si="14"/>
        <v>-2.4649973770760579E-4</v>
      </c>
      <c r="W38" s="13"/>
      <c r="X38" s="13">
        <f t="shared" si="9"/>
        <v>9.6937558657559722E-3</v>
      </c>
      <c r="Y38" s="13">
        <f t="shared" si="10"/>
        <v>9.4472561280483664E-3</v>
      </c>
      <c r="Z38" s="13"/>
      <c r="AA38" s="13">
        <f t="shared" si="15"/>
        <v>-3.9922502171249038E-4</v>
      </c>
      <c r="AB38" s="13">
        <f t="shared" si="16"/>
        <v>5.0066718123953661E-4</v>
      </c>
      <c r="AC38" s="13">
        <f t="shared" si="17"/>
        <v>-1.2725251354567088E-3</v>
      </c>
      <c r="AD38" s="13">
        <f t="shared" si="18"/>
        <v>-6.5357547404598767E-4</v>
      </c>
      <c r="AE38" s="13">
        <f t="shared" si="19"/>
        <v>1.5781587122680471E-3</v>
      </c>
      <c r="AF38" s="13"/>
      <c r="AG38" s="157">
        <f t="shared" si="11"/>
        <v>-2.4649973770760319E-4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B38" s="18"/>
      <c r="BC38" s="18"/>
    </row>
    <row r="39" spans="1:55">
      <c r="A39" s="146">
        <v>45260</v>
      </c>
      <c r="B39" s="161">
        <v>1.9750000000000002E-3</v>
      </c>
      <c r="C39" s="161">
        <v>1.0225458435541075E-2</v>
      </c>
      <c r="D39" s="161">
        <v>-4.3583333333333339E-3</v>
      </c>
      <c r="E39" s="161">
        <v>-9.3407497955845138E-3</v>
      </c>
      <c r="F39" s="161">
        <v>2.4591417556091618E-3</v>
      </c>
      <c r="G39" s="162"/>
      <c r="H39" s="161">
        <v>0.23005318637144964</v>
      </c>
      <c r="I39" s="161">
        <v>0.12943456324609132</v>
      </c>
      <c r="J39" s="161">
        <v>0.45226785088314397</v>
      </c>
      <c r="K39" s="161">
        <v>5.8591298008366571E-2</v>
      </c>
      <c r="L39" s="161">
        <v>0.12965310149094855</v>
      </c>
      <c r="M39" s="161"/>
      <c r="N39" s="161">
        <v>0.25493770381225483</v>
      </c>
      <c r="O39" s="161">
        <v>0.37652950180554901</v>
      </c>
      <c r="P39" s="161">
        <f t="shared" si="0"/>
        <v>0.42540110878886361</v>
      </c>
      <c r="Q39" s="161">
        <v>0.15350832644890747</v>
      </c>
      <c r="R39" s="161">
        <v>-0.21037664085557495</v>
      </c>
      <c r="S39" s="13"/>
      <c r="T39" s="13">
        <f t="shared" si="12"/>
        <v>-4.2170255969416074E-4</v>
      </c>
      <c r="U39" s="13">
        <f t="shared" si="13"/>
        <v>5.4842005219447897E-4</v>
      </c>
      <c r="V39" s="157">
        <f t="shared" si="14"/>
        <v>9.7012261188863971E-4</v>
      </c>
      <c r="W39" s="13"/>
      <c r="X39" s="13">
        <f t="shared" si="9"/>
        <v>-2.9217025596941608E-3</v>
      </c>
      <c r="Y39" s="13">
        <f t="shared" si="10"/>
        <v>-1.9515799478055211E-3</v>
      </c>
      <c r="Z39" s="13"/>
      <c r="AA39" s="13">
        <f t="shared" si="15"/>
        <v>5.9640786647131798E-5</v>
      </c>
      <c r="AB39" s="13">
        <f t="shared" si="16"/>
        <v>2.6308595919503049E-3</v>
      </c>
      <c r="AC39" s="13">
        <f t="shared" si="17"/>
        <v>1.0576444371577105E-4</v>
      </c>
      <c r="AD39" s="13">
        <f t="shared" si="18"/>
        <v>-8.4656946015153236E-4</v>
      </c>
      <c r="AE39" s="13">
        <f t="shared" si="19"/>
        <v>-9.7957275027303571E-4</v>
      </c>
      <c r="AF39" s="13"/>
      <c r="AG39" s="157">
        <f t="shared" si="11"/>
        <v>9.7012261188863949E-4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B39" s="18"/>
      <c r="BC39" s="18"/>
    </row>
    <row r="40" spans="1:55">
      <c r="A40" s="146">
        <v>45291</v>
      </c>
      <c r="B40" s="161">
        <v>-1.3825E-2</v>
      </c>
      <c r="C40" s="161">
        <v>-1.5338212261302395E-2</v>
      </c>
      <c r="D40" s="161">
        <v>9.1666666666666665E-4</v>
      </c>
      <c r="E40" s="161">
        <v>-3.2643091189271459E-2</v>
      </c>
      <c r="F40" s="161">
        <v>8.768632747902308E-5</v>
      </c>
      <c r="G40" s="162"/>
      <c r="H40" s="161">
        <v>0.2209994106307078</v>
      </c>
      <c r="I40" s="161">
        <v>0.1309040578883903</v>
      </c>
      <c r="J40" s="161">
        <v>0.46158763390871416</v>
      </c>
      <c r="K40" s="161">
        <v>5.934785222925211E-2</v>
      </c>
      <c r="L40" s="161">
        <v>0.12716104534293554</v>
      </c>
      <c r="M40" s="161"/>
      <c r="N40" s="161">
        <v>0.27468789812507216</v>
      </c>
      <c r="O40" s="161">
        <v>0.26267334022310729</v>
      </c>
      <c r="P40" s="161">
        <f t="shared" si="0"/>
        <v>0.3299461472007556</v>
      </c>
      <c r="Q40" s="161">
        <v>6.8678530218598544E-2</v>
      </c>
      <c r="R40" s="161">
        <v>6.4014084232466351E-2</v>
      </c>
      <c r="S40" s="13"/>
      <c r="T40" s="13">
        <f t="shared" si="12"/>
        <v>-6.5661761471201953E-3</v>
      </c>
      <c r="U40" s="13">
        <f t="shared" si="13"/>
        <v>-9.760315369089988E-3</v>
      </c>
      <c r="V40" s="157">
        <f t="shared" si="14"/>
        <v>-3.1941392219697927E-3</v>
      </c>
      <c r="W40" s="13"/>
      <c r="X40" s="13">
        <f t="shared" si="9"/>
        <v>-9.0661761471201949E-3</v>
      </c>
      <c r="Y40" s="13">
        <f t="shared" si="10"/>
        <v>-1.2260315369089989E-2</v>
      </c>
      <c r="Z40" s="13"/>
      <c r="AA40" s="13">
        <f t="shared" si="15"/>
        <v>-3.8971527364913114E-4</v>
      </c>
      <c r="AB40" s="13">
        <f t="shared" si="16"/>
        <v>-1.155884903380008E-3</v>
      </c>
      <c r="AC40" s="13">
        <f t="shared" si="17"/>
        <v>-9.8505255280886632E-4</v>
      </c>
      <c r="AD40" s="13">
        <f t="shared" si="18"/>
        <v>-2.4331529721385774E-4</v>
      </c>
      <c r="AE40" s="13">
        <f t="shared" si="19"/>
        <v>-4.2017119491792712E-4</v>
      </c>
      <c r="AF40" s="13"/>
      <c r="AG40" s="157">
        <f t="shared" si="11"/>
        <v>-3.1941392219697906E-3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B40" s="18"/>
      <c r="BC40" s="18"/>
    </row>
    <row r="41" spans="1:55">
      <c r="A41" s="146">
        <v>45322</v>
      </c>
      <c r="B41" s="161">
        <v>1.9337302505178625E-2</v>
      </c>
      <c r="C41" s="161">
        <v>3.1357061040860917E-2</v>
      </c>
      <c r="D41" s="161">
        <v>2.108336852532753E-2</v>
      </c>
      <c r="E41" s="161">
        <v>1.7466170442458406E-2</v>
      </c>
      <c r="F41" s="161">
        <v>2.1902479146536018E-2</v>
      </c>
      <c r="G41" s="162"/>
      <c r="H41" s="161">
        <v>0.22687859969308055</v>
      </c>
      <c r="I41" s="161">
        <v>0.12467728295447159</v>
      </c>
      <c r="J41" s="161">
        <v>0.46574031419433537</v>
      </c>
      <c r="K41" s="161">
        <v>5.7826189749873275E-2</v>
      </c>
      <c r="L41" s="161">
        <v>0.12487761340823927</v>
      </c>
      <c r="M41" s="161"/>
      <c r="N41" s="161">
        <v>0.22929159489089079</v>
      </c>
      <c r="O41" s="161">
        <v>0.37565833321303216</v>
      </c>
      <c r="P41" s="161">
        <f t="shared" si="0"/>
        <v>0.38283692051445495</v>
      </c>
      <c r="Q41" s="161">
        <v>0.22113625342561774</v>
      </c>
      <c r="R41" s="161">
        <v>-0.20892310204399567</v>
      </c>
      <c r="S41" s="13"/>
      <c r="T41" s="13">
        <f t="shared" si="12"/>
        <v>2.1861239377241857E-2</v>
      </c>
      <c r="U41" s="13">
        <f t="shared" si="13"/>
        <v>2.3571383705267204E-2</v>
      </c>
      <c r="V41" s="157">
        <f t="shared" si="14"/>
        <v>1.7101443280253467E-3</v>
      </c>
      <c r="W41" s="13"/>
      <c r="X41" s="13">
        <f t="shared" si="9"/>
        <v>1.9361239377241858E-2</v>
      </c>
      <c r="Y41" s="13">
        <f t="shared" si="10"/>
        <v>2.1071383705267205E-2</v>
      </c>
      <c r="Z41" s="13"/>
      <c r="AA41" s="13">
        <f t="shared" si="15"/>
        <v>-6.0902475518647799E-6</v>
      </c>
      <c r="AB41" s="13">
        <f t="shared" si="16"/>
        <v>2.3832712942031035E-3</v>
      </c>
      <c r="AC41" s="13">
        <f t="shared" si="17"/>
        <v>6.4488133468357429E-5</v>
      </c>
      <c r="AD41" s="13">
        <f t="shared" si="18"/>
        <v>-7.1775898759877173E-4</v>
      </c>
      <c r="AE41" s="13">
        <f t="shared" si="19"/>
        <v>-1.376586449547624E-5</v>
      </c>
      <c r="AF41" s="13"/>
      <c r="AG41" s="157">
        <f t="shared" si="11"/>
        <v>1.7101443280253485E-3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B41" s="18"/>
      <c r="BC41" s="18"/>
    </row>
    <row r="42" spans="1:55">
      <c r="A42" s="146">
        <v>45351</v>
      </c>
      <c r="B42" s="161">
        <v>1.4322552722726272E-2</v>
      </c>
      <c r="C42" s="161">
        <v>2.8438595923493619E-2</v>
      </c>
      <c r="D42" s="161">
        <v>2.204508367615372E-2</v>
      </c>
      <c r="E42" s="161">
        <v>3.0659477426794236E-2</v>
      </c>
      <c r="F42" s="161">
        <v>2.4495712453795324E-2</v>
      </c>
      <c r="G42" s="162"/>
      <c r="H42" s="161">
        <v>0.22686385049201729</v>
      </c>
      <c r="I42" s="161">
        <v>0.1251753361458609</v>
      </c>
      <c r="J42" s="161">
        <v>0.46955070064078297</v>
      </c>
      <c r="K42" s="161">
        <v>5.9588630932537176E-2</v>
      </c>
      <c r="L42" s="161">
        <v>0.11882148178880167</v>
      </c>
      <c r="M42" s="161"/>
      <c r="N42" s="161">
        <v>0.24664055473819557</v>
      </c>
      <c r="O42" s="161">
        <v>0.42647488563840263</v>
      </c>
      <c r="P42" s="161">
        <f t="shared" si="0"/>
        <v>0.43350370092574714</v>
      </c>
      <c r="Q42" s="161">
        <v>0.11542319410900496</v>
      </c>
      <c r="R42" s="161">
        <v>-0.22204233541135032</v>
      </c>
      <c r="S42" s="13"/>
      <c r="T42" s="13">
        <f t="shared" si="12"/>
        <v>2.1897937885816957E-2</v>
      </c>
      <c r="U42" s="13">
        <f t="shared" si="13"/>
        <v>2.3317224267327276E-2</v>
      </c>
      <c r="V42" s="157">
        <f t="shared" si="14"/>
        <v>1.4192863815103186E-3</v>
      </c>
      <c r="W42" s="13"/>
      <c r="X42" s="13">
        <f t="shared" si="9"/>
        <v>1.9397937885816958E-2</v>
      </c>
      <c r="Y42" s="13">
        <f t="shared" si="10"/>
        <v>2.0817224267327277E-2</v>
      </c>
      <c r="Z42" s="13"/>
      <c r="AA42" s="13">
        <f t="shared" si="15"/>
        <v>-1.4981615192133149E-4</v>
      </c>
      <c r="AB42" s="13">
        <f t="shared" si="16"/>
        <v>1.97069732013675E-3</v>
      </c>
      <c r="AC42" s="13">
        <f t="shared" si="17"/>
        <v>-5.3041642623380044E-6</v>
      </c>
      <c r="AD42" s="13">
        <f t="shared" si="18"/>
        <v>4.8919673302381646E-4</v>
      </c>
      <c r="AE42" s="13">
        <f t="shared" si="19"/>
        <v>-8.8548735546658175E-4</v>
      </c>
      <c r="AF42" s="13"/>
      <c r="AG42" s="157">
        <f t="shared" si="11"/>
        <v>1.4192863815103152E-3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B42" s="18"/>
      <c r="BC42" s="18"/>
    </row>
    <row r="43" spans="1:55">
      <c r="A43" s="146">
        <v>45382</v>
      </c>
      <c r="B43" s="161">
        <v>-1.4491540762292919E-2</v>
      </c>
      <c r="C43" s="161">
        <v>5.4183094999283813E-3</v>
      </c>
      <c r="D43" s="161">
        <v>-8.3421829209178351E-3</v>
      </c>
      <c r="E43" s="161">
        <v>-1.2274973523059096E-2</v>
      </c>
      <c r="F43" s="161">
        <v>-9.9714658712451113E-3</v>
      </c>
      <c r="G43" s="162"/>
      <c r="H43" s="161">
        <v>0.21541611389443036</v>
      </c>
      <c r="I43" s="161">
        <v>0.13194273259890565</v>
      </c>
      <c r="J43" s="161">
        <v>0.47323643434532325</v>
      </c>
      <c r="K43" s="161">
        <v>6.3767955022714262E-2</v>
      </c>
      <c r="L43" s="161">
        <v>0.11563676413862649</v>
      </c>
      <c r="M43" s="161"/>
      <c r="N43" s="161">
        <v>0.22512312017625422</v>
      </c>
      <c r="O43" s="161">
        <v>0.41572173068175855</v>
      </c>
      <c r="P43" s="161">
        <f t="shared" si="0"/>
        <v>0.3295354571644718</v>
      </c>
      <c r="Q43" s="161">
        <v>0.14699223536016809</v>
      </c>
      <c r="R43" s="161">
        <v>-0.11737254338265268</v>
      </c>
      <c r="S43" s="13"/>
      <c r="T43" s="13">
        <f t="shared" si="12"/>
        <v>-8.2904477406132958E-3</v>
      </c>
      <c r="U43" s="13">
        <f t="shared" si="13"/>
        <v>-4.392866419063399E-3</v>
      </c>
      <c r="V43" s="157">
        <f t="shared" si="14"/>
        <v>3.8975813215498967E-3</v>
      </c>
      <c r="W43" s="13"/>
      <c r="X43" s="13">
        <f t="shared" si="9"/>
        <v>-1.0790447740613296E-2</v>
      </c>
      <c r="Y43" s="13">
        <f t="shared" si="10"/>
        <v>-6.8928664190633995E-3</v>
      </c>
      <c r="Z43" s="13"/>
      <c r="AA43" s="13">
        <f t="shared" si="15"/>
        <v>-6.0194048915618199E-5</v>
      </c>
      <c r="AB43" s="13">
        <f t="shared" si="16"/>
        <v>3.8902573946819723E-3</v>
      </c>
      <c r="AC43" s="13">
        <f t="shared" si="17"/>
        <v>7.4343959643898415E-6</v>
      </c>
      <c r="AD43" s="13">
        <f t="shared" si="18"/>
        <v>-3.3160929073008184E-4</v>
      </c>
      <c r="AE43" s="13">
        <f t="shared" si="19"/>
        <v>3.9169287054923455E-4</v>
      </c>
      <c r="AF43" s="13"/>
      <c r="AG43" s="157">
        <f t="shared" si="11"/>
        <v>3.8975813215498967E-3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B43" s="18"/>
      <c r="BC43" s="18"/>
    </row>
    <row r="44" spans="1:55">
      <c r="A44" s="146">
        <v>45412</v>
      </c>
      <c r="B44" s="161">
        <v>-6.3731229606416517E-4</v>
      </c>
      <c r="C44" s="161">
        <v>1.5160109041763063E-2</v>
      </c>
      <c r="D44" s="161">
        <v>-6.7042851725802113E-3</v>
      </c>
      <c r="E44" s="161">
        <v>-1.5098112849463124E-3</v>
      </c>
      <c r="F44" s="161">
        <v>-1.3729229062913386E-3</v>
      </c>
      <c r="G44" s="162"/>
      <c r="H44" s="161">
        <v>0.21551433435027972</v>
      </c>
      <c r="I44" s="161">
        <v>0.1317876109913593</v>
      </c>
      <c r="J44" s="161">
        <v>0.47022179859621072</v>
      </c>
      <c r="K44" s="161">
        <v>6.40836871116304E-2</v>
      </c>
      <c r="L44" s="161">
        <v>0.11839256895051979</v>
      </c>
      <c r="M44" s="161"/>
      <c r="N44" s="161">
        <v>0.24099479819442166</v>
      </c>
      <c r="O44" s="161">
        <v>0.28689116224317307</v>
      </c>
      <c r="P44" s="161">
        <f t="shared" si="0"/>
        <v>0.36664297554776393</v>
      </c>
      <c r="Q44" s="161">
        <v>0.1619243999578581</v>
      </c>
      <c r="R44" s="161">
        <v>-5.6453335943216665E-2</v>
      </c>
      <c r="S44" s="13"/>
      <c r="T44" s="13">
        <f t="shared" si="12"/>
        <v>-1.5512345582585851E-3</v>
      </c>
      <c r="U44" s="13">
        <f t="shared" si="13"/>
        <v>1.5706640816407409E-3</v>
      </c>
      <c r="V44" s="157">
        <f t="shared" si="14"/>
        <v>3.1218986398993259E-3</v>
      </c>
      <c r="W44" s="13"/>
      <c r="X44" s="13">
        <f t="shared" si="9"/>
        <v>-4.0512345582585851E-3</v>
      </c>
      <c r="Y44" s="13">
        <f t="shared" si="10"/>
        <v>-9.2933591835925918E-4</v>
      </c>
      <c r="Z44" s="13"/>
      <c r="AA44" s="13">
        <f t="shared" si="15"/>
        <v>2.3287163158201318E-5</v>
      </c>
      <c r="AB44" s="13">
        <f t="shared" si="16"/>
        <v>2.5919887385526274E-3</v>
      </c>
      <c r="AC44" s="13">
        <f t="shared" si="17"/>
        <v>5.3374691774050965E-4</v>
      </c>
      <c r="AD44" s="13">
        <f t="shared" si="18"/>
        <v>4.0528825892968724E-6</v>
      </c>
      <c r="AE44" s="13">
        <f t="shared" si="19"/>
        <v>-3.1177062141310215E-5</v>
      </c>
      <c r="AF44" s="13"/>
      <c r="AG44" s="157">
        <f t="shared" si="11"/>
        <v>3.1218986398993251E-3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B44" s="18"/>
      <c r="BC44" s="18"/>
    </row>
    <row r="45" spans="1:55">
      <c r="A45" s="146">
        <v>45443</v>
      </c>
      <c r="B45" s="161">
        <v>-4.049468471492397E-2</v>
      </c>
      <c r="C45" s="161">
        <v>-1.9258558610279933E-2</v>
      </c>
      <c r="D45" s="161">
        <v>-6.6955288504834537E-2</v>
      </c>
      <c r="E45" s="161">
        <v>-6.7108006344149887E-2</v>
      </c>
      <c r="F45" s="161">
        <v>-2.7318201472702901E-2</v>
      </c>
      <c r="G45" s="162"/>
      <c r="H45" s="161">
        <v>0.19870504115473825</v>
      </c>
      <c r="I45" s="161">
        <v>0.14050726911205313</v>
      </c>
      <c r="J45" s="161">
        <v>0.46910803660185346</v>
      </c>
      <c r="K45" s="161">
        <v>6.8687465042213861E-2</v>
      </c>
      <c r="L45" s="161">
        <v>0.12299218808914117</v>
      </c>
      <c r="M45" s="161"/>
      <c r="N45" s="161">
        <v>0.23125223335692074</v>
      </c>
      <c r="O45" s="161">
        <v>0.41030415039719992</v>
      </c>
      <c r="P45" s="161">
        <f t="shared" si="0"/>
        <v>0.2894276309178051</v>
      </c>
      <c r="Q45" s="161">
        <v>7.3375741013198104E-2</v>
      </c>
      <c r="R45" s="161">
        <v>-4.3597556851238117E-3</v>
      </c>
      <c r="S45" s="13"/>
      <c r="T45" s="13">
        <f t="shared" si="12"/>
        <v>-5.013113361440974E-2</v>
      </c>
      <c r="U45" s="13">
        <f t="shared" si="13"/>
        <v>-4.145006234649095E-2</v>
      </c>
      <c r="V45" s="157">
        <f t="shared" si="14"/>
        <v>8.6810712679187899E-3</v>
      </c>
      <c r="W45" s="13"/>
      <c r="X45" s="13">
        <f t="shared" si="9"/>
        <v>-5.2631133614409742E-2</v>
      </c>
      <c r="Y45" s="13">
        <f t="shared" si="10"/>
        <v>-4.3950062346490952E-2</v>
      </c>
      <c r="Z45" s="13"/>
      <c r="AA45" s="13">
        <f t="shared" si="15"/>
        <v>3.136393544780733E-4</v>
      </c>
      <c r="AB45" s="13">
        <f t="shared" si="16"/>
        <v>8.3293244533559994E-3</v>
      </c>
      <c r="AC45" s="13">
        <f t="shared" si="17"/>
        <v>3.0229709760027936E-3</v>
      </c>
      <c r="AD45" s="13">
        <f t="shared" si="18"/>
        <v>-7.95922644812984E-5</v>
      </c>
      <c r="AE45" s="13">
        <f t="shared" si="19"/>
        <v>-2.9052712514367716E-3</v>
      </c>
      <c r="AF45" s="13"/>
      <c r="AG45" s="157">
        <f t="shared" si="11"/>
        <v>8.6810712679187968E-3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B45" s="18"/>
      <c r="BC45" s="18"/>
    </row>
    <row r="46" spans="1:55">
      <c r="A46" s="146">
        <v>45473</v>
      </c>
      <c r="B46" s="161">
        <v>1.0897063987493922E-2</v>
      </c>
      <c r="C46" s="161">
        <v>3.4408659475136924E-2</v>
      </c>
      <c r="D46" s="161">
        <v>-1.8241867622403724E-2</v>
      </c>
      <c r="E46" s="161">
        <v>2.3651839392839533E-2</v>
      </c>
      <c r="F46" s="161">
        <v>2.0500809664029842E-3</v>
      </c>
      <c r="G46" s="162"/>
      <c r="H46" s="161">
        <v>0.20989073060229954</v>
      </c>
      <c r="I46" s="161">
        <v>0.14348918752635634</v>
      </c>
      <c r="J46" s="161">
        <v>0.44983331980370678</v>
      </c>
      <c r="K46" s="161">
        <v>6.4226636247243798E-2</v>
      </c>
      <c r="L46" s="161">
        <v>0.13256012582039356</v>
      </c>
      <c r="M46" s="161"/>
      <c r="N46" s="161">
        <v>0.18725505937017103</v>
      </c>
      <c r="O46" s="161">
        <v>0.32166834740208267</v>
      </c>
      <c r="P46" s="161">
        <f t="shared" si="0"/>
        <v>0.2513730308711597</v>
      </c>
      <c r="Q46" s="161">
        <v>0.12431871465296725</v>
      </c>
      <c r="R46" s="161">
        <v>0.11538484770361934</v>
      </c>
      <c r="S46" s="13"/>
      <c r="T46" s="13">
        <f t="shared" si="12"/>
        <v>8.0950051781845814E-4</v>
      </c>
      <c r="U46" s="13">
        <f t="shared" si="13"/>
        <v>1.170010799321766E-2</v>
      </c>
      <c r="V46" s="157">
        <f t="shared" si="14"/>
        <v>1.0890607475399203E-2</v>
      </c>
      <c r="W46" s="13"/>
      <c r="X46" s="13">
        <f t="shared" si="9"/>
        <v>-1.6904994821815419E-3</v>
      </c>
      <c r="Y46" s="13">
        <f t="shared" si="10"/>
        <v>9.2001079932176599E-3</v>
      </c>
      <c r="Z46" s="13"/>
      <c r="AA46" s="13">
        <f t="shared" si="15"/>
        <v>-2.2833877023280334E-4</v>
      </c>
      <c r="AB46" s="13">
        <f t="shared" si="16"/>
        <v>5.9866699155459889E-3</v>
      </c>
      <c r="AC46" s="13">
        <f t="shared" si="17"/>
        <v>3.7809400256688165E-3</v>
      </c>
      <c r="AD46" s="13">
        <f t="shared" si="18"/>
        <v>1.372643618647871E-3</v>
      </c>
      <c r="AE46" s="13">
        <f t="shared" si="19"/>
        <v>-2.1307314230671754E-5</v>
      </c>
      <c r="AF46" s="13"/>
      <c r="AG46" s="157">
        <f t="shared" si="11"/>
        <v>1.0890607475399201E-2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B46" s="18"/>
      <c r="BC46" s="18"/>
    </row>
    <row r="47" spans="1:55">
      <c r="A47" s="146">
        <v>45504</v>
      </c>
      <c r="B47" s="161">
        <v>2.9434268713818847E-2</v>
      </c>
      <c r="C47" s="161">
        <v>5.5784643283369732E-2</v>
      </c>
      <c r="D47" s="161">
        <v>2.0248872601503268E-2</v>
      </c>
      <c r="E47" s="161">
        <v>5.0729181359455491E-2</v>
      </c>
      <c r="F47" s="161">
        <v>1.9481042298975952E-2</v>
      </c>
      <c r="G47" s="162"/>
      <c r="H47" s="161">
        <v>0.22304230374314193</v>
      </c>
      <c r="I47" s="161">
        <v>0.14182852944286037</v>
      </c>
      <c r="J47" s="161">
        <v>0.43578054513451325</v>
      </c>
      <c r="K47" s="161">
        <v>6.2399191134482633E-2</v>
      </c>
      <c r="L47" s="161">
        <v>0.13694943054500186</v>
      </c>
      <c r="M47" s="161"/>
      <c r="N47" s="161">
        <v>0.24770372213360226</v>
      </c>
      <c r="O47" s="161">
        <v>0.33544326959919613</v>
      </c>
      <c r="P47" s="161">
        <f t="shared" si="0"/>
        <v>0.26736304898881025</v>
      </c>
      <c r="Q47" s="161">
        <v>0.16156736834136678</v>
      </c>
      <c r="R47" s="161">
        <v>-1.2077409062975386E-2</v>
      </c>
      <c r="S47" s="13"/>
      <c r="T47" s="13">
        <f t="shared" si="12"/>
        <v>2.9134383298954462E-2</v>
      </c>
      <c r="U47" s="13">
        <f t="shared" si="13"/>
        <v>3.9378261185957122E-2</v>
      </c>
      <c r="V47" s="157">
        <f t="shared" si="14"/>
        <v>1.0243877887002661E-2</v>
      </c>
      <c r="W47" s="13"/>
      <c r="X47" s="13">
        <f t="shared" si="9"/>
        <v>2.6634383298954463E-2</v>
      </c>
      <c r="Y47" s="13">
        <f t="shared" si="10"/>
        <v>3.687826118595712E-2</v>
      </c>
      <c r="Z47" s="13"/>
      <c r="AA47" s="13">
        <f t="shared" si="15"/>
        <v>7.3955996851673826E-6</v>
      </c>
      <c r="AB47" s="13">
        <f t="shared" si="16"/>
        <v>5.1598831619813551E-3</v>
      </c>
      <c r="AC47" s="13">
        <f t="shared" si="17"/>
        <v>1.4964754636405892E-3</v>
      </c>
      <c r="AD47" s="13">
        <f t="shared" si="18"/>
        <v>2.1415167608106441E-3</v>
      </c>
      <c r="AE47" s="13">
        <f t="shared" si="19"/>
        <v>1.4386069008849079E-3</v>
      </c>
      <c r="AF47" s="13"/>
      <c r="AG47" s="157">
        <f t="shared" si="11"/>
        <v>1.0243877887002664E-2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B47" s="18"/>
      <c r="BC47" s="18"/>
    </row>
    <row r="48" spans="1:55">
      <c r="A48" s="146">
        <v>45535</v>
      </c>
      <c r="B48" s="161">
        <v>1.8796002727722805E-2</v>
      </c>
      <c r="C48" s="161">
        <v>2.9979542335814211E-2</v>
      </c>
      <c r="D48" s="161">
        <v>1.6819030366535113E-2</v>
      </c>
      <c r="E48" s="161">
        <v>8.3301055124973752E-3</v>
      </c>
      <c r="F48" s="161">
        <v>1.0944461278520947E-2</v>
      </c>
      <c r="G48" s="162"/>
      <c r="H48" s="161">
        <v>0.23194325597492788</v>
      </c>
      <c r="I48" s="161">
        <v>0.13101432176761632</v>
      </c>
      <c r="J48" s="161">
        <v>0.43824077069079531</v>
      </c>
      <c r="K48" s="161">
        <v>5.868377246706994E-2</v>
      </c>
      <c r="L48" s="161">
        <v>0.1401178790995905</v>
      </c>
      <c r="M48" s="161"/>
      <c r="N48" s="161">
        <v>0.24213527304383969</v>
      </c>
      <c r="O48" s="161">
        <v>0.31234910993534909</v>
      </c>
      <c r="P48" s="161">
        <f t="shared" si="0"/>
        <v>0.3202859741640397</v>
      </c>
      <c r="Q48" s="161">
        <v>0.10987650205936414</v>
      </c>
      <c r="R48" s="161">
        <v>1.535314079740735E-2</v>
      </c>
      <c r="S48" s="13"/>
      <c r="T48" s="13">
        <f t="shared" si="12"/>
        <v>1.7680497026870159E-2</v>
      </c>
      <c r="U48" s="13">
        <f t="shared" si="13"/>
        <v>2.0385472853370411E-2</v>
      </c>
      <c r="V48" s="157">
        <f t="shared" si="14"/>
        <v>2.704975826500252E-3</v>
      </c>
      <c r="W48" s="13"/>
      <c r="X48" s="13">
        <f t="shared" si="9"/>
        <v>1.5180497026870158E-2</v>
      </c>
      <c r="Y48" s="13">
        <f t="shared" si="10"/>
        <v>1.7885472853370412E-2</v>
      </c>
      <c r="Z48" s="13"/>
      <c r="AA48" s="13">
        <f t="shared" si="15"/>
        <v>1.1369253143558609E-5</v>
      </c>
      <c r="AB48" s="13">
        <f t="shared" si="16"/>
        <v>2.2302447757627172E-3</v>
      </c>
      <c r="AC48" s="13">
        <f t="shared" si="17"/>
        <v>1.0161412463440396E-4</v>
      </c>
      <c r="AD48" s="13">
        <f t="shared" si="18"/>
        <v>-4.7867206437736816E-4</v>
      </c>
      <c r="AE48" s="13">
        <f t="shared" si="19"/>
        <v>8.404197373369399E-4</v>
      </c>
      <c r="AF48" s="13"/>
      <c r="AG48" s="157">
        <f t="shared" si="11"/>
        <v>2.7049758265002511E-3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B48" s="18"/>
      <c r="BC48" s="18"/>
    </row>
    <row r="49" spans="1:55">
      <c r="A49" s="146">
        <v>45565</v>
      </c>
      <c r="B49" s="161">
        <v>2.6594597631946146E-3</v>
      </c>
      <c r="C49" s="161">
        <v>3.5242181174854115E-2</v>
      </c>
      <c r="D49" s="161">
        <v>-3.3835091908361002E-2</v>
      </c>
      <c r="E49" s="161">
        <v>3.4462415869405294E-2</v>
      </c>
      <c r="F49" s="161">
        <v>-2.505578122350745E-3</v>
      </c>
      <c r="G49" s="162"/>
      <c r="H49" s="161">
        <v>0.24244621231870322</v>
      </c>
      <c r="I49" s="161">
        <v>0.14239043242185806</v>
      </c>
      <c r="J49" s="161">
        <v>0.40817527709467138</v>
      </c>
      <c r="K49" s="161">
        <v>5.5781025055975493E-2</v>
      </c>
      <c r="L49" s="161">
        <v>0.15120705310879176</v>
      </c>
      <c r="M49" s="161"/>
      <c r="N49" s="161">
        <v>0.23049555769141361</v>
      </c>
      <c r="O49" s="161">
        <v>0.50948737611416228</v>
      </c>
      <c r="P49" s="161">
        <f t="shared" si="0"/>
        <v>0.37810556750915753</v>
      </c>
      <c r="Q49" s="161">
        <v>9.8824795807221977E-2</v>
      </c>
      <c r="R49" s="161">
        <v>-0.2169132971219554</v>
      </c>
      <c r="S49" s="13"/>
      <c r="T49" s="13">
        <f t="shared" si="12"/>
        <v>-6.6042348529552234E-3</v>
      </c>
      <c r="U49" s="13">
        <f t="shared" si="13"/>
        <v>9.7244378718897087E-3</v>
      </c>
      <c r="V49" s="157">
        <f t="shared" si="14"/>
        <v>1.6328672724844933E-2</v>
      </c>
      <c r="W49" s="13"/>
      <c r="X49" s="13">
        <f t="shared" si="9"/>
        <v>-9.1042348529552231E-3</v>
      </c>
      <c r="Y49" s="13">
        <f t="shared" si="10"/>
        <v>7.2244378718897082E-3</v>
      </c>
      <c r="Z49" s="13"/>
      <c r="AA49" s="13">
        <f t="shared" si="15"/>
        <v>-1.1070721493028896E-4</v>
      </c>
      <c r="AB49" s="13">
        <f t="shared" si="16"/>
        <v>1.5361691428285461E-2</v>
      </c>
      <c r="AC49" s="13">
        <f t="shared" si="17"/>
        <v>8.1882396342069282E-4</v>
      </c>
      <c r="AD49" s="13">
        <f t="shared" si="18"/>
        <v>1.7676634992147967E-3</v>
      </c>
      <c r="AE49" s="13">
        <f t="shared" si="19"/>
        <v>-1.5087989511457299E-3</v>
      </c>
      <c r="AF49" s="13"/>
      <c r="AG49" s="157">
        <f t="shared" si="11"/>
        <v>1.6328672724844933E-2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B49" s="18"/>
      <c r="BC49" s="18"/>
    </row>
    <row r="50" spans="1:55">
      <c r="A50" s="146">
        <v>45596</v>
      </c>
      <c r="B50" s="161">
        <v>-1.4778129975865653E-2</v>
      </c>
      <c r="C50" s="161">
        <v>9.5015204560046154E-3</v>
      </c>
      <c r="D50" s="161">
        <v>-3.5532035950855613E-2</v>
      </c>
      <c r="E50" s="161">
        <v>-8.3023438962048033E-3</v>
      </c>
      <c r="F50" s="161">
        <v>-1.1079102521760106E-2</v>
      </c>
      <c r="G50" s="162"/>
      <c r="H50" s="161">
        <v>0.23945197328562995</v>
      </c>
      <c r="I50" s="161">
        <v>0.14999965138679183</v>
      </c>
      <c r="J50" s="161">
        <v>0.39285374763560876</v>
      </c>
      <c r="K50" s="161">
        <v>5.7451274170830714E-2</v>
      </c>
      <c r="L50" s="161">
        <v>0.16024335352113872</v>
      </c>
      <c r="M50" s="161"/>
      <c r="N50" s="161">
        <v>0.2616327903517397</v>
      </c>
      <c r="O50" s="161">
        <v>0.3611991987534966</v>
      </c>
      <c r="P50" s="161">
        <f t="shared" si="0"/>
        <v>0.25287565059225947</v>
      </c>
      <c r="Q50" s="161">
        <v>7.7554234781651146E-2</v>
      </c>
      <c r="R50" s="161">
        <v>4.6738125520853102E-2</v>
      </c>
      <c r="S50" s="13"/>
      <c r="T50" s="13">
        <f t="shared" si="12"/>
        <v>-1.8324653890096923E-2</v>
      </c>
      <c r="U50" s="13">
        <f t="shared" si="13"/>
        <v>-1.058138692614246E-2</v>
      </c>
      <c r="V50" s="157">
        <f t="shared" si="14"/>
        <v>7.7432669639544635E-3</v>
      </c>
      <c r="W50" s="13"/>
      <c r="X50" s="13">
        <f t="shared" si="9"/>
        <v>-2.0824653890096922E-2</v>
      </c>
      <c r="Y50" s="13">
        <f t="shared" si="10"/>
        <v>-1.308138692614246E-2</v>
      </c>
      <c r="Z50" s="13"/>
      <c r="AA50" s="13">
        <f t="shared" si="15"/>
        <v>7.8664798162147301E-5</v>
      </c>
      <c r="AB50" s="13">
        <f t="shared" si="16"/>
        <v>5.8768754268436569E-3</v>
      </c>
      <c r="AC50" s="13">
        <f t="shared" si="17"/>
        <v>2.4086565959628675E-3</v>
      </c>
      <c r="AD50" s="13">
        <f t="shared" si="18"/>
        <v>2.0147810303664524E-4</v>
      </c>
      <c r="AE50" s="13">
        <f t="shared" si="19"/>
        <v>-8.224079600508519E-4</v>
      </c>
      <c r="AF50" s="13"/>
      <c r="AG50" s="157">
        <f t="shared" si="11"/>
        <v>7.7432669639544652E-3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B50" s="18"/>
      <c r="BC50" s="18"/>
    </row>
    <row r="51" spans="1:55">
      <c r="A51" s="146">
        <v>45626</v>
      </c>
      <c r="B51" s="161">
        <v>4.7345213942776086E-4</v>
      </c>
      <c r="C51" s="161">
        <v>9.4015675213509464E-3</v>
      </c>
      <c r="D51" s="161">
        <v>1.6404347662082184E-2</v>
      </c>
      <c r="E51" s="161">
        <v>-7.5162299167303602E-3</v>
      </c>
      <c r="F51" s="161">
        <v>4.5692334724624179E-3</v>
      </c>
      <c r="G51" s="162"/>
      <c r="H51" s="161">
        <v>0.23355621841227173</v>
      </c>
      <c r="I51" s="161">
        <v>0.14909330939234544</v>
      </c>
      <c r="J51" s="161">
        <v>0.40537630552636428</v>
      </c>
      <c r="K51" s="161">
        <v>5.8960272336881427E-2</v>
      </c>
      <c r="L51" s="161">
        <v>0.15301389433213719</v>
      </c>
      <c r="M51" s="161"/>
      <c r="N51" s="161">
        <v>0.27861023605641444</v>
      </c>
      <c r="O51" s="161">
        <v>0.2211483528401082</v>
      </c>
      <c r="P51" s="161">
        <f t="shared" si="0"/>
        <v>0.27240822984640001</v>
      </c>
      <c r="Q51" s="161">
        <v>0.11142782928396697</v>
      </c>
      <c r="R51" s="161">
        <v>0.11640535197311042</v>
      </c>
      <c r="S51" s="13"/>
      <c r="T51" s="13">
        <f t="shared" si="12"/>
        <v>8.4182196012398697E-3</v>
      </c>
      <c r="U51" s="13">
        <f t="shared" si="13"/>
        <v>6.3740951387907712E-3</v>
      </c>
      <c r="V51" s="157">
        <f t="shared" si="14"/>
        <v>-2.0441244624490986E-3</v>
      </c>
      <c r="W51" s="13"/>
      <c r="X51" s="13">
        <f t="shared" si="9"/>
        <v>5.9182196012398693E-3</v>
      </c>
      <c r="Y51" s="13">
        <f t="shared" si="10"/>
        <v>3.8740951387907711E-3</v>
      </c>
      <c r="Z51" s="13"/>
      <c r="AA51" s="13">
        <f t="shared" si="15"/>
        <v>-3.5794369340309368E-4</v>
      </c>
      <c r="AB51" s="13">
        <f t="shared" si="16"/>
        <v>7.0855177107870767E-5</v>
      </c>
      <c r="AC51" s="13">
        <f t="shared" si="17"/>
        <v>-1.0619000803839672E-3</v>
      </c>
      <c r="AD51" s="13">
        <f t="shared" si="18"/>
        <v>-8.3604163750456274E-4</v>
      </c>
      <c r="AE51" s="13">
        <f t="shared" si="19"/>
        <v>1.4090577173465581E-4</v>
      </c>
      <c r="AF51" s="13"/>
      <c r="AG51" s="157">
        <f t="shared" si="11"/>
        <v>-2.0441244624490968E-3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B51" s="18"/>
      <c r="BC51" s="18"/>
    </row>
    <row r="52" spans="1:55">
      <c r="A52" s="146">
        <v>45657</v>
      </c>
      <c r="B52" s="161">
        <v>4.7088650741328227E-3</v>
      </c>
      <c r="C52" s="161">
        <v>2.3303625218976477E-2</v>
      </c>
      <c r="D52" s="161">
        <v>-1.617862908857111E-3</v>
      </c>
      <c r="E52" s="161">
        <v>1.0206484244196899E-2</v>
      </c>
      <c r="F52" s="161">
        <v>3.176728493811893E-3</v>
      </c>
      <c r="G52" s="162"/>
      <c r="H52" s="161">
        <v>0.23570087011954821</v>
      </c>
      <c r="I52" s="161">
        <v>0.14969288196010758</v>
      </c>
      <c r="J52" s="161">
        <v>0.40001029392544374</v>
      </c>
      <c r="K52" s="161">
        <v>5.8728327302773671E-2</v>
      </c>
      <c r="L52" s="161">
        <v>0.15586762669212686</v>
      </c>
      <c r="M52" s="161"/>
      <c r="N52" s="161">
        <v>0.23548556205343996</v>
      </c>
      <c r="O52" s="161">
        <v>0.37053516500341949</v>
      </c>
      <c r="P52" s="161">
        <f t="shared" si="0"/>
        <v>0.26473460281340588</v>
      </c>
      <c r="Q52" s="161">
        <v>9.8634625549997856E-2</v>
      </c>
      <c r="R52" s="161">
        <v>3.0610044579736817E-2</v>
      </c>
      <c r="S52" s="13"/>
      <c r="T52" s="13">
        <f t="shared" si="12"/>
        <v>5.045667474971996E-3</v>
      </c>
      <c r="U52" s="13">
        <f t="shared" si="13"/>
        <v>1.0419330612146064E-2</v>
      </c>
      <c r="V52" s="157">
        <f t="shared" si="14"/>
        <v>5.373663137174068E-3</v>
      </c>
      <c r="W52" s="13"/>
      <c r="X52" s="13">
        <f t="shared" si="9"/>
        <v>2.5456674749719959E-3</v>
      </c>
      <c r="Y52" s="13">
        <f t="shared" si="10"/>
        <v>7.9193306121460635E-3</v>
      </c>
      <c r="Z52" s="13"/>
      <c r="AA52" s="13">
        <f t="shared" si="15"/>
        <v>7.2516273585299763E-8</v>
      </c>
      <c r="AB52" s="13">
        <f t="shared" si="16"/>
        <v>4.0321290718942663E-3</v>
      </c>
      <c r="AC52" s="13">
        <f t="shared" si="17"/>
        <v>9.014136779185453E-4</v>
      </c>
      <c r="AD52" s="13">
        <f t="shared" si="18"/>
        <v>2.0594909319196492E-4</v>
      </c>
      <c r="AE52" s="13">
        <f t="shared" si="19"/>
        <v>2.3409877789570818E-4</v>
      </c>
      <c r="AF52" s="13"/>
      <c r="AG52" s="157">
        <f t="shared" si="11"/>
        <v>5.3736631371740697E-3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B52" s="18"/>
      <c r="BC52" s="18"/>
    </row>
    <row r="53" spans="1:55">
      <c r="A53" s="146">
        <v>45688</v>
      </c>
      <c r="B53" s="161">
        <v>-1.5836678401370836E-3</v>
      </c>
      <c r="C53" s="161">
        <v>1.1239503828202223E-2</v>
      </c>
      <c r="D53" s="161">
        <v>1.3153777528379439E-2</v>
      </c>
      <c r="E53" s="161">
        <v>-2.2821884229613926E-3</v>
      </c>
      <c r="F53" s="161">
        <v>4.1872767440679134E-3</v>
      </c>
      <c r="G53" s="162"/>
      <c r="H53" s="161">
        <v>0.22795545251452262</v>
      </c>
      <c r="I53" s="161">
        <v>0.1529505152955096</v>
      </c>
      <c r="J53" s="161">
        <v>0.4090310748362353</v>
      </c>
      <c r="K53" s="161">
        <v>6.1439425592740023E-2</v>
      </c>
      <c r="L53" s="161">
        <v>0.14862353176099252</v>
      </c>
      <c r="M53" s="161"/>
      <c r="N53" s="161">
        <v>0.23577321092708867</v>
      </c>
      <c r="O53" s="161">
        <v>0.30788080780663563</v>
      </c>
      <c r="P53" s="161">
        <f t="shared" si="0"/>
        <v>0.18095363663727393</v>
      </c>
      <c r="Q53" s="161">
        <v>0.16372637381884125</v>
      </c>
      <c r="R53" s="161">
        <v>0.1116659708101605</v>
      </c>
      <c r="S53" s="13"/>
      <c r="T53" s="13">
        <f t="shared" si="12"/>
        <v>7.2204974560108916E-3</v>
      </c>
      <c r="U53" s="13">
        <f t="shared" si="13"/>
        <v>5.5611868333538409E-3</v>
      </c>
      <c r="V53" s="157">
        <f t="shared" si="14"/>
        <v>-1.6593106226570507E-3</v>
      </c>
      <c r="W53" s="13"/>
      <c r="X53" s="13">
        <f t="shared" si="9"/>
        <v>4.7204974560108911E-3</v>
      </c>
      <c r="Y53" s="13">
        <f t="shared" si="10"/>
        <v>3.0611868333538408E-3</v>
      </c>
      <c r="Z53" s="13"/>
      <c r="AA53" s="13">
        <f t="shared" si="15"/>
        <v>-6.882883730958286E-5</v>
      </c>
      <c r="AB53" s="13">
        <f t="shared" si="16"/>
        <v>6.2266583284768253E-4</v>
      </c>
      <c r="AC53" s="13">
        <f t="shared" si="17"/>
        <v>-1.3532473190227665E-3</v>
      </c>
      <c r="AD53" s="13">
        <f t="shared" si="18"/>
        <v>-9.7200073851134137E-4</v>
      </c>
      <c r="AE53" s="13">
        <f t="shared" si="19"/>
        <v>1.1210043933895873E-4</v>
      </c>
      <c r="AF53" s="13"/>
      <c r="AG53" s="157">
        <f t="shared" si="11"/>
        <v>-1.6593106226570494E-3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B53" s="18"/>
      <c r="BC53" s="18"/>
    </row>
    <row r="54" spans="1:55">
      <c r="A54" s="146">
        <v>45716</v>
      </c>
      <c r="B54" s="161">
        <v>7.9805878307348044E-4</v>
      </c>
      <c r="C54" s="161">
        <v>1.6720198555542593E-2</v>
      </c>
      <c r="D54" s="161">
        <v>-1.1838919691994751E-2</v>
      </c>
      <c r="E54" s="161">
        <v>2.9335718666673289E-3</v>
      </c>
      <c r="F54" s="161">
        <v>1.0971108881713734E-3</v>
      </c>
      <c r="G54" s="162"/>
      <c r="H54" s="161">
        <v>0.2311502544010246</v>
      </c>
      <c r="I54" s="161">
        <v>0.15469197982341024</v>
      </c>
      <c r="J54" s="161">
        <v>0.40433602880598341</v>
      </c>
      <c r="K54" s="161">
        <v>5.8061662096225555E-2</v>
      </c>
      <c r="L54" s="161">
        <v>0.15176007487335605</v>
      </c>
      <c r="M54" s="161"/>
      <c r="N54" s="161">
        <v>0.20556518280051667</v>
      </c>
      <c r="O54" s="161">
        <v>0.3268065380782445</v>
      </c>
      <c r="P54" s="161">
        <f t="shared" si="0"/>
        <v>7.2972370497000449E-2</v>
      </c>
      <c r="Q54" s="161">
        <v>0.20854148401405931</v>
      </c>
      <c r="R54" s="161">
        <v>0.18611442461017902</v>
      </c>
      <c r="S54" s="13"/>
      <c r="T54" s="13">
        <f t="shared" si="12"/>
        <v>-1.679123976291606E-3</v>
      </c>
      <c r="U54" s="13">
        <f t="shared" si="13"/>
        <v>5.5803688637195972E-3</v>
      </c>
      <c r="V54" s="157">
        <f t="shared" si="14"/>
        <v>7.2594928400112032E-3</v>
      </c>
      <c r="W54" s="13"/>
      <c r="X54" s="13">
        <f t="shared" si="9"/>
        <v>-4.1791239762916065E-3</v>
      </c>
      <c r="Y54" s="13">
        <f t="shared" si="10"/>
        <v>3.0803688637195971E-3</v>
      </c>
      <c r="Z54" s="13"/>
      <c r="AA54" s="13">
        <f t="shared" si="15"/>
        <v>-6.3378898265899558E-5</v>
      </c>
      <c r="AB54" s="13">
        <f t="shared" si="16"/>
        <v>3.1667912697548616E-3</v>
      </c>
      <c r="AC54" s="13">
        <f t="shared" si="17"/>
        <v>3.3665870760273258E-3</v>
      </c>
      <c r="AD54" s="13">
        <f t="shared" si="18"/>
        <v>6.9411764900959266E-4</v>
      </c>
      <c r="AE54" s="13">
        <f t="shared" si="19"/>
        <v>9.5375743485322503E-5</v>
      </c>
      <c r="AF54" s="13"/>
      <c r="AG54" s="157">
        <f t="shared" si="11"/>
        <v>7.259492840011204E-3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B54" s="18"/>
      <c r="BC54" s="18"/>
    </row>
    <row r="55" spans="1:55">
      <c r="A55" s="146">
        <v>45747</v>
      </c>
      <c r="B55" s="161">
        <v>2.1322905270224853E-2</v>
      </c>
      <c r="C55" s="161">
        <v>3.2399027239501513E-2</v>
      </c>
      <c r="D55" s="161">
        <v>4.3863340618943827E-2</v>
      </c>
      <c r="E55" s="161">
        <v>2.3383860869990641E-2</v>
      </c>
      <c r="F55" s="161">
        <v>1.5291686954443943E-2</v>
      </c>
      <c r="G55" s="162"/>
      <c r="H55" s="161">
        <v>0.23455561909136186</v>
      </c>
      <c r="I55" s="161">
        <v>0.15114895897134756</v>
      </c>
      <c r="J55" s="161">
        <v>0.41357680804938624</v>
      </c>
      <c r="K55" s="161">
        <v>5.6622295561095042E-2</v>
      </c>
      <c r="L55" s="161">
        <v>0.1440963183268093</v>
      </c>
      <c r="M55" s="161"/>
      <c r="N55" s="161">
        <v>0.27081373157571825</v>
      </c>
      <c r="O55" s="161">
        <v>0.36853875465199432</v>
      </c>
      <c r="P55" s="161">
        <f t="shared" si="0"/>
        <v>0.19078389786560651</v>
      </c>
      <c r="Q55" s="161">
        <v>0.11337027563523716</v>
      </c>
      <c r="R55" s="161">
        <v>5.6493340271443815E-2</v>
      </c>
      <c r="S55" s="13"/>
      <c r="T55" s="13">
        <f t="shared" si="12"/>
        <v>3.1566870561666419E-2</v>
      </c>
      <c r="U55" s="13">
        <f t="shared" si="13"/>
        <v>2.9598165018424636E-2</v>
      </c>
      <c r="V55" s="157">
        <f t="shared" si="14"/>
        <v>-1.9687055432417826E-3</v>
      </c>
      <c r="W55" s="13"/>
      <c r="X55" s="13">
        <f t="shared" si="9"/>
        <v>2.906687056166642E-2</v>
      </c>
      <c r="Y55" s="13">
        <f t="shared" si="10"/>
        <v>2.7098165018424637E-2</v>
      </c>
      <c r="Z55" s="13"/>
      <c r="AA55" s="13">
        <f t="shared" si="15"/>
        <v>-3.7142684582293107E-4</v>
      </c>
      <c r="AB55" s="13">
        <f t="shared" si="16"/>
        <v>1.8090237016885692E-4</v>
      </c>
      <c r="AC55" s="13">
        <f t="shared" si="17"/>
        <v>-2.7395663490485424E-3</v>
      </c>
      <c r="AD55" s="13">
        <f t="shared" si="18"/>
        <v>-4.6436927092972886E-4</v>
      </c>
      <c r="AE55" s="13">
        <f t="shared" si="19"/>
        <v>1.4257545523905547E-3</v>
      </c>
      <c r="AF55" s="13"/>
      <c r="AG55" s="157">
        <f t="shared" si="11"/>
        <v>-1.9687055432417908E-3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B55" s="18"/>
      <c r="BC55" s="18"/>
    </row>
    <row r="56" spans="1:55">
      <c r="A56" s="146">
        <v>45777</v>
      </c>
      <c r="B56" s="161">
        <v>1.6285664533163369E-2</v>
      </c>
      <c r="C56" s="161">
        <v>4.0264918853140215E-2</v>
      </c>
      <c r="D56" s="161">
        <v>1.1937523475288521E-2</v>
      </c>
      <c r="E56" s="161">
        <v>4.1159536492806792E-2</v>
      </c>
      <c r="F56" s="161">
        <v>2.4003933013412585E-2</v>
      </c>
      <c r="G56" s="162"/>
      <c r="H56" s="161">
        <v>0.23769856571892925</v>
      </c>
      <c r="I56" s="161">
        <v>0.15727584491139038</v>
      </c>
      <c r="J56" s="161">
        <v>0.40562234894414101</v>
      </c>
      <c r="K56" s="161">
        <v>5.7812811917609105E-2</v>
      </c>
      <c r="L56" s="161">
        <v>0.14159042850793019</v>
      </c>
      <c r="M56" s="161"/>
      <c r="N56" s="161">
        <v>0.26515040480389906</v>
      </c>
      <c r="O56" s="161">
        <v>0.37221409762340824</v>
      </c>
      <c r="P56" s="161">
        <f t="shared" si="0"/>
        <v>0.37728358967504139</v>
      </c>
      <c r="Q56" s="161">
        <v>0.15290321278567548</v>
      </c>
      <c r="R56" s="161">
        <v>-0.16755130488802417</v>
      </c>
      <c r="S56" s="13"/>
      <c r="T56" s="13">
        <f t="shared" si="12"/>
        <v>2.0824180249970469E-2</v>
      </c>
      <c r="U56" s="13">
        <f t="shared" si="13"/>
        <v>2.6080687756534451E-2</v>
      </c>
      <c r="V56" s="157">
        <f t="shared" si="14"/>
        <v>5.2565075065639823E-3</v>
      </c>
      <c r="W56" s="13"/>
      <c r="X56" s="13">
        <f t="shared" si="9"/>
        <v>1.832418024997047E-2</v>
      </c>
      <c r="Y56" s="13">
        <f t="shared" si="10"/>
        <v>2.3580687756534453E-2</v>
      </c>
      <c r="Z56" s="13"/>
      <c r="AA56" s="13">
        <f t="shared" si="15"/>
        <v>-1.2459060314239494E-4</v>
      </c>
      <c r="AB56" s="13">
        <f t="shared" si="16"/>
        <v>4.1785583867963803E-3</v>
      </c>
      <c r="AC56" s="13">
        <f t="shared" si="17"/>
        <v>2.5183682704482501E-4</v>
      </c>
      <c r="AD56" s="13">
        <f t="shared" si="18"/>
        <v>1.9336971769262419E-3</v>
      </c>
      <c r="AE56" s="13">
        <f t="shared" si="19"/>
        <v>-9.8299428106107182E-4</v>
      </c>
      <c r="AF56" s="13"/>
      <c r="AG56" s="157">
        <f t="shared" si="11"/>
        <v>5.2565075065639797E-3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B56" s="18"/>
      <c r="BC56" s="18"/>
    </row>
    <row r="57" spans="1:55">
      <c r="A57" s="146">
        <v>45808</v>
      </c>
      <c r="B57" s="161">
        <v>-1.6290118734041744E-3</v>
      </c>
      <c r="C57" s="161">
        <v>1.6913567638827169E-2</v>
      </c>
      <c r="D57" s="161">
        <v>-1.0968223631604853E-2</v>
      </c>
      <c r="E57" s="161">
        <v>-7.4457971678760886E-4</v>
      </c>
      <c r="F57" s="161">
        <v>-3.02201741137199E-3</v>
      </c>
      <c r="G57" s="162"/>
      <c r="H57" s="161">
        <v>0.23938146781661154</v>
      </c>
      <c r="I57" s="161">
        <v>0.15703318353854309</v>
      </c>
      <c r="J57" s="161">
        <v>0.40122878952655461</v>
      </c>
      <c r="K57" s="161">
        <v>5.6836297075055754E-2</v>
      </c>
      <c r="L57" s="161">
        <v>0.14552026204323493</v>
      </c>
      <c r="M57" s="161"/>
      <c r="N57" s="161">
        <v>0.21855459964736904</v>
      </c>
      <c r="O57" s="161">
        <v>0.43581700934558365</v>
      </c>
      <c r="P57" s="161">
        <f t="shared" si="0"/>
        <v>0.2293950948567873</v>
      </c>
      <c r="Q57" s="161">
        <v>0.17764794707370571</v>
      </c>
      <c r="R57" s="161">
        <v>-6.1414650923445668E-2</v>
      </c>
      <c r="S57" s="13"/>
      <c r="T57" s="13">
        <f t="shared" si="12"/>
        <v>-2.616814892573508E-3</v>
      </c>
      <c r="U57" s="13">
        <f t="shared" si="13"/>
        <v>4.5524588138067361E-3</v>
      </c>
      <c r="V57" s="157">
        <f t="shared" si="14"/>
        <v>7.1692737063802445E-3</v>
      </c>
      <c r="W57" s="13"/>
      <c r="X57" s="13">
        <f t="shared" si="9"/>
        <v>-5.1168148925735081E-3</v>
      </c>
      <c r="Y57" s="13">
        <f t="shared" si="10"/>
        <v>2.052458813806736E-3</v>
      </c>
      <c r="Z57" s="13"/>
      <c r="AA57" s="13">
        <f t="shared" si="15"/>
        <v>-2.057284325741944E-5</v>
      </c>
      <c r="AB57" s="13">
        <f t="shared" si="16"/>
        <v>5.4447547615788733E-3</v>
      </c>
      <c r="AC57" s="13">
        <f t="shared" si="17"/>
        <v>1.4350534193251384E-3</v>
      </c>
      <c r="AD57" s="13">
        <f t="shared" si="18"/>
        <v>2.2618782077220694E-4</v>
      </c>
      <c r="AE57" s="13">
        <f t="shared" si="19"/>
        <v>8.3850547961443613E-5</v>
      </c>
      <c r="AF57" s="13"/>
      <c r="AG57" s="157">
        <f t="shared" si="11"/>
        <v>7.1692737063802428E-3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B57" s="18"/>
      <c r="BC57" s="18"/>
    </row>
    <row r="58" spans="1:55">
      <c r="A58" s="146">
        <v>45838</v>
      </c>
      <c r="B58" s="161">
        <v>-1.1460804326537793E-2</v>
      </c>
      <c r="C58" s="161">
        <v>9.9744818423305633E-3</v>
      </c>
      <c r="D58" s="161">
        <v>-3.065722950864792E-2</v>
      </c>
      <c r="E58" s="161">
        <v>-1.8591854453863311E-3</v>
      </c>
      <c r="F58" s="161">
        <v>-6.3379593372690805E-3</v>
      </c>
      <c r="G58" s="162"/>
      <c r="H58" s="161">
        <v>0.23694721345560243</v>
      </c>
      <c r="I58" s="161">
        <v>0.16188712339518488</v>
      </c>
      <c r="J58" s="161">
        <v>0.38771493901610082</v>
      </c>
      <c r="K58" s="161">
        <v>5.9351023097204081E-2</v>
      </c>
      <c r="L58" s="161">
        <v>0.15409970103590789</v>
      </c>
      <c r="M58" s="161"/>
      <c r="N58" s="161">
        <v>0.24539043137457772</v>
      </c>
      <c r="O58" s="161">
        <v>0.31942516458996933</v>
      </c>
      <c r="P58" s="161">
        <f t="shared" si="0"/>
        <v>0.18896229301166889</v>
      </c>
      <c r="Q58" s="161">
        <v>0.17679094886270635</v>
      </c>
      <c r="R58" s="161">
        <v>6.9431162161077697E-2</v>
      </c>
      <c r="S58" s="13"/>
      <c r="T58" s="13">
        <f t="shared" si="12"/>
        <v>-1.4074153543030694E-2</v>
      </c>
      <c r="U58" s="13">
        <f t="shared" si="13"/>
        <v>-6.1880706402595749E-3</v>
      </c>
      <c r="V58" s="157">
        <f t="shared" si="14"/>
        <v>7.8860829027711191E-3</v>
      </c>
      <c r="W58" s="13"/>
      <c r="X58" s="13">
        <f t="shared" si="9"/>
        <v>-1.6574153543030695E-2</v>
      </c>
      <c r="Y58" s="13">
        <f t="shared" si="10"/>
        <v>-8.6880706402595754E-3</v>
      </c>
      <c r="Z58" s="13"/>
      <c r="AA58" s="13">
        <f t="shared" si="15"/>
        <v>2.2065076933232889E-5</v>
      </c>
      <c r="AB58" s="13">
        <f t="shared" si="16"/>
        <v>3.7885749120173924E-3</v>
      </c>
      <c r="AC58" s="13">
        <f t="shared" si="17"/>
        <v>3.295930227058924E-3</v>
      </c>
      <c r="AD58" s="13">
        <f t="shared" si="18"/>
        <v>1.4345249466153325E-3</v>
      </c>
      <c r="AE58" s="13">
        <f t="shared" si="19"/>
        <v>-6.5501225985376325E-4</v>
      </c>
      <c r="AF58" s="13"/>
      <c r="AG58" s="157">
        <f t="shared" si="11"/>
        <v>7.8860829027711174E-3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B58" s="18"/>
      <c r="BC58" s="18"/>
    </row>
    <row r="59" spans="1:55">
      <c r="A59" s="146">
        <v>45869</v>
      </c>
      <c r="B59" s="161">
        <v>1.0958506586634168E-3</v>
      </c>
      <c r="C59" s="161">
        <v>1.4006659098652653E-2</v>
      </c>
      <c r="D59" s="161">
        <v>6.0316160660228678E-3</v>
      </c>
      <c r="E59" s="161">
        <v>-5.993399362038839E-3</v>
      </c>
      <c r="F59" s="161">
        <v>3.4609916522693341E-3</v>
      </c>
      <c r="G59" s="162"/>
      <c r="H59" s="161">
        <v>0.23523916989346488</v>
      </c>
      <c r="I59" s="161">
        <v>0.15801523859039429</v>
      </c>
      <c r="J59" s="161">
        <v>0.39271956727399238</v>
      </c>
      <c r="K59" s="161">
        <v>6.034884488804769E-2</v>
      </c>
      <c r="L59" s="161">
        <v>0.15367717935410063</v>
      </c>
      <c r="M59" s="161"/>
      <c r="N59" s="161">
        <v>0.21775110224916588</v>
      </c>
      <c r="O59" s="161">
        <v>0.34390195679103036</v>
      </c>
      <c r="P59" s="161">
        <f t="shared" si="0"/>
        <v>0.26118558283978366</v>
      </c>
      <c r="Q59" s="161">
        <v>0.10899561459298517</v>
      </c>
      <c r="R59" s="161">
        <v>6.8165743527034972E-2</v>
      </c>
      <c r="S59" s="13"/>
      <c r="T59" s="13">
        <f t="shared" si="12"/>
        <v>5.0099669364474997E-3</v>
      </c>
      <c r="U59" s="13">
        <f t="shared" si="13"/>
        <v>6.2135781409771284E-3</v>
      </c>
      <c r="V59" s="157">
        <f t="shared" si="14"/>
        <v>1.2036112045296287E-3</v>
      </c>
      <c r="W59" s="13"/>
      <c r="X59" s="13">
        <f t="shared" si="9"/>
        <v>2.5099669364474996E-3</v>
      </c>
      <c r="Y59" s="13">
        <f t="shared" si="10"/>
        <v>3.7135781409771283E-3</v>
      </c>
      <c r="Z59" s="13"/>
      <c r="AA59" s="13">
        <f t="shared" si="15"/>
        <v>6.8450330233539851E-5</v>
      </c>
      <c r="AB59" s="13">
        <f t="shared" si="16"/>
        <v>1.6723655806937005E-3</v>
      </c>
      <c r="AC59" s="13">
        <f t="shared" si="17"/>
        <v>-1.3438158070678936E-4</v>
      </c>
      <c r="AD59" s="13">
        <f t="shared" si="18"/>
        <v>-5.3527822630153527E-4</v>
      </c>
      <c r="AE59" s="13">
        <f t="shared" si="19"/>
        <v>1.32455100610712E-4</v>
      </c>
      <c r="AF59" s="13"/>
      <c r="AG59" s="157">
        <f t="shared" si="11"/>
        <v>1.2036112045296279E-3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B59" s="18"/>
      <c r="BC59" s="18"/>
    </row>
    <row r="60" spans="1:55">
      <c r="A60" s="146">
        <v>45900</v>
      </c>
      <c r="B60" s="161">
        <v>1.5911318712482411E-2</v>
      </c>
      <c r="C60" s="161">
        <v>3.5783334342754339E-2</v>
      </c>
      <c r="D60" s="161">
        <v>3.5805582592033432E-2</v>
      </c>
      <c r="E60" s="161">
        <v>3.0983209481414739E-2</v>
      </c>
      <c r="F60" s="161">
        <v>1.6940848605950153E-2</v>
      </c>
      <c r="G60" s="162"/>
      <c r="H60" s="161">
        <v>0.22992716763217141</v>
      </c>
      <c r="I60" s="161">
        <v>0.16430388609877561</v>
      </c>
      <c r="J60" s="161">
        <v>0.39847791571972019</v>
      </c>
      <c r="K60" s="161">
        <v>6.5013490189813672E-2</v>
      </c>
      <c r="L60" s="161">
        <v>0.14227754035951917</v>
      </c>
      <c r="M60" s="161"/>
      <c r="N60" s="161">
        <v>0.22393588608877874</v>
      </c>
      <c r="O60" s="161">
        <v>0.31744511158204408</v>
      </c>
      <c r="P60" s="161">
        <f t="shared" si="0"/>
        <v>0.30935412397653389</v>
      </c>
      <c r="Q60" s="161">
        <v>0.1468955837211261</v>
      </c>
      <c r="R60" s="161">
        <v>2.3692946315171381E-3</v>
      </c>
      <c r="S60" s="13"/>
      <c r="T60" s="13">
        <f t="shared" si="12"/>
        <v>2.8230148114270416E-2</v>
      </c>
      <c r="U60" s="13">
        <f t="shared" si="13"/>
        <v>3.0590398958143659E-2</v>
      </c>
      <c r="V60" s="157">
        <f t="shared" si="14"/>
        <v>2.3602508438732434E-3</v>
      </c>
      <c r="W60" s="13"/>
      <c r="X60" s="13">
        <f t="shared" si="9"/>
        <v>2.5730148114270417E-2</v>
      </c>
      <c r="Y60" s="13">
        <f t="shared" si="10"/>
        <v>2.8090398958143661E-2</v>
      </c>
      <c r="Z60" s="13"/>
      <c r="AA60" s="13">
        <f t="shared" si="15"/>
        <v>7.3805575231135554E-5</v>
      </c>
      <c r="AB60" s="13">
        <f t="shared" si="16"/>
        <v>1.1567041953333746E-3</v>
      </c>
      <c r="AC60" s="13">
        <f t="shared" si="17"/>
        <v>-6.7515144476030424E-4</v>
      </c>
      <c r="AD60" s="13">
        <f t="shared" si="18"/>
        <v>2.2542642836195431E-4</v>
      </c>
      <c r="AE60" s="13">
        <f t="shared" si="19"/>
        <v>1.5794660897070841E-3</v>
      </c>
      <c r="AF60" s="13"/>
      <c r="AG60" s="157">
        <f t="shared" si="11"/>
        <v>2.3602508438732442E-3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B60" s="18"/>
      <c r="BC60" s="18"/>
    </row>
    <row r="61" spans="1:55">
      <c r="A61" s="146">
        <v>45930</v>
      </c>
      <c r="B61" s="161">
        <v>-1.326923911424313E-3</v>
      </c>
      <c r="C61" s="161">
        <v>2.404375170189722E-2</v>
      </c>
      <c r="D61" s="161">
        <v>-2.7562975431258255E-2</v>
      </c>
      <c r="E61" s="161">
        <v>1.4012930795402629E-2</v>
      </c>
      <c r="F61" s="161">
        <v>-5.275081646169643E-3</v>
      </c>
      <c r="G61" s="162"/>
      <c r="H61" s="161">
        <v>0.23510269941130726</v>
      </c>
      <c r="I61" s="161">
        <v>0.17176882301781529</v>
      </c>
      <c r="J61" s="161">
        <v>0.37736483837009566</v>
      </c>
      <c r="K61" s="161">
        <v>6.3154359942871635E-2</v>
      </c>
      <c r="L61" s="161">
        <v>0.15260927925791015</v>
      </c>
      <c r="M61" s="161"/>
      <c r="N61" s="161">
        <v>0.27679076811365855</v>
      </c>
      <c r="O61" s="161">
        <v>0.46696802774768525</v>
      </c>
      <c r="P61" s="161">
        <f t="shared" si="0"/>
        <v>0.2623298608965442</v>
      </c>
      <c r="Q61" s="161">
        <v>0.13893715463041936</v>
      </c>
      <c r="R61" s="161">
        <v>-0.14502581138830739</v>
      </c>
      <c r="S61" s="13"/>
      <c r="T61" s="13">
        <f t="shared" si="12"/>
        <v>-6.5033429640786481E-3</v>
      </c>
      <c r="U61" s="13">
        <f t="shared" si="13"/>
        <v>6.3417312410631761E-3</v>
      </c>
      <c r="V61" s="157">
        <f t="shared" si="14"/>
        <v>1.2845074205141825E-2</v>
      </c>
      <c r="W61" s="13"/>
      <c r="X61" s="13">
        <f t="shared" si="9"/>
        <v>-9.0033429640786478E-3</v>
      </c>
      <c r="Y61" s="13">
        <f t="shared" si="10"/>
        <v>3.8417312410631761E-3</v>
      </c>
      <c r="Z61" s="13"/>
      <c r="AA61" s="13">
        <f t="shared" si="15"/>
        <v>2.1579491309921408E-4</v>
      </c>
      <c r="AB61" s="13">
        <f t="shared" si="16"/>
        <v>9.0174780522041288E-3</v>
      </c>
      <c r="AC61" s="13">
        <f t="shared" si="17"/>
        <v>2.4225943464632788E-3</v>
      </c>
      <c r="AD61" s="13">
        <f t="shared" si="18"/>
        <v>1.5547805620682927E-3</v>
      </c>
      <c r="AE61" s="13">
        <f t="shared" si="19"/>
        <v>-3.6557366869308935E-4</v>
      </c>
      <c r="AF61" s="13"/>
      <c r="AG61" s="157">
        <f t="shared" si="11"/>
        <v>1.2845074205141825E-2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B61" s="18"/>
      <c r="BC61" s="18"/>
    </row>
    <row r="62" spans="1:55">
      <c r="A62" s="146">
        <v>45961</v>
      </c>
      <c r="B62" s="161">
        <v>-1.5158643222244614E-2</v>
      </c>
      <c r="C62" s="161">
        <v>8.1874537830153617E-3</v>
      </c>
      <c r="D62" s="161">
        <v>-9.046322889327876E-3</v>
      </c>
      <c r="E62" s="161">
        <v>-7.8025788346011453E-3</v>
      </c>
      <c r="F62" s="161">
        <v>-1.4451726373754581E-2</v>
      </c>
      <c r="G62" s="162"/>
      <c r="H62" s="161">
        <v>0.22136678355487546</v>
      </c>
      <c r="I62" s="161">
        <v>0.18431447073070961</v>
      </c>
      <c r="J62" s="161">
        <v>0.37888932582494061</v>
      </c>
      <c r="K62" s="161">
        <v>6.8028057809600209E-2</v>
      </c>
      <c r="L62" s="161">
        <v>0.14740136207987412</v>
      </c>
      <c r="M62" s="161"/>
      <c r="N62" s="161">
        <v>0.24813259078629799</v>
      </c>
      <c r="O62" s="161">
        <v>0.52264718928792209</v>
      </c>
      <c r="P62" s="161">
        <f t="shared" si="0"/>
        <v>0.21919022315306552</v>
      </c>
      <c r="Q62" s="161">
        <v>0.18266844519620767</v>
      </c>
      <c r="R62" s="161">
        <v>-0.1726384484234933</v>
      </c>
      <c r="S62" s="13"/>
      <c r="T62" s="13">
        <f t="shared" si="12"/>
        <v>-7.9351074991690224E-3</v>
      </c>
      <c r="U62" s="13">
        <f t="shared" si="13"/>
        <v>-3.9543056728099215E-4</v>
      </c>
      <c r="V62" s="157">
        <f t="shared" si="14"/>
        <v>7.5396769318880306E-3</v>
      </c>
      <c r="W62" s="13"/>
      <c r="X62" s="13">
        <f t="shared" si="9"/>
        <v>-1.0435107499169023E-2</v>
      </c>
      <c r="Y62" s="13">
        <f t="shared" si="10"/>
        <v>-2.8954305672809922E-3</v>
      </c>
      <c r="Z62" s="13"/>
      <c r="AA62" s="13">
        <f>(N62-H62)*(B62-$T62)</f>
        <v>-1.9334376469313562E-4</v>
      </c>
      <c r="AB62" s="13">
        <f t="shared" si="16"/>
        <v>5.4547899887066997E-3</v>
      </c>
      <c r="AC62" s="13">
        <f t="shared" si="17"/>
        <v>1.7746010068354651E-4</v>
      </c>
      <c r="AD62" s="13">
        <f t="shared" si="18"/>
        <v>1.5193137445891189E-5</v>
      </c>
      <c r="AE62" s="13">
        <f t="shared" si="19"/>
        <v>2.0855774697450292E-3</v>
      </c>
      <c r="AF62" s="13"/>
      <c r="AG62" s="157">
        <f t="shared" si="11"/>
        <v>7.5396769318880306E-3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B62" s="18"/>
      <c r="BC62" s="18"/>
    </row>
    <row r="63" spans="1:55">
      <c r="A63" s="146">
        <v>45991</v>
      </c>
      <c r="B63" s="161">
        <v>9.5614818288847197E-3</v>
      </c>
      <c r="C63" s="161">
        <v>2.167939536312272E-2</v>
      </c>
      <c r="D63" s="161">
        <v>1.0975909519034308E-2</v>
      </c>
      <c r="E63" s="161">
        <v>5.2366341890770288E-3</v>
      </c>
      <c r="F63" s="161">
        <v>5.8506760191477936E-3</v>
      </c>
      <c r="G63" s="162"/>
      <c r="H63" s="161">
        <v>0.22460750024147272</v>
      </c>
      <c r="I63" s="161">
        <v>0.18160369813454552</v>
      </c>
      <c r="J63" s="161">
        <v>0.38154410968542807</v>
      </c>
      <c r="K63" s="161">
        <v>6.5478760487239551E-2</v>
      </c>
      <c r="L63" s="161">
        <v>0.14676593145131403</v>
      </c>
      <c r="M63" s="161"/>
      <c r="N63" s="161">
        <v>0.23015472786843019</v>
      </c>
      <c r="O63" s="161">
        <v>0.36591396643123103</v>
      </c>
      <c r="P63" s="161">
        <f t="shared" si="0"/>
        <v>0.23268377369772653</v>
      </c>
      <c r="Q63" s="161">
        <v>9.2516959259591747E-2</v>
      </c>
      <c r="R63" s="161">
        <v>7.8730572743020533E-2</v>
      </c>
      <c r="S63" s="13"/>
      <c r="T63" s="13">
        <f t="shared" si="12"/>
        <v>1.1474000760277782E-2</v>
      </c>
      <c r="U63" s="13">
        <f t="shared" si="13"/>
        <v>1.3632434388000263E-2</v>
      </c>
      <c r="V63" s="157">
        <f t="shared" si="14"/>
        <v>2.1584336277224812E-3</v>
      </c>
      <c r="W63" s="13"/>
      <c r="X63" s="13">
        <f t="shared" si="9"/>
        <v>8.974000760277781E-3</v>
      </c>
      <c r="Y63" s="13">
        <f t="shared" si="10"/>
        <v>1.1132434388000262E-2</v>
      </c>
      <c r="Z63" s="13"/>
      <c r="AA63" s="13">
        <f t="shared" si="15"/>
        <v>-1.0609177853302779E-5</v>
      </c>
      <c r="AB63" s="13">
        <f t="shared" si="16"/>
        <v>1.8809590173238968E-3</v>
      </c>
      <c r="AC63" s="13">
        <f t="shared" si="17"/>
        <v>7.4146029524034833E-5</v>
      </c>
      <c r="AD63" s="13">
        <f t="shared" si="18"/>
        <v>-1.6864715716815082E-4</v>
      </c>
      <c r="AE63" s="13">
        <f t="shared" si="19"/>
        <v>3.8258491589600042E-4</v>
      </c>
      <c r="AF63" s="13"/>
      <c r="AG63" s="157">
        <f t="shared" si="11"/>
        <v>2.1584336277224786E-3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B63" s="18"/>
      <c r="BC63" s="18"/>
    </row>
    <row r="64" spans="1:55">
      <c r="A64" s="146">
        <v>46022</v>
      </c>
      <c r="B64" s="161">
        <v>-3.2835721492974162E-3</v>
      </c>
      <c r="C64" s="161">
        <v>1.6972204094063824E-2</v>
      </c>
      <c r="D64" s="161">
        <v>2.6645440105464513E-3</v>
      </c>
      <c r="E64" s="161">
        <v>5.5496336586804583E-3</v>
      </c>
      <c r="F64" s="161">
        <v>2.8522573822226957E-3</v>
      </c>
      <c r="G64" s="162"/>
      <c r="H64" s="161">
        <v>0.21777208779741808</v>
      </c>
      <c r="I64" s="161">
        <v>0.19096438391370774</v>
      </c>
      <c r="J64" s="161">
        <v>0.38050041155442765</v>
      </c>
      <c r="K64" s="161">
        <v>6.8160596849137542E-2</v>
      </c>
      <c r="L64" s="161">
        <v>0.14260251988530909</v>
      </c>
      <c r="M64" s="161"/>
      <c r="N64" s="161">
        <v>0.2300528503984216</v>
      </c>
      <c r="O64" s="161">
        <v>0.38114191621836813</v>
      </c>
      <c r="P64" s="161">
        <f>1-N64-O64-Q64-R64</f>
        <v>0.21245699057956385</v>
      </c>
      <c r="Q64" s="161">
        <v>0.11511456954040016</v>
      </c>
      <c r="R64" s="161">
        <v>6.1233673263246247E-2</v>
      </c>
      <c r="S64" s="13"/>
      <c r="T64" s="13">
        <f t="shared" si="12"/>
        <v>4.3248816612486175E-3</v>
      </c>
      <c r="U64" s="13">
        <f t="shared" si="13"/>
        <v>7.0930221465051006E-3</v>
      </c>
      <c r="V64" s="157">
        <f t="shared" si="14"/>
        <v>2.7681404852564831E-3</v>
      </c>
      <c r="W64" s="13"/>
      <c r="X64" s="13">
        <f t="shared" si="9"/>
        <v>1.8248816612486175E-3</v>
      </c>
      <c r="Y64" s="13">
        <f t="shared" si="10"/>
        <v>4.5930221465051001E-3</v>
      </c>
      <c r="Z64" s="13"/>
      <c r="AA64" s="13">
        <f t="shared" si="15"/>
        <v>-9.3437615008016498E-5</v>
      </c>
      <c r="AB64" s="13">
        <f t="shared" si="16"/>
        <v>2.4052365705341701E-3</v>
      </c>
      <c r="AC64" s="13">
        <f t="shared" si="17"/>
        <v>2.790088187973605E-4</v>
      </c>
      <c r="AD64" s="13">
        <f t="shared" si="18"/>
        <v>5.7506971840983991E-5</v>
      </c>
      <c r="AE64" s="13">
        <f t="shared" si="19"/>
        <v>1.198257390919861E-4</v>
      </c>
      <c r="AF64" s="13"/>
      <c r="AG64" s="157">
        <f t="shared" si="11"/>
        <v>2.7681404852564844E-3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B64" s="18"/>
      <c r="BC64" s="18"/>
    </row>
    <row r="66" spans="19:51">
      <c r="T66" s="295" t="s">
        <v>494</v>
      </c>
      <c r="U66" s="295"/>
      <c r="V66" s="295"/>
      <c r="AA66" s="295" t="s">
        <v>1284</v>
      </c>
      <c r="AB66" s="295"/>
      <c r="AC66" s="295"/>
      <c r="AD66" s="295"/>
      <c r="AE66" s="295"/>
    </row>
    <row r="67" spans="19:51">
      <c r="S67" s="1" t="s">
        <v>320</v>
      </c>
      <c r="T67" s="118">
        <f>AVERAGE(T5:T64)</f>
        <v>5.3818095695690538E-3</v>
      </c>
      <c r="U67" s="118">
        <f>AVERAGE(U5:U64)</f>
        <v>9.4995167891505482E-3</v>
      </c>
      <c r="V67" s="154">
        <f>AVERAGE(V5:V64)</f>
        <v>4.1177072195815005E-3</v>
      </c>
      <c r="AA67" s="156" t="s">
        <v>0</v>
      </c>
      <c r="AB67" s="156" t="s">
        <v>1</v>
      </c>
      <c r="AC67" s="156" t="s">
        <v>2</v>
      </c>
      <c r="AD67" s="156" t="s">
        <v>284</v>
      </c>
      <c r="AE67" s="156" t="s">
        <v>285</v>
      </c>
      <c r="AG67" s="156" t="s">
        <v>7</v>
      </c>
    </row>
    <row r="68" spans="19:51">
      <c r="S68" s="1" t="s">
        <v>491</v>
      </c>
      <c r="T68" s="118">
        <f>T67*12</f>
        <v>6.4581714834828649E-2</v>
      </c>
      <c r="U68" s="118">
        <f>U67*12</f>
        <v>0.11399420146980657</v>
      </c>
      <c r="V68" s="154">
        <f>V67*12</f>
        <v>4.9412486634978006E-2</v>
      </c>
      <c r="X68" s="13"/>
      <c r="Z68" s="1" t="s">
        <v>320</v>
      </c>
      <c r="AA68" s="118">
        <f>AVERAGE(AA5:AA64)</f>
        <v>-4.9949912168086587E-5</v>
      </c>
      <c r="AB68" s="118">
        <f>AVERAGE(AB5:AB64)</f>
        <v>3.2819975214515283E-3</v>
      </c>
      <c r="AC68" s="118">
        <f>AVERAGE(AC5:AC64)</f>
        <v>4.2011755699188986E-4</v>
      </c>
      <c r="AD68" s="118">
        <f>AVERAGE(AD5:AD64)</f>
        <v>1.2313036787706889E-4</v>
      </c>
      <c r="AE68" s="118">
        <f>AVERAGE(AE5:AE64)</f>
        <v>3.424116854290985E-4</v>
      </c>
      <c r="AG68" s="154">
        <f>SUM(AA68:AE68)</f>
        <v>4.1177072195814996E-3</v>
      </c>
      <c r="AS68" s="295"/>
      <c r="AT68" s="295"/>
      <c r="AU68" s="295"/>
      <c r="AV68" s="295"/>
      <c r="AW68" s="295"/>
    </row>
    <row r="69" spans="19:51">
      <c r="T69" s="13"/>
      <c r="U69" s="13"/>
      <c r="V69" s="13"/>
      <c r="X69" s="13"/>
      <c r="Z69" s="1" t="s">
        <v>491</v>
      </c>
      <c r="AA69" s="118">
        <f>AA68*12</f>
        <v>-5.9939894601703902E-4</v>
      </c>
      <c r="AB69" s="118">
        <f>AB68*12</f>
        <v>3.9383970257418341E-2</v>
      </c>
      <c r="AC69" s="118">
        <f>AC68*12</f>
        <v>5.0414106839026781E-3</v>
      </c>
      <c r="AD69" s="118">
        <f>AD68*12</f>
        <v>1.4775644145248266E-3</v>
      </c>
      <c r="AE69" s="118">
        <f>AE68*12</f>
        <v>4.1089402251491824E-3</v>
      </c>
      <c r="AG69" s="154">
        <f>SUM(AA69:AE69)</f>
        <v>4.9412486634977992E-2</v>
      </c>
      <c r="AS69" s="3"/>
      <c r="AT69" s="3"/>
      <c r="AU69" s="3"/>
      <c r="AV69" s="3"/>
      <c r="AW69" s="3"/>
    </row>
    <row r="70" spans="19:51">
      <c r="T70" s="158" t="s">
        <v>495</v>
      </c>
      <c r="U70" s="158" t="s">
        <v>154</v>
      </c>
      <c r="V70" s="158"/>
      <c r="X70" s="13"/>
      <c r="AA70" s="13"/>
      <c r="AB70" s="13"/>
      <c r="AC70" s="13"/>
      <c r="AD70" s="13"/>
      <c r="AE70" s="13"/>
      <c r="AG70" s="13"/>
      <c r="AS70" s="3"/>
      <c r="AT70" s="3"/>
      <c r="AU70" s="3"/>
      <c r="AV70" s="3"/>
      <c r="AW70" s="3"/>
    </row>
    <row r="71" spans="19:51">
      <c r="S71" s="1" t="s">
        <v>320</v>
      </c>
      <c r="T71" s="159">
        <f>INTERCEPT(Y5:Y64,X5:X64)</f>
        <v>4.1109603279151728E-3</v>
      </c>
      <c r="U71" s="36">
        <f>SLOPE(Y5:Y64,X5:X64)</f>
        <v>1.0023411996884071</v>
      </c>
      <c r="AA71" s="295" t="s">
        <v>493</v>
      </c>
      <c r="AB71" s="295"/>
      <c r="AC71" s="295"/>
      <c r="AD71" s="295"/>
      <c r="AE71" s="295"/>
      <c r="AG71" s="13"/>
      <c r="AS71" s="36"/>
      <c r="AT71" s="36"/>
      <c r="AU71" s="36"/>
      <c r="AV71" s="36"/>
      <c r="AW71" s="36"/>
      <c r="AY71" s="36"/>
    </row>
    <row r="72" spans="19:51">
      <c r="S72" s="1" t="s">
        <v>491</v>
      </c>
      <c r="T72" s="159">
        <f>T71*12</f>
        <v>4.9331523934982073E-2</v>
      </c>
      <c r="AA72" s="156" t="s">
        <v>0</v>
      </c>
      <c r="AB72" s="156" t="s">
        <v>1</v>
      </c>
      <c r="AC72" s="156" t="s">
        <v>2</v>
      </c>
      <c r="AD72" s="156" t="s">
        <v>284</v>
      </c>
      <c r="AE72" s="156" t="s">
        <v>285</v>
      </c>
      <c r="AG72" s="13"/>
      <c r="AS72" s="36"/>
      <c r="AT72" s="36"/>
      <c r="AU72" s="36"/>
      <c r="AV72" s="36"/>
      <c r="AW72" s="36"/>
      <c r="AY72" s="36"/>
    </row>
    <row r="73" spans="19:51">
      <c r="Z73" s="1" t="s">
        <v>320</v>
      </c>
      <c r="AA73" s="118">
        <f>INTERCEPT(AA5:AA64,$X$5:$X$64)</f>
        <v>-4.0942801206799428E-5</v>
      </c>
      <c r="AB73" s="118">
        <f>INTERCEPT(AB5:AB64,$X$5:$X$64)</f>
        <v>3.3732057716861323E-3</v>
      </c>
      <c r="AC73" s="118">
        <f>INTERCEPT(AC5:AC64,$X$5:$X$64)</f>
        <v>5.2425197764518323E-4</v>
      </c>
      <c r="AD73" s="118">
        <f>INTERCEPT(AD5:AD64,$X$5:$X$64)</f>
        <v>9.2489379640999032E-5</v>
      </c>
      <c r="AE73" s="118">
        <f>INTERCEPT(AE5:AE64,$X$5:$X$64)</f>
        <v>1.619560001496593E-4</v>
      </c>
      <c r="AG73" s="159">
        <f>SUM(AA73:AE73)</f>
        <v>4.1109603279151745E-3</v>
      </c>
    </row>
    <row r="74" spans="19:51">
      <c r="Z74" s="1" t="s">
        <v>491</v>
      </c>
      <c r="AA74" s="118">
        <f>AA73*12</f>
        <v>-4.9131361448159316E-4</v>
      </c>
      <c r="AB74" s="118">
        <f>AB73*12</f>
        <v>4.0478469260233588E-2</v>
      </c>
      <c r="AC74" s="118">
        <f>AC73*12</f>
        <v>6.2910237317421987E-3</v>
      </c>
      <c r="AD74" s="118">
        <f>AD73*12</f>
        <v>1.1098725556919883E-3</v>
      </c>
      <c r="AE74" s="118">
        <f>AE73*12</f>
        <v>1.9434720017959116E-3</v>
      </c>
      <c r="AG74" s="159">
        <f>SUM(AA74:AE74)</f>
        <v>4.9331523934982101E-2</v>
      </c>
      <c r="AV74" s="36"/>
    </row>
    <row r="76" spans="19:51">
      <c r="AA76" s="295" t="s">
        <v>160</v>
      </c>
      <c r="AB76" s="295"/>
      <c r="AC76" s="295"/>
      <c r="AD76" s="295"/>
      <c r="AE76" s="295"/>
    </row>
    <row r="77" spans="19:51">
      <c r="AA77" s="156" t="s">
        <v>0</v>
      </c>
      <c r="AB77" s="156" t="s">
        <v>1</v>
      </c>
      <c r="AC77" s="156" t="s">
        <v>2</v>
      </c>
      <c r="AD77" s="156" t="s">
        <v>284</v>
      </c>
      <c r="AE77" s="156" t="s">
        <v>285</v>
      </c>
    </row>
    <row r="78" spans="19:51">
      <c r="AA78" s="13">
        <f>SLOPE(B5:B64,$T$5:$T$64)</f>
        <v>0.84379269359216924</v>
      </c>
      <c r="AB78" s="13">
        <f>SLOPE(C5:C64,$T$5:$T$64)</f>
        <v>0.96323685017106098</v>
      </c>
      <c r="AC78" s="13">
        <f>SLOPE(D5:D64,$T$5:$T$64)</f>
        <v>1.2192428637804464</v>
      </c>
      <c r="AD78" s="13">
        <f>SLOPE(E5:E64,$T$5:$T$64)</f>
        <v>1.2594560897087419</v>
      </c>
      <c r="AE78" s="13">
        <f>SLOPE(F5:F64,$T$5:$T$64)</f>
        <v>0.54566758542493199</v>
      </c>
    </row>
  </sheetData>
  <mergeCells count="16">
    <mergeCell ref="A1:I1"/>
    <mergeCell ref="AA3:AE3"/>
    <mergeCell ref="AA76:AE76"/>
    <mergeCell ref="AY3:AZ3"/>
    <mergeCell ref="AS68:AW68"/>
    <mergeCell ref="AA66:AE66"/>
    <mergeCell ref="AA71:AE71"/>
    <mergeCell ref="AG3:AK3"/>
    <mergeCell ref="AM3:AN3"/>
    <mergeCell ref="AP3:AQ3"/>
    <mergeCell ref="B3:F3"/>
    <mergeCell ref="X3:Y3"/>
    <mergeCell ref="T66:V66"/>
    <mergeCell ref="H3:L3"/>
    <mergeCell ref="N3:R3"/>
    <mergeCell ref="T3:V3"/>
  </mergeCells>
  <pageMargins left="0.7" right="0.7" top="0.75" bottom="0.75" header="0.3" footer="0.3"/>
  <ignoredErrors>
    <ignoredError sqref="T5:V64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4778-20A2-413A-B51F-FBF225DCF165}">
  <dimension ref="A1:T44"/>
  <sheetViews>
    <sheetView workbookViewId="0"/>
  </sheetViews>
  <sheetFormatPr defaultRowHeight="15"/>
  <cols>
    <col min="1" max="1" width="15.42578125" bestFit="1" customWidth="1"/>
    <col min="2" max="2" width="9.85546875" bestFit="1" customWidth="1"/>
    <col min="3" max="3" width="10.5703125" customWidth="1"/>
    <col min="4" max="4" width="10.7109375" bestFit="1" customWidth="1"/>
    <col min="5" max="5" width="11.85546875" customWidth="1"/>
    <col min="6" max="6" width="13.140625" bestFit="1" customWidth="1"/>
    <col min="8" max="8" width="15.42578125" customWidth="1"/>
    <col min="9" max="9" width="17.140625" customWidth="1"/>
    <col min="10" max="10" width="16.5703125" bestFit="1" customWidth="1"/>
    <col min="11" max="11" width="13.140625" customWidth="1"/>
    <col min="12" max="12" width="15.85546875" customWidth="1"/>
    <col min="13" max="14" width="10.42578125" bestFit="1" customWidth="1"/>
  </cols>
  <sheetData>
    <row r="1" spans="1:14" ht="21">
      <c r="A1" s="240" t="s">
        <v>1295</v>
      </c>
      <c r="B1" s="240"/>
      <c r="C1" s="240"/>
      <c r="D1" s="240"/>
      <c r="E1" s="240"/>
      <c r="F1" s="240"/>
      <c r="G1" s="241"/>
      <c r="H1" s="241"/>
      <c r="I1" s="241"/>
      <c r="J1" s="241"/>
    </row>
    <row r="2" spans="1:14" ht="21">
      <c r="A2" s="241"/>
      <c r="B2" s="241"/>
      <c r="C2" s="241"/>
      <c r="D2" s="241"/>
      <c r="E2" s="241"/>
      <c r="F2" s="241"/>
      <c r="G2" s="241"/>
      <c r="H2" s="241"/>
      <c r="I2" s="241"/>
      <c r="J2" s="241"/>
    </row>
    <row r="3" spans="1:14">
      <c r="A3" s="150"/>
      <c r="B3" s="294" t="s">
        <v>1302</v>
      </c>
      <c r="C3" s="294"/>
      <c r="D3" s="294"/>
      <c r="E3" s="150"/>
      <c r="F3" s="150"/>
    </row>
    <row r="4" spans="1:14" ht="18">
      <c r="A4" s="150" t="s">
        <v>312</v>
      </c>
      <c r="B4" s="150" t="s">
        <v>1296</v>
      </c>
      <c r="C4" s="150" t="s">
        <v>1297</v>
      </c>
      <c r="D4" s="150" t="s">
        <v>1298</v>
      </c>
      <c r="E4" s="257" t="s">
        <v>1303</v>
      </c>
      <c r="F4" s="148" t="s">
        <v>291</v>
      </c>
    </row>
    <row r="5" spans="1:14">
      <c r="A5" s="147">
        <v>1</v>
      </c>
      <c r="B5" s="147">
        <v>1.2110000000000001</v>
      </c>
      <c r="C5" s="147">
        <v>0.56100000000000005</v>
      </c>
      <c r="D5" s="147">
        <v>0.49399999999999999</v>
      </c>
      <c r="E5" s="147">
        <v>1.3220000000000001</v>
      </c>
      <c r="F5" s="161">
        <v>-7.8E-2</v>
      </c>
      <c r="G5" s="36"/>
    </row>
    <row r="6" spans="1:14">
      <c r="A6" s="147">
        <v>2</v>
      </c>
      <c r="B6" s="147">
        <v>1.355</v>
      </c>
      <c r="C6" s="147">
        <v>0.54200000000000004</v>
      </c>
      <c r="D6" s="147">
        <v>0.31900000000000001</v>
      </c>
      <c r="E6" s="147">
        <v>1.5489999999999999</v>
      </c>
      <c r="F6" s="161">
        <v>-2.3099999999999999E-2</v>
      </c>
      <c r="G6" s="36"/>
      <c r="H6" t="s">
        <v>113</v>
      </c>
    </row>
    <row r="7" spans="1:14" ht="15.75" thickBot="1">
      <c r="A7" s="147">
        <v>3</v>
      </c>
      <c r="B7" s="147">
        <v>0.48899999999999999</v>
      </c>
      <c r="C7" s="147">
        <v>0.67900000000000005</v>
      </c>
      <c r="D7" s="147">
        <v>0.41499999999999998</v>
      </c>
      <c r="E7" s="147">
        <v>0.68600000000000005</v>
      </c>
      <c r="F7" s="161">
        <v>-3.39E-2</v>
      </c>
      <c r="G7" s="36"/>
    </row>
    <row r="8" spans="1:14">
      <c r="A8" s="147">
        <v>4</v>
      </c>
      <c r="B8" s="147">
        <v>0.97199999999999998</v>
      </c>
      <c r="C8" s="147">
        <v>0.46899999999999997</v>
      </c>
      <c r="D8" s="147">
        <v>0.59</v>
      </c>
      <c r="E8" s="147">
        <v>0.98099999999999998</v>
      </c>
      <c r="F8" s="161">
        <v>-0.10409999999999998</v>
      </c>
      <c r="G8" s="36"/>
      <c r="H8" s="22" t="s">
        <v>114</v>
      </c>
      <c r="I8" s="22"/>
    </row>
    <row r="9" spans="1:14">
      <c r="A9" s="147">
        <v>5</v>
      </c>
      <c r="B9" s="147">
        <v>1.2030000000000001</v>
      </c>
      <c r="C9" s="147">
        <v>0.71699999999999997</v>
      </c>
      <c r="D9" s="147">
        <v>5.0999999999999997E-2</v>
      </c>
      <c r="E9" s="147">
        <v>1.6220000000000001</v>
      </c>
      <c r="F9" s="161">
        <v>7.0199999999999999E-2</v>
      </c>
      <c r="G9" s="36"/>
      <c r="H9" t="s">
        <v>115</v>
      </c>
      <c r="I9" s="2">
        <v>0.9812491959548254</v>
      </c>
    </row>
    <row r="10" spans="1:14">
      <c r="A10" s="147">
        <v>6</v>
      </c>
      <c r="B10" s="147">
        <v>1.0900000000000001</v>
      </c>
      <c r="C10" s="147">
        <v>0.32300000000000001</v>
      </c>
      <c r="D10" s="147">
        <v>8.2000000000000003E-2</v>
      </c>
      <c r="E10" s="147">
        <v>1.202</v>
      </c>
      <c r="F10" s="161">
        <v>6.2699999999999992E-2</v>
      </c>
      <c r="G10" s="36"/>
      <c r="H10" t="s">
        <v>116</v>
      </c>
      <c r="I10" s="2">
        <v>0.96284998456199133</v>
      </c>
    </row>
    <row r="11" spans="1:14">
      <c r="A11" s="147">
        <v>7</v>
      </c>
      <c r="B11" s="147">
        <v>0.86699999999999999</v>
      </c>
      <c r="C11" s="147">
        <v>0.56299999999999994</v>
      </c>
      <c r="D11" s="147">
        <v>0.47</v>
      </c>
      <c r="E11" s="147">
        <v>0.89900000000000002</v>
      </c>
      <c r="F11" s="161">
        <v>-6.1499999999999992E-2</v>
      </c>
      <c r="G11" s="36"/>
      <c r="H11" t="s">
        <v>117</v>
      </c>
      <c r="I11" s="2">
        <v>0.9585634443191442</v>
      </c>
    </row>
    <row r="12" spans="1:14">
      <c r="A12" s="147">
        <v>8</v>
      </c>
      <c r="B12" s="147">
        <v>0.98099999999999998</v>
      </c>
      <c r="C12" s="147">
        <v>0.51100000000000001</v>
      </c>
      <c r="D12" s="147">
        <v>0.34399999999999997</v>
      </c>
      <c r="E12" s="147">
        <v>1.046</v>
      </c>
      <c r="F12" s="161">
        <v>-2.2199999999999998E-2</v>
      </c>
      <c r="G12" s="36"/>
      <c r="H12" t="s">
        <v>118</v>
      </c>
      <c r="I12" s="2">
        <v>3.8833387154529921E-2</v>
      </c>
    </row>
    <row r="13" spans="1:14" ht="15.75" thickBot="1">
      <c r="A13" s="147">
        <v>9</v>
      </c>
      <c r="B13" s="147">
        <v>1.0580000000000001</v>
      </c>
      <c r="C13" s="147">
        <v>0.62</v>
      </c>
      <c r="D13" s="147">
        <v>0.34100000000000003</v>
      </c>
      <c r="E13" s="147">
        <v>1.2729999999999999</v>
      </c>
      <c r="F13" s="161">
        <v>-2.3099999999999999E-2</v>
      </c>
      <c r="G13" s="36"/>
      <c r="H13" s="20" t="s">
        <v>119</v>
      </c>
      <c r="I13" s="20">
        <v>30</v>
      </c>
    </row>
    <row r="14" spans="1:14" ht="15.75" thickBot="1">
      <c r="A14" s="147">
        <v>10</v>
      </c>
      <c r="B14" s="147">
        <v>1.1100000000000001</v>
      </c>
      <c r="C14" s="147">
        <v>0.50700000000000001</v>
      </c>
      <c r="D14" s="147">
        <v>0.191</v>
      </c>
      <c r="E14" s="147">
        <v>1.228</v>
      </c>
      <c r="F14" s="161">
        <v>2.5799999999999997E-2</v>
      </c>
      <c r="G14" s="36"/>
    </row>
    <row r="15" spans="1:14">
      <c r="A15" s="147">
        <v>11</v>
      </c>
      <c r="B15" s="147">
        <v>0.85699999999999998</v>
      </c>
      <c r="C15" s="147">
        <v>0.75700000000000001</v>
      </c>
      <c r="D15" s="147">
        <v>0.20599999999999999</v>
      </c>
      <c r="E15" s="147">
        <v>1.034</v>
      </c>
      <c r="F15" s="161">
        <v>2.7E-2</v>
      </c>
      <c r="G15" s="36"/>
      <c r="H15" s="21"/>
      <c r="I15" s="21" t="s">
        <v>128</v>
      </c>
      <c r="J15" s="21" t="s">
        <v>118</v>
      </c>
      <c r="K15" s="21" t="s">
        <v>129</v>
      </c>
      <c r="L15" s="21" t="s">
        <v>130</v>
      </c>
      <c r="M15" s="21" t="s">
        <v>131</v>
      </c>
      <c r="N15" s="21" t="s">
        <v>132</v>
      </c>
    </row>
    <row r="16" spans="1:14">
      <c r="A16" s="147">
        <v>12</v>
      </c>
      <c r="B16" s="147">
        <v>0.75700000000000001</v>
      </c>
      <c r="C16" s="147">
        <v>0.45300000000000001</v>
      </c>
      <c r="D16" s="147">
        <v>0.248</v>
      </c>
      <c r="E16" s="147">
        <v>0.84499999999999997</v>
      </c>
      <c r="F16" s="161">
        <v>1.5299999999999998E-2</v>
      </c>
      <c r="G16" s="36"/>
      <c r="H16" t="s">
        <v>133</v>
      </c>
      <c r="I16" s="6">
        <v>-0.12684672516852408</v>
      </c>
      <c r="J16" s="6">
        <v>5.8484175784392793E-2</v>
      </c>
      <c r="K16" s="6">
        <v>-2.1689067763587198</v>
      </c>
      <c r="L16" s="6">
        <v>3.9420505767045047E-2</v>
      </c>
      <c r="M16" s="6">
        <v>-0.24706267018810812</v>
      </c>
      <c r="N16" s="6">
        <v>-6.6307801489400436E-3</v>
      </c>
    </row>
    <row r="17" spans="1:18">
      <c r="A17" s="147">
        <v>13</v>
      </c>
      <c r="B17" s="147">
        <v>0.92300000000000004</v>
      </c>
      <c r="C17" s="147">
        <v>0.53400000000000003</v>
      </c>
      <c r="D17" s="147">
        <v>0.12</v>
      </c>
      <c r="E17" s="147">
        <v>1.0920000000000001</v>
      </c>
      <c r="F17" s="161">
        <v>5.3999999999999999E-2</v>
      </c>
      <c r="G17" s="36"/>
      <c r="H17" t="s">
        <v>134</v>
      </c>
      <c r="I17" s="6">
        <v>1.1125269362154693</v>
      </c>
      <c r="J17" s="6">
        <v>4.56160431756331E-2</v>
      </c>
      <c r="K17" s="6">
        <v>24.388939915984473</v>
      </c>
      <c r="L17" s="6">
        <v>1.9274756223971527E-19</v>
      </c>
      <c r="M17" s="6">
        <v>1.018761816593551</v>
      </c>
      <c r="N17" s="6">
        <v>1.2062920558373875</v>
      </c>
    </row>
    <row r="18" spans="1:18">
      <c r="A18" s="147">
        <v>14</v>
      </c>
      <c r="B18" s="147">
        <v>1.0860000000000001</v>
      </c>
      <c r="C18" s="147">
        <v>0.55700000000000005</v>
      </c>
      <c r="D18" s="147">
        <v>0.45800000000000002</v>
      </c>
      <c r="E18" s="147">
        <v>1.196</v>
      </c>
      <c r="F18" s="161">
        <v>-6.3E-2</v>
      </c>
      <c r="G18" s="36"/>
      <c r="H18" t="s">
        <v>650</v>
      </c>
      <c r="I18" s="6">
        <v>0.47586690254610475</v>
      </c>
      <c r="J18" s="6">
        <v>6.3972238521641495E-2</v>
      </c>
      <c r="K18" s="6">
        <v>7.4386470372632232</v>
      </c>
      <c r="L18" s="6">
        <v>6.7304909833656266E-8</v>
      </c>
      <c r="M18" s="6">
        <v>0.34437008300898703</v>
      </c>
      <c r="N18" s="6">
        <v>0.60736372208322242</v>
      </c>
    </row>
    <row r="19" spans="1:18" ht="15.75" thickBot="1">
      <c r="A19" s="147">
        <v>15</v>
      </c>
      <c r="B19" s="147">
        <v>1.117</v>
      </c>
      <c r="C19" s="147">
        <v>0.38900000000000001</v>
      </c>
      <c r="D19" s="147">
        <v>0.191</v>
      </c>
      <c r="E19" s="147">
        <v>1.2589999999999999</v>
      </c>
      <c r="F19" s="161">
        <v>2.5500000000000002E-2</v>
      </c>
      <c r="G19" s="36"/>
      <c r="H19" s="20" t="s">
        <v>651</v>
      </c>
      <c r="I19" s="256">
        <v>-0.33591859035487787</v>
      </c>
      <c r="J19" s="256">
        <v>5.8866253820226193E-2</v>
      </c>
      <c r="K19" s="256">
        <v>-5.7064713406216052</v>
      </c>
      <c r="L19" s="256">
        <v>5.2667249288456621E-6</v>
      </c>
      <c r="M19" s="256">
        <v>-0.45691990802497628</v>
      </c>
      <c r="N19" s="256">
        <v>-0.21491727268477945</v>
      </c>
    </row>
    <row r="20" spans="1:18">
      <c r="A20" s="147">
        <v>16</v>
      </c>
      <c r="B20" s="147">
        <v>1.085</v>
      </c>
      <c r="C20" s="147">
        <v>0.32700000000000001</v>
      </c>
      <c r="D20" s="147">
        <v>0.20799999999999999</v>
      </c>
      <c r="E20" s="147">
        <v>1.1910000000000001</v>
      </c>
      <c r="F20" s="161">
        <v>2.07E-2</v>
      </c>
      <c r="G20" s="36"/>
    </row>
    <row r="21" spans="1:18">
      <c r="A21" s="147">
        <v>17</v>
      </c>
      <c r="B21" s="147">
        <v>0.82799999999999996</v>
      </c>
      <c r="C21" s="147">
        <v>0.435</v>
      </c>
      <c r="D21" s="147">
        <v>0.24099999999999999</v>
      </c>
      <c r="E21" s="147">
        <v>0.92</v>
      </c>
      <c r="F21" s="161">
        <v>1.5899999999999997E-2</v>
      </c>
      <c r="G21" s="36"/>
    </row>
    <row r="22" spans="1:18">
      <c r="A22" s="147">
        <v>18</v>
      </c>
      <c r="B22" s="147">
        <v>0.91700000000000004</v>
      </c>
      <c r="C22" s="147">
        <v>0.53100000000000003</v>
      </c>
      <c r="D22" s="147">
        <v>0.29299999999999998</v>
      </c>
      <c r="E22" s="147">
        <v>1.01</v>
      </c>
      <c r="F22" s="161">
        <v>-3.5999999999999999E-3</v>
      </c>
      <c r="G22" s="36"/>
      <c r="H22" s="1" t="s">
        <v>1299</v>
      </c>
    </row>
    <row r="23" spans="1:18">
      <c r="A23" s="147">
        <v>19</v>
      </c>
      <c r="B23" s="147">
        <v>0.89700000000000002</v>
      </c>
      <c r="C23" s="147">
        <v>0.35699999999999998</v>
      </c>
      <c r="D23" s="147">
        <v>0.221</v>
      </c>
      <c r="E23" s="147">
        <v>0.99</v>
      </c>
      <c r="F23" s="161">
        <v>2.1000000000000001E-2</v>
      </c>
      <c r="G23" s="36"/>
      <c r="H23" s="24">
        <f>SUMPRODUCT(F5:F34,E5:E34)</f>
        <v>3.8827800000000003E-2</v>
      </c>
      <c r="L23" s="229"/>
      <c r="M23" s="229"/>
    </row>
    <row r="24" spans="1:18">
      <c r="A24" s="147">
        <v>20</v>
      </c>
      <c r="B24" s="147">
        <v>0.92400000000000004</v>
      </c>
      <c r="C24" s="147">
        <v>0.443</v>
      </c>
      <c r="D24" s="147">
        <v>0.17399999999999999</v>
      </c>
      <c r="E24" s="147">
        <v>1.028</v>
      </c>
      <c r="F24" s="161">
        <v>3.5999999999999997E-2</v>
      </c>
      <c r="G24" s="36"/>
    </row>
    <row r="25" spans="1:18">
      <c r="A25" s="147">
        <v>21</v>
      </c>
      <c r="B25" s="147">
        <v>1.016</v>
      </c>
      <c r="C25" s="147">
        <v>0.48099999999999998</v>
      </c>
      <c r="D25" s="147">
        <v>0.23100000000000001</v>
      </c>
      <c r="E25" s="147">
        <v>1.1339999999999999</v>
      </c>
      <c r="F25" s="161">
        <v>1.47E-2</v>
      </c>
      <c r="G25" s="13"/>
      <c r="H25" s="36"/>
      <c r="I25" s="295" t="s">
        <v>1300</v>
      </c>
      <c r="J25" s="295"/>
      <c r="K25" s="295"/>
    </row>
    <row r="26" spans="1:18">
      <c r="A26" s="147">
        <v>22</v>
      </c>
      <c r="B26" s="147">
        <v>0.94099999999999995</v>
      </c>
      <c r="C26" s="147">
        <v>0.442</v>
      </c>
      <c r="D26" s="147">
        <v>0.442</v>
      </c>
      <c r="E26" s="147">
        <v>0.98499999999999999</v>
      </c>
      <c r="F26" s="161">
        <v>-5.3999999999999999E-2</v>
      </c>
      <c r="G26" s="13"/>
      <c r="H26" s="36"/>
      <c r="I26" t="s">
        <v>1296</v>
      </c>
      <c r="J26" t="s">
        <v>1297</v>
      </c>
      <c r="K26" t="s">
        <v>1298</v>
      </c>
      <c r="L26" s="4"/>
    </row>
    <row r="27" spans="1:18">
      <c r="A27" s="147">
        <v>23</v>
      </c>
      <c r="B27" s="147">
        <v>0.89100000000000001</v>
      </c>
      <c r="C27" s="147">
        <v>0.71399999999999997</v>
      </c>
      <c r="D27" s="147">
        <v>0.30399999999999999</v>
      </c>
      <c r="E27" s="147">
        <v>1.079</v>
      </c>
      <c r="F27" s="161">
        <v>-6.5999999999999991E-3</v>
      </c>
      <c r="G27" s="13"/>
      <c r="H27" s="36"/>
      <c r="I27" s="6">
        <f>SUMPRODUCT($F$5:$F$34,B5:B34)</f>
        <v>-1.6380000000005765E-4</v>
      </c>
      <c r="J27" s="6">
        <f>SUMPRODUCT($F$5:$F$34,C5:C34)</f>
        <v>-2.3925600000000019E-2</v>
      </c>
      <c r="K27" s="6">
        <f>SUMPRODUCT($F$5:$F$34,D5:D34)</f>
        <v>-0.14999339999999992</v>
      </c>
      <c r="L27" s="5"/>
    </row>
    <row r="28" spans="1:18">
      <c r="A28" s="147">
        <v>24</v>
      </c>
      <c r="B28" s="147">
        <v>1.0049999999999999</v>
      </c>
      <c r="C28" s="147">
        <v>0.432</v>
      </c>
      <c r="D28" s="147">
        <v>0.23300000000000001</v>
      </c>
      <c r="E28" s="147">
        <v>1.105</v>
      </c>
      <c r="F28" s="161">
        <v>1.44E-2</v>
      </c>
      <c r="G28" s="13"/>
      <c r="H28" s="36"/>
      <c r="I28" s="6"/>
      <c r="J28" s="6"/>
      <c r="K28" s="6"/>
    </row>
    <row r="29" spans="1:18">
      <c r="A29" s="147">
        <v>25</v>
      </c>
      <c r="B29" s="147">
        <v>0.92200000000000004</v>
      </c>
      <c r="C29" s="147">
        <v>0.35499999999999998</v>
      </c>
      <c r="D29" s="147">
        <v>0.30099999999999999</v>
      </c>
      <c r="E29" s="147">
        <v>0.997</v>
      </c>
      <c r="F29" s="161">
        <v>-6.3E-3</v>
      </c>
      <c r="G29" s="13"/>
      <c r="H29" s="36"/>
      <c r="I29" s="295" t="s">
        <v>1304</v>
      </c>
      <c r="J29" s="295"/>
      <c r="K29" s="295"/>
      <c r="L29" s="295"/>
    </row>
    <row r="30" spans="1:18">
      <c r="A30" s="147">
        <v>26</v>
      </c>
      <c r="B30" s="147">
        <v>0.97099999999999997</v>
      </c>
      <c r="C30" s="147">
        <v>0.56899999999999995</v>
      </c>
      <c r="D30" s="147">
        <v>0.309</v>
      </c>
      <c r="E30" s="147">
        <v>1.1479999999999999</v>
      </c>
      <c r="F30" s="161">
        <v>-1.0200000000000001E-2</v>
      </c>
      <c r="G30" s="13"/>
      <c r="H30" s="36"/>
      <c r="I30" s="6" t="s">
        <v>319</v>
      </c>
      <c r="J30" s="6" t="s">
        <v>315</v>
      </c>
      <c r="K30" s="6" t="s">
        <v>316</v>
      </c>
      <c r="L30" s="6" t="s">
        <v>1301</v>
      </c>
      <c r="M30" s="36"/>
    </row>
    <row r="31" spans="1:18">
      <c r="A31" s="147">
        <v>27</v>
      </c>
      <c r="B31" s="147">
        <v>0.84199999999999997</v>
      </c>
      <c r="C31" s="147">
        <v>0.40400000000000003</v>
      </c>
      <c r="D31" s="147">
        <v>0.23899999999999999</v>
      </c>
      <c r="E31" s="147">
        <v>0.93100000000000005</v>
      </c>
      <c r="F31" s="161">
        <v>1.6199999999999999E-2</v>
      </c>
      <c r="G31" s="13"/>
      <c r="H31" s="36"/>
      <c r="I31" s="27">
        <f>I17*I27</f>
        <v>-1.8223191215215802E-4</v>
      </c>
      <c r="J31" s="6">
        <f>I18*J27</f>
        <v>-1.1385401163557093E-2</v>
      </c>
      <c r="K31" s="6">
        <f>K27*I19</f>
        <v>5.0385571490535311E-2</v>
      </c>
      <c r="L31" s="24">
        <f>H23-SUM(I31:K31)</f>
        <v>9.8615851739439209E-6</v>
      </c>
      <c r="M31" s="23"/>
      <c r="N31" s="23"/>
      <c r="O31" s="23"/>
      <c r="P31" s="23"/>
      <c r="Q31" s="23"/>
      <c r="R31" s="23"/>
    </row>
    <row r="32" spans="1:18">
      <c r="A32" s="147">
        <v>28</v>
      </c>
      <c r="B32" s="147">
        <v>0.874</v>
      </c>
      <c r="C32" s="147">
        <v>0.42299999999999999</v>
      </c>
      <c r="D32" s="147">
        <v>0.14499999999999999</v>
      </c>
      <c r="E32" s="147">
        <v>0.999</v>
      </c>
      <c r="F32" s="161">
        <v>4.7099999999999996E-2</v>
      </c>
      <c r="G32" s="36"/>
      <c r="H32" s="6" t="s">
        <v>1305</v>
      </c>
      <c r="I32" s="216">
        <f>I31/$H$23</f>
        <v>-4.6933360157453679E-3</v>
      </c>
      <c r="J32" s="216">
        <f>J31/$H$23</f>
        <v>-0.29322807791214267</v>
      </c>
      <c r="K32" s="216">
        <f>K31/$H$23</f>
        <v>1.2976674313387653</v>
      </c>
      <c r="L32" s="216">
        <f>L31/$H$23</f>
        <v>2.5398258912284294E-4</v>
      </c>
    </row>
    <row r="33" spans="1:20">
      <c r="A33" s="147">
        <v>29</v>
      </c>
      <c r="B33" s="147">
        <v>0.93700000000000006</v>
      </c>
      <c r="C33" s="147">
        <v>0.42099999999999999</v>
      </c>
      <c r="D33" s="147">
        <v>0.252</v>
      </c>
      <c r="E33" s="147">
        <v>1.0249999999999999</v>
      </c>
      <c r="F33" s="161">
        <v>9.5999999999999992E-3</v>
      </c>
      <c r="G33" s="36"/>
      <c r="H33" s="6"/>
      <c r="I33" s="6"/>
      <c r="J33" s="6"/>
    </row>
    <row r="34" spans="1:20">
      <c r="A34" s="147">
        <v>30</v>
      </c>
      <c r="B34" s="147">
        <v>0.86</v>
      </c>
      <c r="C34" s="147">
        <v>0.54700000000000004</v>
      </c>
      <c r="D34" s="147">
        <v>0.25</v>
      </c>
      <c r="E34" s="147">
        <v>1.0249999999999999</v>
      </c>
      <c r="F34" s="161">
        <v>1.35E-2</v>
      </c>
      <c r="G34" s="36"/>
      <c r="H34" s="6"/>
      <c r="I34" s="6"/>
      <c r="J34" s="6"/>
    </row>
    <row r="35" spans="1:20">
      <c r="E35" s="36"/>
      <c r="G35" s="36"/>
    </row>
    <row r="36" spans="1:20">
      <c r="F36" s="13"/>
      <c r="L36" s="23"/>
      <c r="M36" s="23"/>
      <c r="N36" s="23"/>
      <c r="O36" s="23"/>
      <c r="P36" s="23"/>
      <c r="Q36" s="23"/>
      <c r="R36" s="23"/>
      <c r="S36" s="23"/>
      <c r="T36" s="23"/>
    </row>
    <row r="44" spans="1:20">
      <c r="H44" s="13"/>
    </row>
  </sheetData>
  <mergeCells count="3">
    <mergeCell ref="I25:K25"/>
    <mergeCell ref="B3:D3"/>
    <mergeCell ref="I29:L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5E98-13D5-4AED-BA9D-2582CBADBFBB}">
  <dimension ref="A1:G24"/>
  <sheetViews>
    <sheetView workbookViewId="0">
      <selection sqref="A1:G1"/>
    </sheetView>
  </sheetViews>
  <sheetFormatPr defaultRowHeight="15"/>
  <cols>
    <col min="3" max="3" width="19.7109375" bestFit="1" customWidth="1"/>
    <col min="4" max="4" width="12.85546875" bestFit="1" customWidth="1"/>
    <col min="5" max="5" width="2.42578125" customWidth="1"/>
  </cols>
  <sheetData>
    <row r="1" spans="1:7" ht="21">
      <c r="A1" s="307" t="s">
        <v>1306</v>
      </c>
      <c r="B1" s="307"/>
      <c r="C1" s="307"/>
      <c r="D1" s="307"/>
      <c r="E1" s="307"/>
      <c r="F1" s="307"/>
      <c r="G1" s="307"/>
    </row>
    <row r="3" spans="1:7" ht="15.75" thickBot="1">
      <c r="A3" s="258" t="s">
        <v>163</v>
      </c>
      <c r="B3" s="258" t="s">
        <v>331</v>
      </c>
      <c r="C3" s="258" t="s">
        <v>322</v>
      </c>
      <c r="D3" s="258" t="s">
        <v>323</v>
      </c>
      <c r="E3" s="107"/>
      <c r="F3" s="108" t="s">
        <v>324</v>
      </c>
      <c r="G3" s="108" t="s">
        <v>325</v>
      </c>
    </row>
    <row r="4" spans="1:7">
      <c r="A4" s="259">
        <v>42825</v>
      </c>
      <c r="B4" s="260" t="s">
        <v>329</v>
      </c>
      <c r="C4" s="261">
        <v>-400</v>
      </c>
      <c r="D4" s="161">
        <v>1</v>
      </c>
      <c r="E4" s="104"/>
      <c r="F4">
        <f t="shared" ref="F4:F12" si="0">C4/D4</f>
        <v>-400</v>
      </c>
    </row>
    <row r="5" spans="1:7">
      <c r="A5" s="259">
        <v>43465</v>
      </c>
      <c r="B5" s="260" t="s">
        <v>329</v>
      </c>
      <c r="C5" s="262">
        <v>-200</v>
      </c>
      <c r="D5" s="161">
        <v>1.0995279490227576</v>
      </c>
      <c r="E5" s="104"/>
      <c r="F5">
        <f t="shared" si="0"/>
        <v>-181.8962402708878</v>
      </c>
    </row>
    <row r="6" spans="1:7">
      <c r="A6" s="259">
        <v>43862</v>
      </c>
      <c r="B6" s="260" t="s">
        <v>329</v>
      </c>
      <c r="C6" s="262">
        <v>-300</v>
      </c>
      <c r="D6" s="161">
        <v>1.3276419532541912</v>
      </c>
      <c r="E6" s="104"/>
      <c r="F6">
        <f t="shared" si="0"/>
        <v>-225.9645375507065</v>
      </c>
    </row>
    <row r="7" spans="1:7">
      <c r="A7" s="259">
        <v>44012</v>
      </c>
      <c r="B7" s="260" t="s">
        <v>329</v>
      </c>
      <c r="C7" s="262">
        <v>-400</v>
      </c>
      <c r="D7" s="161">
        <v>1.4068994625314917</v>
      </c>
      <c r="E7" s="104"/>
      <c r="F7">
        <f t="shared" si="0"/>
        <v>-284.31313725876595</v>
      </c>
    </row>
    <row r="8" spans="1:7">
      <c r="A8" s="259">
        <v>44165</v>
      </c>
      <c r="B8" s="260" t="s">
        <v>329</v>
      </c>
      <c r="C8" s="262">
        <v>-500</v>
      </c>
      <c r="D8" s="161">
        <v>1.65613685062501</v>
      </c>
      <c r="E8" s="104"/>
      <c r="F8">
        <f t="shared" si="0"/>
        <v>-301.90741774226257</v>
      </c>
    </row>
    <row r="9" spans="1:7">
      <c r="A9" s="259">
        <v>44227</v>
      </c>
      <c r="B9" s="260" t="s">
        <v>329</v>
      </c>
      <c r="C9" s="262">
        <v>-100</v>
      </c>
      <c r="D9" s="161">
        <v>1.707646204692111</v>
      </c>
      <c r="E9" s="104"/>
      <c r="F9">
        <f t="shared" si="0"/>
        <v>-58.560139521423892</v>
      </c>
    </row>
    <row r="10" spans="1:7">
      <c r="A10" s="259">
        <v>44651</v>
      </c>
      <c r="B10" s="260" t="s">
        <v>329</v>
      </c>
      <c r="C10" s="262">
        <v>-600</v>
      </c>
      <c r="D10" s="161">
        <v>2.1161960835838807</v>
      </c>
      <c r="E10" s="104"/>
      <c r="F10">
        <f t="shared" si="0"/>
        <v>-283.52760155565119</v>
      </c>
      <c r="G10" s="103"/>
    </row>
    <row r="11" spans="1:7">
      <c r="A11" s="259">
        <v>44742</v>
      </c>
      <c r="B11" s="260" t="s">
        <v>329</v>
      </c>
      <c r="C11" s="262">
        <v>-100</v>
      </c>
      <c r="D11" s="161">
        <v>1.7738107116633894</v>
      </c>
      <c r="E11" s="104"/>
      <c r="F11">
        <f t="shared" si="0"/>
        <v>-56.375801173409926</v>
      </c>
    </row>
    <row r="12" spans="1:7">
      <c r="A12" s="259">
        <v>45046</v>
      </c>
      <c r="B12" s="260" t="s">
        <v>329</v>
      </c>
      <c r="C12" s="262">
        <v>-200</v>
      </c>
      <c r="D12" s="161">
        <v>1.9818286355377743</v>
      </c>
      <c r="E12" s="104"/>
      <c r="F12">
        <f t="shared" si="0"/>
        <v>-100.91689887492693</v>
      </c>
    </row>
    <row r="13" spans="1:7">
      <c r="A13" s="263">
        <v>45138</v>
      </c>
      <c r="B13" s="264" t="s">
        <v>330</v>
      </c>
      <c r="C13" s="265">
        <v>700</v>
      </c>
      <c r="D13" s="161">
        <v>2.193122493527162</v>
      </c>
      <c r="E13" s="104"/>
      <c r="G13" s="2">
        <f>C13/D13</f>
        <v>319.1796181316812</v>
      </c>
    </row>
    <row r="14" spans="1:7">
      <c r="A14" s="259">
        <v>45230</v>
      </c>
      <c r="B14" s="260" t="s">
        <v>329</v>
      </c>
      <c r="C14" s="262">
        <v>-100</v>
      </c>
      <c r="D14" s="161">
        <v>2.0133165968786741</v>
      </c>
      <c r="E14" s="104"/>
      <c r="F14">
        <f>C14/D14</f>
        <v>-49.669287063462363</v>
      </c>
      <c r="G14" s="2"/>
    </row>
    <row r="15" spans="1:7">
      <c r="A15" s="259">
        <v>45382</v>
      </c>
      <c r="B15" s="260" t="s">
        <v>329</v>
      </c>
      <c r="C15" s="262">
        <v>-100</v>
      </c>
      <c r="D15" s="161">
        <v>2.5352256902236054</v>
      </c>
      <c r="E15" s="104"/>
      <c r="F15">
        <f>C15/D15</f>
        <v>-39.444220049371644</v>
      </c>
      <c r="G15" s="2"/>
    </row>
    <row r="16" spans="1:7">
      <c r="A16" s="263">
        <v>45565</v>
      </c>
      <c r="B16" s="264" t="s">
        <v>330</v>
      </c>
      <c r="C16" s="265">
        <v>900</v>
      </c>
      <c r="D16" s="161">
        <v>2.8096869964660449</v>
      </c>
      <c r="E16" s="104"/>
      <c r="G16" s="2">
        <f>C16/D16</f>
        <v>320.32037772605912</v>
      </c>
    </row>
    <row r="17" spans="1:7" ht="15.75" thickBot="1">
      <c r="A17" s="266">
        <v>45657</v>
      </c>
      <c r="B17" s="267" t="s">
        <v>328</v>
      </c>
      <c r="C17" s="268">
        <v>3000</v>
      </c>
      <c r="D17" s="269">
        <v>2.8843099546828985</v>
      </c>
      <c r="E17" s="20"/>
      <c r="F17" s="20"/>
      <c r="G17" s="106">
        <f>C17/D17</f>
        <v>1040.1101293324145</v>
      </c>
    </row>
    <row r="18" spans="1:7">
      <c r="G18" s="2"/>
    </row>
    <row r="19" spans="1:7">
      <c r="F19">
        <f>SUM(F4:F17)</f>
        <v>-1982.575281060869</v>
      </c>
      <c r="G19" s="2">
        <f>SUM(G13:G17)</f>
        <v>1679.6101251901548</v>
      </c>
    </row>
    <row r="20" spans="1:7">
      <c r="G20" s="2"/>
    </row>
    <row r="21" spans="1:7">
      <c r="F21" s="1" t="s">
        <v>327</v>
      </c>
      <c r="G21" s="109">
        <f>XIRR(C4:C17,A4:A17,0.1)</f>
        <v>0.11086307168006895</v>
      </c>
    </row>
    <row r="22" spans="1:7">
      <c r="F22" s="1" t="s">
        <v>333</v>
      </c>
      <c r="G22" s="109">
        <f>XNPV(G21,C4:C17,A4:A17)</f>
        <v>-2.1313886918505887E-5</v>
      </c>
    </row>
    <row r="23" spans="1:7">
      <c r="F23" s="1" t="s">
        <v>332</v>
      </c>
      <c r="G23" s="109">
        <f>SUM(C13,C16,C17)/-SUM(C4:C12,C14:C15)</f>
        <v>1.5333333333333334</v>
      </c>
    </row>
    <row r="24" spans="1:7">
      <c r="F24" s="1" t="s">
        <v>326</v>
      </c>
      <c r="G24" s="109">
        <f>G19/(-F19)</f>
        <v>0.84718605201785901</v>
      </c>
    </row>
  </sheetData>
  <mergeCells count="1">
    <mergeCell ref="A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DFD7-D96A-416C-BCF3-1D1E7E50B97B}">
  <dimension ref="A1:N31"/>
  <sheetViews>
    <sheetView workbookViewId="0">
      <selection sqref="A1:G1"/>
    </sheetView>
  </sheetViews>
  <sheetFormatPr defaultRowHeight="15"/>
  <cols>
    <col min="1" max="1" width="17.85546875" bestFit="1" customWidth="1"/>
    <col min="3" max="3" width="11.28515625" customWidth="1"/>
    <col min="4" max="4" width="14.140625" bestFit="1" customWidth="1"/>
    <col min="5" max="5" width="3.5703125" customWidth="1"/>
    <col min="6" max="6" width="17.42578125" bestFit="1" customWidth="1"/>
    <col min="7" max="7" width="3.140625" customWidth="1"/>
    <col min="8" max="8" width="12" bestFit="1" customWidth="1"/>
    <col min="9" max="9" width="11.5703125" bestFit="1" customWidth="1"/>
    <col min="10" max="10" width="24.85546875" bestFit="1" customWidth="1"/>
    <col min="11" max="11" width="25.42578125" bestFit="1" customWidth="1"/>
    <col min="12" max="12" width="24.85546875" bestFit="1" customWidth="1"/>
    <col min="13" max="13" width="2.140625" customWidth="1"/>
  </cols>
  <sheetData>
    <row r="1" spans="1:14" ht="21">
      <c r="A1" s="307" t="s">
        <v>1307</v>
      </c>
      <c r="B1" s="307"/>
      <c r="C1" s="307"/>
      <c r="D1" s="307"/>
      <c r="E1" s="307"/>
      <c r="F1" s="307"/>
      <c r="G1" s="307"/>
    </row>
    <row r="3" spans="1:14">
      <c r="A3" s="147"/>
      <c r="B3" s="147"/>
      <c r="C3" s="150" t="s">
        <v>176</v>
      </c>
      <c r="H3" s="1"/>
      <c r="N3" s="3"/>
    </row>
    <row r="4" spans="1:14">
      <c r="A4" s="150" t="s">
        <v>452</v>
      </c>
      <c r="B4" s="150" t="s">
        <v>450</v>
      </c>
      <c r="C4" s="150" t="s">
        <v>451</v>
      </c>
      <c r="D4" s="3" t="s">
        <v>445</v>
      </c>
      <c r="F4" s="1" t="s">
        <v>1309</v>
      </c>
      <c r="H4" s="1"/>
      <c r="I4" s="3"/>
      <c r="K4" s="1"/>
      <c r="N4" s="3"/>
    </row>
    <row r="5" spans="1:14">
      <c r="A5" s="270">
        <v>0</v>
      </c>
      <c r="B5" s="147"/>
      <c r="C5" s="150"/>
      <c r="D5" s="1"/>
      <c r="E5" s="1"/>
      <c r="F5" s="2">
        <f>D12</f>
        <v>1151.9304319622079</v>
      </c>
      <c r="G5" s="1"/>
      <c r="I5" s="1"/>
    </row>
    <row r="6" spans="1:14">
      <c r="A6" s="147">
        <v>0.5</v>
      </c>
      <c r="B6" s="147">
        <v>70</v>
      </c>
      <c r="C6" s="152">
        <v>3.0224999999999724E-2</v>
      </c>
      <c r="D6" s="2">
        <f>B6/(1+C6)^A6</f>
        <v>68.965517241379317</v>
      </c>
      <c r="F6" s="2">
        <f>-B6</f>
        <v>-70</v>
      </c>
      <c r="I6" s="2"/>
      <c r="K6" s="2"/>
      <c r="N6" s="118"/>
    </row>
    <row r="7" spans="1:14">
      <c r="A7" s="270">
        <v>1</v>
      </c>
      <c r="B7" s="147">
        <v>70</v>
      </c>
      <c r="C7" s="152">
        <v>4.0399999999999991E-2</v>
      </c>
      <c r="D7" s="2">
        <f>B7/(1+C7)^A7</f>
        <v>67.281814686658976</v>
      </c>
      <c r="F7" s="2">
        <f>-B7</f>
        <v>-70</v>
      </c>
      <c r="I7" s="2"/>
      <c r="K7" s="2"/>
      <c r="L7" s="117"/>
    </row>
    <row r="8" spans="1:14">
      <c r="A8" s="147">
        <v>1.5</v>
      </c>
      <c r="B8" s="147">
        <v>70</v>
      </c>
      <c r="C8" s="152">
        <v>5.062499999999992E-2</v>
      </c>
      <c r="D8" s="2">
        <f>B8/(1+C8)^A8</f>
        <v>65.001958764382422</v>
      </c>
      <c r="F8" s="2">
        <f>-B8</f>
        <v>-70</v>
      </c>
      <c r="I8" s="2"/>
      <c r="K8" s="2"/>
      <c r="N8" s="1"/>
    </row>
    <row r="9" spans="1:14">
      <c r="A9" s="270">
        <v>2</v>
      </c>
      <c r="B9" s="147">
        <v>1070</v>
      </c>
      <c r="C9" s="152">
        <v>6.0899999999999954E-2</v>
      </c>
      <c r="D9" s="2">
        <f>B9/(1+C9)^A9</f>
        <v>950.68114126978719</v>
      </c>
      <c r="F9" s="2">
        <f>-B9</f>
        <v>-1070</v>
      </c>
      <c r="I9" s="2"/>
      <c r="K9" s="2"/>
      <c r="N9" s="139"/>
    </row>
    <row r="10" spans="1:14">
      <c r="G10" s="135"/>
      <c r="H10" s="135"/>
      <c r="I10" s="2"/>
    </row>
    <row r="11" spans="1:14">
      <c r="B11" s="117"/>
      <c r="C11" s="117"/>
      <c r="D11" s="271" t="s">
        <v>443</v>
      </c>
      <c r="F11" s="1" t="s">
        <v>453</v>
      </c>
      <c r="H11" s="271" t="s">
        <v>1308</v>
      </c>
      <c r="K11" s="1"/>
    </row>
    <row r="12" spans="1:14">
      <c r="B12" s="117"/>
      <c r="C12" s="117"/>
      <c r="D12" s="2">
        <f>SUM(D6:D9)</f>
        <v>1151.9304319622079</v>
      </c>
      <c r="F12" s="254">
        <f>IRR(F5:F9)</f>
        <v>2.9204344571149399E-2</v>
      </c>
      <c r="H12" s="2">
        <f>PV(F12,4,-70,-1000)</f>
        <v>1151.930431962053</v>
      </c>
      <c r="K12" s="2"/>
    </row>
    <row r="13" spans="1:14">
      <c r="B13" s="117"/>
      <c r="I13" s="2"/>
      <c r="K13" s="2"/>
    </row>
    <row r="14" spans="1:14">
      <c r="F14" s="1"/>
      <c r="I14" s="117"/>
      <c r="J14" s="42"/>
    </row>
    <row r="15" spans="1:14">
      <c r="F15" s="140"/>
      <c r="H15" s="42"/>
      <c r="J15" s="42"/>
    </row>
    <row r="17" spans="7:10">
      <c r="G17" s="42"/>
      <c r="H17" s="42"/>
    </row>
    <row r="18" spans="7:10">
      <c r="J18" s="42"/>
    </row>
    <row r="21" spans="7:10">
      <c r="H21" s="42"/>
      <c r="I21" s="42"/>
    </row>
    <row r="22" spans="7:10">
      <c r="I22" s="42"/>
    </row>
    <row r="31" spans="7:10">
      <c r="J31" s="42"/>
    </row>
  </sheetData>
  <mergeCells count="1">
    <mergeCell ref="A1:G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C5B9-D8DB-4158-86B1-93ACD983B8E6}">
  <dimension ref="A1:G29"/>
  <sheetViews>
    <sheetView workbookViewId="0">
      <selection activeCell="F30" sqref="F30"/>
    </sheetView>
  </sheetViews>
  <sheetFormatPr defaultRowHeight="15"/>
  <cols>
    <col min="4" max="4" width="5.42578125" bestFit="1" customWidth="1"/>
  </cols>
  <sheetData>
    <row r="1" spans="1:7" ht="21">
      <c r="A1" s="307" t="s">
        <v>1327</v>
      </c>
      <c r="B1" s="307"/>
      <c r="C1" s="307"/>
      <c r="D1" s="307"/>
      <c r="E1" s="307"/>
      <c r="F1" s="307"/>
      <c r="G1" s="307"/>
    </row>
    <row r="3" spans="1:7">
      <c r="A3" s="1" t="s">
        <v>246</v>
      </c>
      <c r="B3" s="1" t="s">
        <v>249</v>
      </c>
      <c r="C3" s="1" t="s">
        <v>445</v>
      </c>
      <c r="D3" s="1" t="s">
        <v>444</v>
      </c>
      <c r="E3" s="1" t="s">
        <v>448</v>
      </c>
    </row>
    <row r="4" spans="1:7">
      <c r="A4">
        <v>1</v>
      </c>
      <c r="B4">
        <v>25</v>
      </c>
      <c r="C4" s="13">
        <f>B4/(1+$B$26)^A4</f>
        <v>24.390243902439025</v>
      </c>
      <c r="D4">
        <f>A4*0.5</f>
        <v>0.5</v>
      </c>
      <c r="E4" s="13">
        <f t="shared" ref="E4:E23" si="0">C4/$C$26</f>
        <v>2.4390243902439008E-2</v>
      </c>
    </row>
    <row r="5" spans="1:7">
      <c r="A5">
        <v>2</v>
      </c>
      <c r="B5">
        <v>25</v>
      </c>
      <c r="C5" s="13">
        <f t="shared" ref="C5:C23" si="1">B5/(1+$B$26)^A5</f>
        <v>23.795359904818561</v>
      </c>
      <c r="D5">
        <f t="shared" ref="D5:D23" si="2">A5*0.5</f>
        <v>1</v>
      </c>
      <c r="E5" s="13">
        <f t="shared" si="0"/>
        <v>2.3795359904818545E-2</v>
      </c>
    </row>
    <row r="6" spans="1:7">
      <c r="A6">
        <v>3</v>
      </c>
      <c r="B6">
        <v>25</v>
      </c>
      <c r="C6" s="13">
        <f t="shared" si="1"/>
        <v>23.214985272993719</v>
      </c>
      <c r="D6">
        <f t="shared" si="2"/>
        <v>1.5</v>
      </c>
      <c r="E6" s="13">
        <f t="shared" si="0"/>
        <v>2.3214985272993705E-2</v>
      </c>
    </row>
    <row r="7" spans="1:7">
      <c r="A7">
        <v>4</v>
      </c>
      <c r="B7">
        <v>25</v>
      </c>
      <c r="C7" s="13">
        <f t="shared" si="1"/>
        <v>22.648766119993876</v>
      </c>
      <c r="D7">
        <f t="shared" si="2"/>
        <v>2</v>
      </c>
      <c r="E7" s="13">
        <f t="shared" si="0"/>
        <v>2.2648766119993859E-2</v>
      </c>
    </row>
    <row r="8" spans="1:7">
      <c r="A8">
        <v>5</v>
      </c>
      <c r="B8">
        <v>25</v>
      </c>
      <c r="C8" s="13">
        <f t="shared" si="1"/>
        <v>22.096357190237928</v>
      </c>
      <c r="D8">
        <f t="shared" si="2"/>
        <v>2.5</v>
      </c>
      <c r="E8" s="13">
        <f t="shared" si="0"/>
        <v>2.2096357190237913E-2</v>
      </c>
    </row>
    <row r="9" spans="1:7">
      <c r="A9">
        <v>6</v>
      </c>
      <c r="B9">
        <v>25</v>
      </c>
      <c r="C9" s="13">
        <f t="shared" si="1"/>
        <v>21.557421649012614</v>
      </c>
      <c r="D9">
        <f t="shared" si="2"/>
        <v>3</v>
      </c>
      <c r="E9" s="13">
        <f t="shared" si="0"/>
        <v>2.1557421649012601E-2</v>
      </c>
    </row>
    <row r="10" spans="1:7">
      <c r="A10">
        <v>7</v>
      </c>
      <c r="B10">
        <v>25</v>
      </c>
      <c r="C10" s="13">
        <f t="shared" si="1"/>
        <v>21.031630877085476</v>
      </c>
      <c r="D10">
        <f t="shared" si="2"/>
        <v>3.5</v>
      </c>
      <c r="E10" s="13">
        <f t="shared" si="0"/>
        <v>2.1031630877085462E-2</v>
      </c>
    </row>
    <row r="11" spans="1:7">
      <c r="A11">
        <v>8</v>
      </c>
      <c r="B11">
        <v>25</v>
      </c>
      <c r="C11" s="13">
        <f t="shared" si="1"/>
        <v>20.518664270327296</v>
      </c>
      <c r="D11">
        <f t="shared" si="2"/>
        <v>4</v>
      </c>
      <c r="E11" s="13">
        <f t="shared" si="0"/>
        <v>2.051866427032728E-2</v>
      </c>
    </row>
    <row r="12" spans="1:7">
      <c r="A12">
        <v>9</v>
      </c>
      <c r="B12">
        <v>25</v>
      </c>
      <c r="C12" s="13">
        <f t="shared" si="1"/>
        <v>20.018209044221756</v>
      </c>
      <c r="D12">
        <f t="shared" si="2"/>
        <v>4.5</v>
      </c>
      <c r="E12" s="13">
        <f t="shared" si="0"/>
        <v>2.0018209044221743E-2</v>
      </c>
    </row>
    <row r="13" spans="1:7">
      <c r="A13">
        <v>10</v>
      </c>
      <c r="B13">
        <v>25</v>
      </c>
      <c r="C13" s="13">
        <f t="shared" si="1"/>
        <v>19.529960043143177</v>
      </c>
      <c r="D13">
        <f t="shared" si="2"/>
        <v>5</v>
      </c>
      <c r="E13" s="13">
        <f t="shared" si="0"/>
        <v>1.9529960043143165E-2</v>
      </c>
    </row>
    <row r="14" spans="1:7">
      <c r="A14">
        <v>11</v>
      </c>
      <c r="B14">
        <v>25</v>
      </c>
      <c r="C14" s="13">
        <f t="shared" si="1"/>
        <v>19.053619554286026</v>
      </c>
      <c r="D14">
        <f t="shared" si="2"/>
        <v>5.5</v>
      </c>
      <c r="E14" s="13">
        <f t="shared" si="0"/>
        <v>1.9053619554286014E-2</v>
      </c>
    </row>
    <row r="15" spans="1:7">
      <c r="A15">
        <v>12</v>
      </c>
      <c r="B15">
        <v>25</v>
      </c>
      <c r="C15" s="13">
        <f t="shared" si="1"/>
        <v>18.588897126132711</v>
      </c>
      <c r="D15">
        <f t="shared" si="2"/>
        <v>6</v>
      </c>
      <c r="E15" s="13">
        <f t="shared" si="0"/>
        <v>1.8588897126132698E-2</v>
      </c>
    </row>
    <row r="16" spans="1:7">
      <c r="A16">
        <v>13</v>
      </c>
      <c r="B16">
        <v>25</v>
      </c>
      <c r="C16" s="13">
        <f t="shared" si="1"/>
        <v>18.135509391348986</v>
      </c>
      <c r="D16">
        <f t="shared" si="2"/>
        <v>6.5</v>
      </c>
      <c r="E16" s="13">
        <f t="shared" si="0"/>
        <v>1.8135509391348975E-2</v>
      </c>
    </row>
    <row r="17" spans="1:5">
      <c r="A17">
        <v>14</v>
      </c>
      <c r="B17">
        <v>25</v>
      </c>
      <c r="C17" s="13">
        <f t="shared" si="1"/>
        <v>17.693179893999012</v>
      </c>
      <c r="D17">
        <f t="shared" si="2"/>
        <v>7</v>
      </c>
      <c r="E17" s="13">
        <f t="shared" si="0"/>
        <v>1.7693179893999E-2</v>
      </c>
    </row>
    <row r="18" spans="1:5">
      <c r="A18">
        <v>15</v>
      </c>
      <c r="B18">
        <v>25</v>
      </c>
      <c r="C18" s="13">
        <f t="shared" si="1"/>
        <v>17.261638920974644</v>
      </c>
      <c r="D18">
        <f t="shared" si="2"/>
        <v>7.5</v>
      </c>
      <c r="E18" s="13">
        <f t="shared" si="0"/>
        <v>1.7261638920974633E-2</v>
      </c>
    </row>
    <row r="19" spans="1:5">
      <c r="A19">
        <v>16</v>
      </c>
      <c r="B19">
        <v>25</v>
      </c>
      <c r="C19" s="13">
        <f t="shared" si="1"/>
        <v>16.84062333753624</v>
      </c>
      <c r="D19">
        <f t="shared" si="2"/>
        <v>8</v>
      </c>
      <c r="E19" s="13">
        <f t="shared" si="0"/>
        <v>1.6840623337536227E-2</v>
      </c>
    </row>
    <row r="20" spans="1:5">
      <c r="A20">
        <v>17</v>
      </c>
      <c r="B20">
        <v>25</v>
      </c>
      <c r="C20" s="13">
        <f t="shared" si="1"/>
        <v>16.429876426864627</v>
      </c>
      <c r="D20">
        <f t="shared" si="2"/>
        <v>8.5</v>
      </c>
      <c r="E20" s="13">
        <f t="shared" si="0"/>
        <v>1.6429876426864616E-2</v>
      </c>
    </row>
    <row r="21" spans="1:5">
      <c r="A21">
        <v>18</v>
      </c>
      <c r="B21">
        <v>25</v>
      </c>
      <c r="C21" s="13">
        <f t="shared" si="1"/>
        <v>16.029147733526464</v>
      </c>
      <c r="D21">
        <f t="shared" si="2"/>
        <v>9</v>
      </c>
      <c r="E21" s="13">
        <f t="shared" si="0"/>
        <v>1.6029147733526452E-2</v>
      </c>
    </row>
    <row r="22" spans="1:5">
      <c r="A22">
        <v>19</v>
      </c>
      <c r="B22">
        <v>25</v>
      </c>
      <c r="C22" s="13">
        <f t="shared" si="1"/>
        <v>15.638192910757526</v>
      </c>
      <c r="D22">
        <f t="shared" si="2"/>
        <v>9.5</v>
      </c>
      <c r="E22" s="13">
        <f t="shared" si="0"/>
        <v>1.5638192910757517E-2</v>
      </c>
    </row>
    <row r="23" spans="1:5">
      <c r="A23">
        <v>20</v>
      </c>
      <c r="B23">
        <v>1025</v>
      </c>
      <c r="C23" s="13">
        <f t="shared" si="1"/>
        <v>625.5277164303011</v>
      </c>
      <c r="D23">
        <f t="shared" si="2"/>
        <v>10</v>
      </c>
      <c r="E23" s="13">
        <f t="shared" si="0"/>
        <v>0.6255277164303007</v>
      </c>
    </row>
    <row r="25" spans="1:5">
      <c r="B25" t="s">
        <v>442</v>
      </c>
      <c r="C25" t="s">
        <v>443</v>
      </c>
      <c r="E25" t="s">
        <v>446</v>
      </c>
    </row>
    <row r="26" spans="1:5">
      <c r="B26">
        <v>2.5000000000000001E-2</v>
      </c>
      <c r="C26">
        <f>SUM(C4:C23)</f>
        <v>1000.0000000000007</v>
      </c>
      <c r="E26" s="13">
        <f>SUMPRODUCT(E4:E23,D4:D23)</f>
        <v>7.9894456713939919</v>
      </c>
    </row>
    <row r="28" spans="1:5">
      <c r="B28" t="s">
        <v>441</v>
      </c>
      <c r="E28" t="s">
        <v>447</v>
      </c>
    </row>
    <row r="29" spans="1:5">
      <c r="B29">
        <f>(1+B26)^2-1</f>
        <v>5.062499999999992E-2</v>
      </c>
      <c r="E29" s="13">
        <f>E26/(1+B29)</f>
        <v>7.6044694076325925</v>
      </c>
    </row>
  </sheetData>
  <mergeCells count="1">
    <mergeCell ref="A1:G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49E0-77E7-4A26-BADB-30BE04BCCF14}">
  <dimension ref="A1:G16"/>
  <sheetViews>
    <sheetView workbookViewId="0">
      <selection activeCell="H25" sqref="H25"/>
    </sheetView>
  </sheetViews>
  <sheetFormatPr defaultRowHeight="15"/>
  <cols>
    <col min="1" max="1" width="10.85546875" bestFit="1" customWidth="1"/>
    <col min="2" max="2" width="9.85546875" bestFit="1" customWidth="1"/>
  </cols>
  <sheetData>
    <row r="1" spans="1:7" ht="21">
      <c r="A1" s="307" t="s">
        <v>1328</v>
      </c>
      <c r="B1" s="307"/>
      <c r="C1" s="307"/>
      <c r="D1" s="307"/>
      <c r="E1" s="307"/>
      <c r="F1" s="307"/>
      <c r="G1" s="307"/>
    </row>
    <row r="4" spans="1:7">
      <c r="A4" s="295" t="s">
        <v>1316</v>
      </c>
      <c r="B4" s="295"/>
      <c r="C4" s="295"/>
      <c r="D4" s="295"/>
      <c r="E4" s="295"/>
    </row>
    <row r="5" spans="1:7">
      <c r="B5" s="55">
        <v>1</v>
      </c>
      <c r="C5" s="55">
        <v>2</v>
      </c>
    </row>
    <row r="6" spans="1:7">
      <c r="A6" s="1" t="s">
        <v>441</v>
      </c>
      <c r="B6" s="1">
        <v>0.03</v>
      </c>
      <c r="C6" s="1">
        <f>B6+0.001</f>
        <v>3.1E-2</v>
      </c>
    </row>
    <row r="7" spans="1:7">
      <c r="A7" t="s">
        <v>1314</v>
      </c>
      <c r="B7" s="36">
        <f>SQRT(1+B6)-1</f>
        <v>1.4889156509221957E-2</v>
      </c>
      <c r="C7" s="36">
        <f>SQRT(1+C6)-1</f>
        <v>1.5381701627520838E-2</v>
      </c>
      <c r="E7" t="s">
        <v>1315</v>
      </c>
      <c r="F7" t="s">
        <v>1319</v>
      </c>
    </row>
    <row r="8" spans="1:7">
      <c r="A8" t="s">
        <v>443</v>
      </c>
      <c r="B8" s="42">
        <f>-PV(B7,4,15,1000)</f>
        <v>1000.4273492465886</v>
      </c>
      <c r="C8" s="42">
        <f>-PV(C7,4,15,1000)</f>
        <v>998.53014695749232</v>
      </c>
      <c r="E8" s="18">
        <f>C8/B8-1</f>
        <v>-1.8963918674604896E-3</v>
      </c>
      <c r="F8">
        <v>1.83</v>
      </c>
    </row>
    <row r="10" spans="1:7">
      <c r="A10" s="295" t="s">
        <v>1317</v>
      </c>
      <c r="B10" s="295"/>
      <c r="C10" s="295"/>
      <c r="D10" s="295"/>
      <c r="E10" s="295"/>
    </row>
    <row r="11" spans="1:7">
      <c r="B11">
        <v>1</v>
      </c>
      <c r="C11">
        <v>2</v>
      </c>
    </row>
    <row r="12" spans="1:7">
      <c r="A12" t="s">
        <v>441</v>
      </c>
      <c r="B12">
        <v>0.06</v>
      </c>
      <c r="C12">
        <f>B12+0.001</f>
        <v>6.0999999999999999E-2</v>
      </c>
      <c r="E12" t="s">
        <v>1315</v>
      </c>
      <c r="F12" t="s">
        <v>1319</v>
      </c>
    </row>
    <row r="13" spans="1:7">
      <c r="A13" t="s">
        <v>443</v>
      </c>
      <c r="B13" s="42">
        <f>1000/(1+B12)^30</f>
        <v>174.11013091063427</v>
      </c>
      <c r="C13" s="42">
        <f>1000/(1+C12)^30</f>
        <v>169.25382140930748</v>
      </c>
      <c r="E13" s="18">
        <f>C13/B13-1</f>
        <v>-2.7892170753805234E-2</v>
      </c>
      <c r="F13">
        <v>-0.83</v>
      </c>
    </row>
    <row r="15" spans="1:7">
      <c r="E15" t="s">
        <v>1315</v>
      </c>
    </row>
    <row r="16" spans="1:7">
      <c r="D16" s="1" t="s">
        <v>1318</v>
      </c>
      <c r="E16" s="118">
        <f>E8*F8+E13*F13</f>
        <v>1.9680104608205646E-2</v>
      </c>
    </row>
  </sheetData>
  <mergeCells count="3">
    <mergeCell ref="A1:G1"/>
    <mergeCell ref="A4:E4"/>
    <mergeCell ref="A10:E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42EF-C61B-4EF5-9E4E-D3DC52686E11}">
  <dimension ref="A1:G29"/>
  <sheetViews>
    <sheetView workbookViewId="0">
      <selection activeCell="J20" sqref="J20"/>
    </sheetView>
  </sheetViews>
  <sheetFormatPr defaultRowHeight="15"/>
  <cols>
    <col min="4" max="4" width="5.42578125" bestFit="1" customWidth="1"/>
    <col min="5" max="5" width="16.7109375" bestFit="1" customWidth="1"/>
    <col min="6" max="6" width="11.5703125" bestFit="1" customWidth="1"/>
  </cols>
  <sheetData>
    <row r="1" spans="1:7" ht="21">
      <c r="A1" s="307" t="s">
        <v>1329</v>
      </c>
      <c r="B1" s="307"/>
      <c r="C1" s="307"/>
      <c r="D1" s="307"/>
      <c r="E1" s="307"/>
      <c r="F1" s="307"/>
      <c r="G1" s="307"/>
    </row>
    <row r="3" spans="1:7">
      <c r="A3" s="1" t="s">
        <v>454</v>
      </c>
      <c r="B3" s="1" t="s">
        <v>249</v>
      </c>
      <c r="C3" s="1" t="s">
        <v>445</v>
      </c>
      <c r="D3" s="1" t="s">
        <v>444</v>
      </c>
      <c r="E3" s="1" t="s">
        <v>448</v>
      </c>
      <c r="F3" s="1" t="s">
        <v>1310</v>
      </c>
    </row>
    <row r="4" spans="1:7">
      <c r="A4">
        <v>1</v>
      </c>
      <c r="B4">
        <v>25</v>
      </c>
      <c r="C4" s="13">
        <f>B4/(1+$B$26)^A4</f>
        <v>24.390243902439025</v>
      </c>
      <c r="D4">
        <f>A4*0.5</f>
        <v>0.5</v>
      </c>
      <c r="E4" s="13">
        <f t="shared" ref="E4:E23" si="0">C4/$C$26</f>
        <v>2.4390243902439008E-2</v>
      </c>
      <c r="F4">
        <f>D4*(D4+1)</f>
        <v>0.75</v>
      </c>
    </row>
    <row r="5" spans="1:7">
      <c r="A5">
        <v>2</v>
      </c>
      <c r="B5">
        <v>25</v>
      </c>
      <c r="C5" s="13">
        <f t="shared" ref="C5:C23" si="1">B5/(1+$B$26)^A5</f>
        <v>23.795359904818561</v>
      </c>
      <c r="D5">
        <f t="shared" ref="D5:D23" si="2">A5*0.5</f>
        <v>1</v>
      </c>
      <c r="E5" s="13">
        <f t="shared" si="0"/>
        <v>2.3795359904818545E-2</v>
      </c>
      <c r="F5">
        <f t="shared" ref="F5:F23" si="3">D5*(D5+1)</f>
        <v>2</v>
      </c>
    </row>
    <row r="6" spans="1:7">
      <c r="A6">
        <v>3</v>
      </c>
      <c r="B6">
        <v>25</v>
      </c>
      <c r="C6" s="13">
        <f t="shared" si="1"/>
        <v>23.214985272993719</v>
      </c>
      <c r="D6">
        <f t="shared" si="2"/>
        <v>1.5</v>
      </c>
      <c r="E6" s="13">
        <f t="shared" si="0"/>
        <v>2.3214985272993705E-2</v>
      </c>
      <c r="F6">
        <f t="shared" si="3"/>
        <v>3.75</v>
      </c>
    </row>
    <row r="7" spans="1:7">
      <c r="A7">
        <v>4</v>
      </c>
      <c r="B7">
        <v>25</v>
      </c>
      <c r="C7" s="13">
        <f t="shared" si="1"/>
        <v>22.648766119993876</v>
      </c>
      <c r="D7">
        <f t="shared" si="2"/>
        <v>2</v>
      </c>
      <c r="E7" s="13">
        <f t="shared" si="0"/>
        <v>2.2648766119993859E-2</v>
      </c>
      <c r="F7">
        <f t="shared" si="3"/>
        <v>6</v>
      </c>
    </row>
    <row r="8" spans="1:7">
      <c r="A8">
        <v>5</v>
      </c>
      <c r="B8">
        <v>25</v>
      </c>
      <c r="C8" s="13">
        <f t="shared" si="1"/>
        <v>22.096357190237928</v>
      </c>
      <c r="D8">
        <f t="shared" si="2"/>
        <v>2.5</v>
      </c>
      <c r="E8" s="13">
        <f t="shared" si="0"/>
        <v>2.2096357190237913E-2</v>
      </c>
      <c r="F8">
        <f t="shared" si="3"/>
        <v>8.75</v>
      </c>
    </row>
    <row r="9" spans="1:7">
      <c r="A9">
        <v>6</v>
      </c>
      <c r="B9">
        <v>25</v>
      </c>
      <c r="C9" s="13">
        <f t="shared" si="1"/>
        <v>21.557421649012614</v>
      </c>
      <c r="D9">
        <f t="shared" si="2"/>
        <v>3</v>
      </c>
      <c r="E9" s="13">
        <f t="shared" si="0"/>
        <v>2.1557421649012601E-2</v>
      </c>
      <c r="F9">
        <f t="shared" si="3"/>
        <v>12</v>
      </c>
    </row>
    <row r="10" spans="1:7">
      <c r="A10">
        <v>7</v>
      </c>
      <c r="B10">
        <v>25</v>
      </c>
      <c r="C10" s="13">
        <f t="shared" si="1"/>
        <v>21.031630877085476</v>
      </c>
      <c r="D10">
        <f t="shared" si="2"/>
        <v>3.5</v>
      </c>
      <c r="E10" s="13">
        <f t="shared" si="0"/>
        <v>2.1031630877085462E-2</v>
      </c>
      <c r="F10">
        <f t="shared" si="3"/>
        <v>15.75</v>
      </c>
    </row>
    <row r="11" spans="1:7">
      <c r="A11">
        <v>8</v>
      </c>
      <c r="B11">
        <v>25</v>
      </c>
      <c r="C11" s="13">
        <f t="shared" si="1"/>
        <v>20.518664270327296</v>
      </c>
      <c r="D11">
        <f t="shared" si="2"/>
        <v>4</v>
      </c>
      <c r="E11" s="13">
        <f t="shared" si="0"/>
        <v>2.051866427032728E-2</v>
      </c>
      <c r="F11">
        <f t="shared" si="3"/>
        <v>20</v>
      </c>
    </row>
    <row r="12" spans="1:7">
      <c r="A12">
        <v>9</v>
      </c>
      <c r="B12">
        <v>25</v>
      </c>
      <c r="C12" s="13">
        <f t="shared" si="1"/>
        <v>20.018209044221756</v>
      </c>
      <c r="D12">
        <f t="shared" si="2"/>
        <v>4.5</v>
      </c>
      <c r="E12" s="13">
        <f t="shared" si="0"/>
        <v>2.0018209044221743E-2</v>
      </c>
      <c r="F12">
        <f t="shared" si="3"/>
        <v>24.75</v>
      </c>
    </row>
    <row r="13" spans="1:7">
      <c r="A13">
        <v>10</v>
      </c>
      <c r="B13">
        <v>25</v>
      </c>
      <c r="C13" s="13">
        <f t="shared" si="1"/>
        <v>19.529960043143177</v>
      </c>
      <c r="D13">
        <f t="shared" si="2"/>
        <v>5</v>
      </c>
      <c r="E13" s="13">
        <f t="shared" si="0"/>
        <v>1.9529960043143165E-2</v>
      </c>
      <c r="F13">
        <f t="shared" si="3"/>
        <v>30</v>
      </c>
    </row>
    <row r="14" spans="1:7">
      <c r="A14">
        <v>11</v>
      </c>
      <c r="B14">
        <v>25</v>
      </c>
      <c r="C14" s="13">
        <f t="shared" si="1"/>
        <v>19.053619554286026</v>
      </c>
      <c r="D14">
        <f t="shared" si="2"/>
        <v>5.5</v>
      </c>
      <c r="E14" s="13">
        <f t="shared" si="0"/>
        <v>1.9053619554286014E-2</v>
      </c>
      <c r="F14">
        <f t="shared" si="3"/>
        <v>35.75</v>
      </c>
    </row>
    <row r="15" spans="1:7">
      <c r="A15">
        <v>12</v>
      </c>
      <c r="B15">
        <v>25</v>
      </c>
      <c r="C15" s="13">
        <f t="shared" si="1"/>
        <v>18.588897126132711</v>
      </c>
      <c r="D15">
        <f t="shared" si="2"/>
        <v>6</v>
      </c>
      <c r="E15" s="13">
        <f t="shared" si="0"/>
        <v>1.8588897126132698E-2</v>
      </c>
      <c r="F15">
        <f t="shared" si="3"/>
        <v>42</v>
      </c>
    </row>
    <row r="16" spans="1:7">
      <c r="A16">
        <v>13</v>
      </c>
      <c r="B16">
        <v>25</v>
      </c>
      <c r="C16" s="13">
        <f t="shared" si="1"/>
        <v>18.135509391348986</v>
      </c>
      <c r="D16">
        <f t="shared" si="2"/>
        <v>6.5</v>
      </c>
      <c r="E16" s="13">
        <f t="shared" si="0"/>
        <v>1.8135509391348975E-2</v>
      </c>
      <c r="F16">
        <f t="shared" si="3"/>
        <v>48.75</v>
      </c>
    </row>
    <row r="17" spans="1:6">
      <c r="A17">
        <v>14</v>
      </c>
      <c r="B17">
        <v>25</v>
      </c>
      <c r="C17" s="13">
        <f t="shared" si="1"/>
        <v>17.693179893999012</v>
      </c>
      <c r="D17">
        <f t="shared" si="2"/>
        <v>7</v>
      </c>
      <c r="E17" s="13">
        <f t="shared" si="0"/>
        <v>1.7693179893999E-2</v>
      </c>
      <c r="F17">
        <f t="shared" si="3"/>
        <v>56</v>
      </c>
    </row>
    <row r="18" spans="1:6">
      <c r="A18">
        <v>15</v>
      </c>
      <c r="B18">
        <v>25</v>
      </c>
      <c r="C18" s="13">
        <f t="shared" si="1"/>
        <v>17.261638920974644</v>
      </c>
      <c r="D18">
        <f t="shared" si="2"/>
        <v>7.5</v>
      </c>
      <c r="E18" s="13">
        <f t="shared" si="0"/>
        <v>1.7261638920974633E-2</v>
      </c>
      <c r="F18">
        <f t="shared" si="3"/>
        <v>63.75</v>
      </c>
    </row>
    <row r="19" spans="1:6">
      <c r="A19">
        <v>16</v>
      </c>
      <c r="B19">
        <v>25</v>
      </c>
      <c r="C19" s="13">
        <f t="shared" si="1"/>
        <v>16.84062333753624</v>
      </c>
      <c r="D19">
        <f t="shared" si="2"/>
        <v>8</v>
      </c>
      <c r="E19" s="13">
        <f t="shared" si="0"/>
        <v>1.6840623337536227E-2</v>
      </c>
      <c r="F19">
        <f t="shared" si="3"/>
        <v>72</v>
      </c>
    </row>
    <row r="20" spans="1:6">
      <c r="A20">
        <v>17</v>
      </c>
      <c r="B20">
        <v>25</v>
      </c>
      <c r="C20" s="13">
        <f t="shared" si="1"/>
        <v>16.429876426864627</v>
      </c>
      <c r="D20">
        <f t="shared" si="2"/>
        <v>8.5</v>
      </c>
      <c r="E20" s="13">
        <f t="shared" si="0"/>
        <v>1.6429876426864616E-2</v>
      </c>
      <c r="F20">
        <f t="shared" si="3"/>
        <v>80.75</v>
      </c>
    </row>
    <row r="21" spans="1:6">
      <c r="A21">
        <v>18</v>
      </c>
      <c r="B21">
        <v>25</v>
      </c>
      <c r="C21" s="13">
        <f t="shared" si="1"/>
        <v>16.029147733526464</v>
      </c>
      <c r="D21">
        <f t="shared" si="2"/>
        <v>9</v>
      </c>
      <c r="E21" s="13">
        <f t="shared" si="0"/>
        <v>1.6029147733526452E-2</v>
      </c>
      <c r="F21">
        <f t="shared" si="3"/>
        <v>90</v>
      </c>
    </row>
    <row r="22" spans="1:6">
      <c r="A22">
        <v>19</v>
      </c>
      <c r="B22">
        <v>25</v>
      </c>
      <c r="C22" s="13">
        <f t="shared" si="1"/>
        <v>15.638192910757526</v>
      </c>
      <c r="D22">
        <f t="shared" si="2"/>
        <v>9.5</v>
      </c>
      <c r="E22" s="13">
        <f t="shared" si="0"/>
        <v>1.5638192910757517E-2</v>
      </c>
      <c r="F22">
        <f t="shared" si="3"/>
        <v>99.75</v>
      </c>
    </row>
    <row r="23" spans="1:6">
      <c r="A23">
        <v>20</v>
      </c>
      <c r="B23">
        <v>1025</v>
      </c>
      <c r="C23" s="13">
        <f t="shared" si="1"/>
        <v>625.5277164303011</v>
      </c>
      <c r="D23">
        <f t="shared" si="2"/>
        <v>10</v>
      </c>
      <c r="E23" s="13">
        <f t="shared" si="0"/>
        <v>0.6255277164303007</v>
      </c>
      <c r="F23">
        <f t="shared" si="3"/>
        <v>110</v>
      </c>
    </row>
    <row r="25" spans="1:6">
      <c r="B25" t="s">
        <v>442</v>
      </c>
      <c r="C25" t="s">
        <v>443</v>
      </c>
      <c r="E25" t="s">
        <v>449</v>
      </c>
    </row>
    <row r="26" spans="1:6">
      <c r="B26">
        <v>2.5000000000000001E-2</v>
      </c>
      <c r="C26">
        <f>SUM(C4:C23)</f>
        <v>1000.0000000000007</v>
      </c>
      <c r="E26" s="13">
        <f>SUMPRODUCT(E4:E23,F4:F23)/(1+B29)^2</f>
        <v>73.699908274008266</v>
      </c>
    </row>
    <row r="28" spans="1:6">
      <c r="B28" t="s">
        <v>441</v>
      </c>
    </row>
    <row r="29" spans="1:6">
      <c r="B29">
        <f>(1+B26)^2-1</f>
        <v>5.062499999999992E-2</v>
      </c>
      <c r="D29" s="13"/>
    </row>
  </sheetData>
  <mergeCells count="1">
    <mergeCell ref="A1:G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813F-488B-4D4F-BCA7-41E71C36C260}">
  <dimension ref="A1:G32"/>
  <sheetViews>
    <sheetView workbookViewId="0">
      <selection sqref="A1:G1"/>
    </sheetView>
  </sheetViews>
  <sheetFormatPr defaultRowHeight="15"/>
  <cols>
    <col min="1" max="1" width="12.85546875" customWidth="1"/>
    <col min="2" max="2" width="10" customWidth="1"/>
    <col min="3" max="3" width="12.42578125" bestFit="1" customWidth="1"/>
    <col min="4" max="4" width="6.85546875" bestFit="1" customWidth="1"/>
  </cols>
  <sheetData>
    <row r="1" spans="1:7" ht="21">
      <c r="A1" s="307" t="s">
        <v>1330</v>
      </c>
      <c r="B1" s="307"/>
      <c r="C1" s="307"/>
      <c r="D1" s="307"/>
      <c r="E1" s="307"/>
      <c r="F1" s="307"/>
      <c r="G1" s="307"/>
    </row>
    <row r="4" spans="1:7">
      <c r="A4" s="1" t="s">
        <v>1316</v>
      </c>
      <c r="B4" s="100" t="s">
        <v>1324</v>
      </c>
      <c r="C4" s="141">
        <v>2</v>
      </c>
      <c r="E4" s="1"/>
    </row>
    <row r="5" spans="1:7">
      <c r="B5" s="100" t="s">
        <v>1325</v>
      </c>
      <c r="C5" s="100" t="s">
        <v>1326</v>
      </c>
    </row>
    <row r="6" spans="1:7">
      <c r="A6" s="1" t="s">
        <v>441</v>
      </c>
      <c r="B6">
        <v>0.03</v>
      </c>
      <c r="C6">
        <f>B6+0.001</f>
        <v>3.1E-2</v>
      </c>
    </row>
    <row r="7" spans="1:7">
      <c r="A7" s="1" t="s">
        <v>1314</v>
      </c>
      <c r="B7" s="36">
        <f>SQRT(1+B6)-1</f>
        <v>1.4889156509221957E-2</v>
      </c>
      <c r="C7" s="36">
        <f>SQRT(1+C6)-1</f>
        <v>1.5381701627520838E-2</v>
      </c>
      <c r="E7" t="s">
        <v>1315</v>
      </c>
      <c r="F7" t="s">
        <v>1319</v>
      </c>
    </row>
    <row r="8" spans="1:7">
      <c r="A8" s="1" t="s">
        <v>443</v>
      </c>
      <c r="B8" s="42">
        <f>-PV(B7,$C$4*2,15,1000)</f>
        <v>1000.4273492465886</v>
      </c>
      <c r="C8" s="42">
        <f>-PV(C7,$C$4*2,15,1000)</f>
        <v>998.53014695749232</v>
      </c>
      <c r="E8" s="138">
        <f>C8/B8-1</f>
        <v>-1.8963918674604896E-3</v>
      </c>
      <c r="F8">
        <f>B30</f>
        <v>3.4471349916289076</v>
      </c>
    </row>
    <row r="10" spans="1:7">
      <c r="A10" s="1" t="s">
        <v>1317</v>
      </c>
      <c r="B10" s="100" t="s">
        <v>1324</v>
      </c>
      <c r="C10" s="141">
        <v>30</v>
      </c>
      <c r="E10" s="1"/>
    </row>
    <row r="11" spans="1:7">
      <c r="B11" s="100" t="s">
        <v>1325</v>
      </c>
      <c r="C11" s="100" t="s">
        <v>1326</v>
      </c>
    </row>
    <row r="12" spans="1:7">
      <c r="A12" s="1" t="s">
        <v>441</v>
      </c>
      <c r="B12">
        <v>0.06</v>
      </c>
      <c r="C12">
        <f>B12+0.001</f>
        <v>6.0999999999999999E-2</v>
      </c>
      <c r="E12" t="s">
        <v>1315</v>
      </c>
      <c r="F12" t="s">
        <v>1319</v>
      </c>
    </row>
    <row r="13" spans="1:7">
      <c r="A13" s="1" t="s">
        <v>443</v>
      </c>
      <c r="B13" s="42">
        <f>1000/(1+B12)^C10</f>
        <v>174.11013091063427</v>
      </c>
      <c r="C13" s="42">
        <f>1000/(1+C12)^C10</f>
        <v>169.25382140930748</v>
      </c>
      <c r="E13" s="118">
        <f>C13/B13-1</f>
        <v>-2.7892170753805234E-2</v>
      </c>
      <c r="F13">
        <f>C30</f>
        <v>2.2149134797035073</v>
      </c>
    </row>
    <row r="15" spans="1:7">
      <c r="A15" s="1" t="s">
        <v>1317</v>
      </c>
      <c r="B15" s="100" t="s">
        <v>1324</v>
      </c>
      <c r="C15" s="141">
        <v>20</v>
      </c>
      <c r="E15" s="1"/>
    </row>
    <row r="16" spans="1:7">
      <c r="B16" s="100" t="s">
        <v>1325</v>
      </c>
      <c r="C16" s="100" t="s">
        <v>1326</v>
      </c>
    </row>
    <row r="17" spans="1:6">
      <c r="A17" s="1" t="s">
        <v>441</v>
      </c>
      <c r="B17">
        <v>0.04</v>
      </c>
      <c r="C17">
        <f>B17+0.001</f>
        <v>4.1000000000000002E-2</v>
      </c>
      <c r="E17" t="s">
        <v>1315</v>
      </c>
      <c r="F17" t="s">
        <v>1319</v>
      </c>
    </row>
    <row r="18" spans="1:6">
      <c r="A18" s="1" t="s">
        <v>443</v>
      </c>
      <c r="B18" s="42">
        <f>1000/(1+B17)^C15</f>
        <v>456.38694620129206</v>
      </c>
      <c r="C18" s="42">
        <f>1000/(1+C17)^C15</f>
        <v>447.6982634102489</v>
      </c>
      <c r="E18" s="118">
        <f>C18/B18-1</f>
        <v>-1.9037973945930875E-2</v>
      </c>
      <c r="F18">
        <f>D30</f>
        <v>-4.6620484713324153</v>
      </c>
    </row>
    <row r="20" spans="1:6">
      <c r="A20" t="s">
        <v>348</v>
      </c>
    </row>
    <row r="21" spans="1:6">
      <c r="A21" t="s">
        <v>1318</v>
      </c>
      <c r="B21" s="118">
        <f>E8*F8+E13*F13+E18*F18</f>
        <v>2.0440093586934688E-2</v>
      </c>
    </row>
    <row r="24" spans="1:6" s="1" customFormat="1">
      <c r="A24" s="1" t="s">
        <v>1320</v>
      </c>
    </row>
    <row r="26" spans="1:6">
      <c r="B26" t="s">
        <v>1312</v>
      </c>
      <c r="C26" t="s">
        <v>1313</v>
      </c>
      <c r="D26" t="s">
        <v>1321</v>
      </c>
      <c r="E26" t="s">
        <v>1322</v>
      </c>
      <c r="F26" t="s">
        <v>1323</v>
      </c>
    </row>
    <row r="27" spans="1:6">
      <c r="A27" t="s">
        <v>1311</v>
      </c>
      <c r="B27">
        <f>1.9</f>
        <v>1.9</v>
      </c>
      <c r="C27">
        <v>28.3</v>
      </c>
      <c r="D27">
        <v>19.14</v>
      </c>
      <c r="E27">
        <v>-20</v>
      </c>
      <c r="F27">
        <f>SUMPRODUCT(B30:D30,B27:D27)-E27</f>
        <v>2.1840175179477228E-7</v>
      </c>
    </row>
    <row r="28" spans="1:6">
      <c r="A28" t="s">
        <v>449</v>
      </c>
      <c r="B28">
        <v>5.49</v>
      </c>
      <c r="C28">
        <v>801</v>
      </c>
      <c r="D28">
        <v>384.61</v>
      </c>
      <c r="E28">
        <v>0</v>
      </c>
      <c r="F28">
        <f>SUMPRODUCT(B30:D30,B28:D28)</f>
        <v>5.7873919558915077E-6</v>
      </c>
    </row>
    <row r="30" spans="1:6">
      <c r="A30" t="s">
        <v>6</v>
      </c>
      <c r="B30" s="2">
        <v>3.4471349916289076</v>
      </c>
      <c r="C30" s="2">
        <v>2.2149134797035073</v>
      </c>
      <c r="D30" s="2">
        <f>1-SUM(B30:C30)</f>
        <v>-4.6620484713324153</v>
      </c>
      <c r="F30">
        <f>F27^2+F28^2</f>
        <v>3.3541604976304756E-11</v>
      </c>
    </row>
    <row r="32" spans="1:6">
      <c r="B32" s="2"/>
    </row>
  </sheetData>
  <mergeCells count="1">
    <mergeCell ref="A1:G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0"/>
  <dimension ref="A1:G64"/>
  <sheetViews>
    <sheetView workbookViewId="0">
      <selection sqref="A1:G1"/>
    </sheetView>
  </sheetViews>
  <sheetFormatPr defaultRowHeight="15"/>
  <cols>
    <col min="1" max="1" width="13" customWidth="1"/>
    <col min="2" max="2" width="9.85546875" bestFit="1" customWidth="1"/>
    <col min="3" max="4" width="10.85546875" bestFit="1" customWidth="1"/>
  </cols>
  <sheetData>
    <row r="1" spans="1:7" ht="21">
      <c r="A1" s="307" t="s">
        <v>1331</v>
      </c>
      <c r="B1" s="307"/>
      <c r="C1" s="307"/>
      <c r="D1" s="307"/>
      <c r="E1" s="307"/>
      <c r="F1" s="307"/>
      <c r="G1" s="307"/>
    </row>
    <row r="3" spans="1:7">
      <c r="A3" t="s">
        <v>292</v>
      </c>
      <c r="B3" t="s">
        <v>293</v>
      </c>
      <c r="C3" t="s">
        <v>294</v>
      </c>
      <c r="D3" t="s">
        <v>295</v>
      </c>
      <c r="F3" t="s">
        <v>296</v>
      </c>
    </row>
    <row r="4" spans="1:7">
      <c r="A4">
        <v>70</v>
      </c>
      <c r="B4">
        <f t="shared" ref="B4:B35" si="0">MAX(A4-80,0)-11.6</f>
        <v>-11.6</v>
      </c>
      <c r="C4">
        <f t="shared" ref="C4:C35" si="1">MAX(A4-100,0)-1.88</f>
        <v>-1.88</v>
      </c>
      <c r="D4">
        <f t="shared" ref="D4:D35" si="2">MAX(A4-120,0)-0.125</f>
        <v>-0.125</v>
      </c>
      <c r="F4">
        <f t="shared" ref="F4:F35" si="3">B4-2*C4+D4</f>
        <v>-7.9649999999999999</v>
      </c>
    </row>
    <row r="5" spans="1:7">
      <c r="A5">
        <f t="shared" ref="A5:A36" si="4">A4+1</f>
        <v>71</v>
      </c>
      <c r="B5">
        <f t="shared" si="0"/>
        <v>-11.6</v>
      </c>
      <c r="C5">
        <f t="shared" si="1"/>
        <v>-1.88</v>
      </c>
      <c r="D5">
        <f t="shared" si="2"/>
        <v>-0.125</v>
      </c>
      <c r="F5">
        <f t="shared" si="3"/>
        <v>-7.9649999999999999</v>
      </c>
    </row>
    <row r="6" spans="1:7">
      <c r="A6">
        <f t="shared" si="4"/>
        <v>72</v>
      </c>
      <c r="B6">
        <f t="shared" si="0"/>
        <v>-11.6</v>
      </c>
      <c r="C6">
        <f t="shared" si="1"/>
        <v>-1.88</v>
      </c>
      <c r="D6">
        <f t="shared" si="2"/>
        <v>-0.125</v>
      </c>
      <c r="F6">
        <f t="shared" si="3"/>
        <v>-7.9649999999999999</v>
      </c>
    </row>
    <row r="7" spans="1:7">
      <c r="A7">
        <f t="shared" si="4"/>
        <v>73</v>
      </c>
      <c r="B7">
        <f t="shared" si="0"/>
        <v>-11.6</v>
      </c>
      <c r="C7">
        <f t="shared" si="1"/>
        <v>-1.88</v>
      </c>
      <c r="D7">
        <f t="shared" si="2"/>
        <v>-0.125</v>
      </c>
      <c r="F7">
        <f t="shared" si="3"/>
        <v>-7.9649999999999999</v>
      </c>
    </row>
    <row r="8" spans="1:7">
      <c r="A8">
        <f t="shared" si="4"/>
        <v>74</v>
      </c>
      <c r="B8">
        <f t="shared" si="0"/>
        <v>-11.6</v>
      </c>
      <c r="C8">
        <f t="shared" si="1"/>
        <v>-1.88</v>
      </c>
      <c r="D8">
        <f t="shared" si="2"/>
        <v>-0.125</v>
      </c>
      <c r="F8">
        <f t="shared" si="3"/>
        <v>-7.9649999999999999</v>
      </c>
    </row>
    <row r="9" spans="1:7">
      <c r="A9">
        <f t="shared" si="4"/>
        <v>75</v>
      </c>
      <c r="B9">
        <f t="shared" si="0"/>
        <v>-11.6</v>
      </c>
      <c r="C9">
        <f t="shared" si="1"/>
        <v>-1.88</v>
      </c>
      <c r="D9">
        <f t="shared" si="2"/>
        <v>-0.125</v>
      </c>
      <c r="F9">
        <f t="shared" si="3"/>
        <v>-7.9649999999999999</v>
      </c>
    </row>
    <row r="10" spans="1:7">
      <c r="A10">
        <f t="shared" si="4"/>
        <v>76</v>
      </c>
      <c r="B10">
        <f t="shared" si="0"/>
        <v>-11.6</v>
      </c>
      <c r="C10">
        <f t="shared" si="1"/>
        <v>-1.88</v>
      </c>
      <c r="D10">
        <f t="shared" si="2"/>
        <v>-0.125</v>
      </c>
      <c r="F10">
        <f t="shared" si="3"/>
        <v>-7.9649999999999999</v>
      </c>
    </row>
    <row r="11" spans="1:7">
      <c r="A11">
        <f t="shared" si="4"/>
        <v>77</v>
      </c>
      <c r="B11">
        <f t="shared" si="0"/>
        <v>-11.6</v>
      </c>
      <c r="C11">
        <f t="shared" si="1"/>
        <v>-1.88</v>
      </c>
      <c r="D11">
        <f t="shared" si="2"/>
        <v>-0.125</v>
      </c>
      <c r="F11">
        <f t="shared" si="3"/>
        <v>-7.9649999999999999</v>
      </c>
    </row>
    <row r="12" spans="1:7">
      <c r="A12">
        <f t="shared" si="4"/>
        <v>78</v>
      </c>
      <c r="B12">
        <f t="shared" si="0"/>
        <v>-11.6</v>
      </c>
      <c r="C12">
        <f t="shared" si="1"/>
        <v>-1.88</v>
      </c>
      <c r="D12">
        <f t="shared" si="2"/>
        <v>-0.125</v>
      </c>
      <c r="F12">
        <f t="shared" si="3"/>
        <v>-7.9649999999999999</v>
      </c>
    </row>
    <row r="13" spans="1:7">
      <c r="A13">
        <f t="shared" si="4"/>
        <v>79</v>
      </c>
      <c r="B13">
        <f t="shared" si="0"/>
        <v>-11.6</v>
      </c>
      <c r="C13">
        <f t="shared" si="1"/>
        <v>-1.88</v>
      </c>
      <c r="D13">
        <f t="shared" si="2"/>
        <v>-0.125</v>
      </c>
      <c r="F13">
        <f t="shared" si="3"/>
        <v>-7.9649999999999999</v>
      </c>
    </row>
    <row r="14" spans="1:7">
      <c r="A14">
        <f t="shared" si="4"/>
        <v>80</v>
      </c>
      <c r="B14">
        <f t="shared" si="0"/>
        <v>-11.6</v>
      </c>
      <c r="C14">
        <f t="shared" si="1"/>
        <v>-1.88</v>
      </c>
      <c r="D14">
        <f t="shared" si="2"/>
        <v>-0.125</v>
      </c>
      <c r="F14">
        <f t="shared" si="3"/>
        <v>-7.9649999999999999</v>
      </c>
    </row>
    <row r="15" spans="1:7">
      <c r="A15">
        <f t="shared" si="4"/>
        <v>81</v>
      </c>
      <c r="B15">
        <f t="shared" si="0"/>
        <v>-10.6</v>
      </c>
      <c r="C15">
        <f t="shared" si="1"/>
        <v>-1.88</v>
      </c>
      <c r="D15">
        <f t="shared" si="2"/>
        <v>-0.125</v>
      </c>
      <c r="F15">
        <f t="shared" si="3"/>
        <v>-6.9649999999999999</v>
      </c>
    </row>
    <row r="16" spans="1:7">
      <c r="A16">
        <f t="shared" si="4"/>
        <v>82</v>
      </c>
      <c r="B16">
        <f t="shared" si="0"/>
        <v>-9.6</v>
      </c>
      <c r="C16">
        <f t="shared" si="1"/>
        <v>-1.88</v>
      </c>
      <c r="D16">
        <f t="shared" si="2"/>
        <v>-0.125</v>
      </c>
      <c r="F16">
        <f t="shared" si="3"/>
        <v>-5.9649999999999999</v>
      </c>
    </row>
    <row r="17" spans="1:6">
      <c r="A17">
        <f t="shared" si="4"/>
        <v>83</v>
      </c>
      <c r="B17">
        <f t="shared" si="0"/>
        <v>-8.6</v>
      </c>
      <c r="C17">
        <f t="shared" si="1"/>
        <v>-1.88</v>
      </c>
      <c r="D17">
        <f t="shared" si="2"/>
        <v>-0.125</v>
      </c>
      <c r="F17">
        <f t="shared" si="3"/>
        <v>-4.9649999999999999</v>
      </c>
    </row>
    <row r="18" spans="1:6">
      <c r="A18">
        <f t="shared" si="4"/>
        <v>84</v>
      </c>
      <c r="B18">
        <f t="shared" si="0"/>
        <v>-7.6</v>
      </c>
      <c r="C18">
        <f t="shared" si="1"/>
        <v>-1.88</v>
      </c>
      <c r="D18">
        <f t="shared" si="2"/>
        <v>-0.125</v>
      </c>
      <c r="F18">
        <f t="shared" si="3"/>
        <v>-3.9649999999999999</v>
      </c>
    </row>
    <row r="19" spans="1:6">
      <c r="A19">
        <f t="shared" si="4"/>
        <v>85</v>
      </c>
      <c r="B19">
        <f t="shared" si="0"/>
        <v>-6.6</v>
      </c>
      <c r="C19">
        <f t="shared" si="1"/>
        <v>-1.88</v>
      </c>
      <c r="D19">
        <f t="shared" si="2"/>
        <v>-0.125</v>
      </c>
      <c r="F19">
        <f t="shared" si="3"/>
        <v>-2.9649999999999999</v>
      </c>
    </row>
    <row r="20" spans="1:6">
      <c r="A20">
        <f t="shared" si="4"/>
        <v>86</v>
      </c>
      <c r="B20">
        <f t="shared" si="0"/>
        <v>-5.6</v>
      </c>
      <c r="C20">
        <f t="shared" si="1"/>
        <v>-1.88</v>
      </c>
      <c r="D20">
        <f t="shared" si="2"/>
        <v>-0.125</v>
      </c>
      <c r="F20">
        <f t="shared" si="3"/>
        <v>-1.9649999999999999</v>
      </c>
    </row>
    <row r="21" spans="1:6">
      <c r="A21">
        <f t="shared" si="4"/>
        <v>87</v>
      </c>
      <c r="B21">
        <f t="shared" si="0"/>
        <v>-4.5999999999999996</v>
      </c>
      <c r="C21">
        <f t="shared" si="1"/>
        <v>-1.88</v>
      </c>
      <c r="D21">
        <f t="shared" si="2"/>
        <v>-0.125</v>
      </c>
      <c r="F21">
        <f t="shared" si="3"/>
        <v>-0.96499999999999986</v>
      </c>
    </row>
    <row r="22" spans="1:6">
      <c r="A22">
        <f t="shared" si="4"/>
        <v>88</v>
      </c>
      <c r="B22">
        <f t="shared" si="0"/>
        <v>-3.5999999999999996</v>
      </c>
      <c r="C22">
        <f t="shared" si="1"/>
        <v>-1.88</v>
      </c>
      <c r="D22">
        <f t="shared" si="2"/>
        <v>-0.125</v>
      </c>
      <c r="F22">
        <f t="shared" si="3"/>
        <v>3.5000000000000142E-2</v>
      </c>
    </row>
    <row r="23" spans="1:6">
      <c r="A23">
        <f t="shared" si="4"/>
        <v>89</v>
      </c>
      <c r="B23">
        <f t="shared" si="0"/>
        <v>-2.5999999999999996</v>
      </c>
      <c r="C23">
        <f t="shared" si="1"/>
        <v>-1.88</v>
      </c>
      <c r="D23">
        <f t="shared" si="2"/>
        <v>-0.125</v>
      </c>
      <c r="F23">
        <f t="shared" si="3"/>
        <v>1.0350000000000001</v>
      </c>
    </row>
    <row r="24" spans="1:6">
      <c r="A24">
        <f t="shared" si="4"/>
        <v>90</v>
      </c>
      <c r="B24">
        <f t="shared" si="0"/>
        <v>-1.5999999999999996</v>
      </c>
      <c r="C24">
        <f t="shared" si="1"/>
        <v>-1.88</v>
      </c>
      <c r="D24">
        <f t="shared" si="2"/>
        <v>-0.125</v>
      </c>
      <c r="F24">
        <f t="shared" si="3"/>
        <v>2.0350000000000001</v>
      </c>
    </row>
    <row r="25" spans="1:6">
      <c r="A25">
        <f t="shared" si="4"/>
        <v>91</v>
      </c>
      <c r="B25">
        <f t="shared" si="0"/>
        <v>-0.59999999999999964</v>
      </c>
      <c r="C25">
        <f t="shared" si="1"/>
        <v>-1.88</v>
      </c>
      <c r="D25">
        <f t="shared" si="2"/>
        <v>-0.125</v>
      </c>
      <c r="F25">
        <f t="shared" si="3"/>
        <v>3.0350000000000001</v>
      </c>
    </row>
    <row r="26" spans="1:6">
      <c r="A26">
        <f t="shared" si="4"/>
        <v>92</v>
      </c>
      <c r="B26">
        <f t="shared" si="0"/>
        <v>0.40000000000000036</v>
      </c>
      <c r="C26">
        <f t="shared" si="1"/>
        <v>-1.88</v>
      </c>
      <c r="D26">
        <f t="shared" si="2"/>
        <v>-0.125</v>
      </c>
      <c r="F26">
        <f t="shared" si="3"/>
        <v>4.0350000000000001</v>
      </c>
    </row>
    <row r="27" spans="1:6">
      <c r="A27">
        <f t="shared" si="4"/>
        <v>93</v>
      </c>
      <c r="B27">
        <f t="shared" si="0"/>
        <v>1.4000000000000004</v>
      </c>
      <c r="C27">
        <f t="shared" si="1"/>
        <v>-1.88</v>
      </c>
      <c r="D27">
        <f t="shared" si="2"/>
        <v>-0.125</v>
      </c>
      <c r="F27">
        <f t="shared" si="3"/>
        <v>5.0350000000000001</v>
      </c>
    </row>
    <row r="28" spans="1:6">
      <c r="A28">
        <f t="shared" si="4"/>
        <v>94</v>
      </c>
      <c r="B28">
        <f t="shared" si="0"/>
        <v>2.4000000000000004</v>
      </c>
      <c r="C28">
        <f t="shared" si="1"/>
        <v>-1.88</v>
      </c>
      <c r="D28">
        <f t="shared" si="2"/>
        <v>-0.125</v>
      </c>
      <c r="F28">
        <f t="shared" si="3"/>
        <v>6.0350000000000001</v>
      </c>
    </row>
    <row r="29" spans="1:6">
      <c r="A29">
        <f t="shared" si="4"/>
        <v>95</v>
      </c>
      <c r="B29">
        <f t="shared" si="0"/>
        <v>3.4000000000000004</v>
      </c>
      <c r="C29">
        <f t="shared" si="1"/>
        <v>-1.88</v>
      </c>
      <c r="D29">
        <f t="shared" si="2"/>
        <v>-0.125</v>
      </c>
      <c r="F29">
        <f t="shared" si="3"/>
        <v>7.0350000000000001</v>
      </c>
    </row>
    <row r="30" spans="1:6">
      <c r="A30">
        <f t="shared" si="4"/>
        <v>96</v>
      </c>
      <c r="B30">
        <f t="shared" si="0"/>
        <v>4.4000000000000004</v>
      </c>
      <c r="C30">
        <f t="shared" si="1"/>
        <v>-1.88</v>
      </c>
      <c r="D30">
        <f t="shared" si="2"/>
        <v>-0.125</v>
      </c>
      <c r="F30">
        <f t="shared" si="3"/>
        <v>8.0350000000000001</v>
      </c>
    </row>
    <row r="31" spans="1:6">
      <c r="A31">
        <f t="shared" si="4"/>
        <v>97</v>
      </c>
      <c r="B31">
        <f t="shared" si="0"/>
        <v>5.4</v>
      </c>
      <c r="C31">
        <f t="shared" si="1"/>
        <v>-1.88</v>
      </c>
      <c r="D31">
        <f t="shared" si="2"/>
        <v>-0.125</v>
      </c>
      <c r="F31">
        <f t="shared" si="3"/>
        <v>9.0350000000000001</v>
      </c>
    </row>
    <row r="32" spans="1:6">
      <c r="A32">
        <f t="shared" si="4"/>
        <v>98</v>
      </c>
      <c r="B32">
        <f t="shared" si="0"/>
        <v>6.4</v>
      </c>
      <c r="C32">
        <f t="shared" si="1"/>
        <v>-1.88</v>
      </c>
      <c r="D32">
        <f t="shared" si="2"/>
        <v>-0.125</v>
      </c>
      <c r="F32">
        <f t="shared" si="3"/>
        <v>10.035</v>
      </c>
    </row>
    <row r="33" spans="1:6">
      <c r="A33">
        <f t="shared" si="4"/>
        <v>99</v>
      </c>
      <c r="B33">
        <f t="shared" si="0"/>
        <v>7.4</v>
      </c>
      <c r="C33">
        <f t="shared" si="1"/>
        <v>-1.88</v>
      </c>
      <c r="D33">
        <f t="shared" si="2"/>
        <v>-0.125</v>
      </c>
      <c r="F33">
        <f t="shared" si="3"/>
        <v>11.035</v>
      </c>
    </row>
    <row r="34" spans="1:6">
      <c r="A34">
        <f t="shared" si="4"/>
        <v>100</v>
      </c>
      <c r="B34">
        <f t="shared" si="0"/>
        <v>8.4</v>
      </c>
      <c r="C34">
        <f t="shared" si="1"/>
        <v>-1.88</v>
      </c>
      <c r="D34">
        <f t="shared" si="2"/>
        <v>-0.125</v>
      </c>
      <c r="F34">
        <f t="shared" si="3"/>
        <v>12.035</v>
      </c>
    </row>
    <row r="35" spans="1:6">
      <c r="A35">
        <f t="shared" si="4"/>
        <v>101</v>
      </c>
      <c r="B35">
        <f t="shared" si="0"/>
        <v>9.4</v>
      </c>
      <c r="C35">
        <f t="shared" si="1"/>
        <v>-0.87999999999999989</v>
      </c>
      <c r="D35">
        <f t="shared" si="2"/>
        <v>-0.125</v>
      </c>
      <c r="F35">
        <f t="shared" si="3"/>
        <v>11.035</v>
      </c>
    </row>
    <row r="36" spans="1:6">
      <c r="A36">
        <f t="shared" si="4"/>
        <v>102</v>
      </c>
      <c r="B36">
        <f t="shared" ref="B36:B64" si="5">MAX(A36-80,0)-11.6</f>
        <v>10.4</v>
      </c>
      <c r="C36">
        <f t="shared" ref="C36:C64" si="6">MAX(A36-100,0)-1.88</f>
        <v>0.12000000000000011</v>
      </c>
      <c r="D36">
        <f t="shared" ref="D36:D64" si="7">MAX(A36-120,0)-0.125</f>
        <v>-0.125</v>
      </c>
      <c r="F36">
        <f t="shared" ref="F36:F64" si="8">B36-2*C36+D36</f>
        <v>10.035</v>
      </c>
    </row>
    <row r="37" spans="1:6">
      <c r="A37">
        <f t="shared" ref="A37:A64" si="9">A36+1</f>
        <v>103</v>
      </c>
      <c r="B37">
        <f t="shared" si="5"/>
        <v>11.4</v>
      </c>
      <c r="C37">
        <f t="shared" si="6"/>
        <v>1.1200000000000001</v>
      </c>
      <c r="D37">
        <f t="shared" si="7"/>
        <v>-0.125</v>
      </c>
      <c r="F37">
        <f t="shared" si="8"/>
        <v>9.0350000000000001</v>
      </c>
    </row>
    <row r="38" spans="1:6">
      <c r="A38">
        <f t="shared" si="9"/>
        <v>104</v>
      </c>
      <c r="B38">
        <f t="shared" si="5"/>
        <v>12.4</v>
      </c>
      <c r="C38">
        <f t="shared" si="6"/>
        <v>2.12</v>
      </c>
      <c r="D38">
        <f t="shared" si="7"/>
        <v>-0.125</v>
      </c>
      <c r="F38">
        <f t="shared" si="8"/>
        <v>8.0350000000000001</v>
      </c>
    </row>
    <row r="39" spans="1:6">
      <c r="A39">
        <f t="shared" si="9"/>
        <v>105</v>
      </c>
      <c r="B39">
        <f t="shared" si="5"/>
        <v>13.4</v>
      </c>
      <c r="C39">
        <f t="shared" si="6"/>
        <v>3.12</v>
      </c>
      <c r="D39">
        <f t="shared" si="7"/>
        <v>-0.125</v>
      </c>
      <c r="F39">
        <f t="shared" si="8"/>
        <v>7.0350000000000001</v>
      </c>
    </row>
    <row r="40" spans="1:6">
      <c r="A40">
        <f t="shared" si="9"/>
        <v>106</v>
      </c>
      <c r="B40">
        <f t="shared" si="5"/>
        <v>14.4</v>
      </c>
      <c r="C40">
        <f t="shared" si="6"/>
        <v>4.12</v>
      </c>
      <c r="D40">
        <f t="shared" si="7"/>
        <v>-0.125</v>
      </c>
      <c r="F40">
        <f t="shared" si="8"/>
        <v>6.0350000000000001</v>
      </c>
    </row>
    <row r="41" spans="1:6">
      <c r="A41">
        <f t="shared" si="9"/>
        <v>107</v>
      </c>
      <c r="B41">
        <f t="shared" si="5"/>
        <v>15.4</v>
      </c>
      <c r="C41">
        <f t="shared" si="6"/>
        <v>5.12</v>
      </c>
      <c r="D41">
        <f t="shared" si="7"/>
        <v>-0.125</v>
      </c>
      <c r="F41">
        <f t="shared" si="8"/>
        <v>5.0350000000000001</v>
      </c>
    </row>
    <row r="42" spans="1:6">
      <c r="A42">
        <f t="shared" si="9"/>
        <v>108</v>
      </c>
      <c r="B42">
        <f t="shared" si="5"/>
        <v>16.399999999999999</v>
      </c>
      <c r="C42">
        <f t="shared" si="6"/>
        <v>6.12</v>
      </c>
      <c r="D42">
        <f t="shared" si="7"/>
        <v>-0.125</v>
      </c>
      <c r="F42">
        <f t="shared" si="8"/>
        <v>4.0349999999999984</v>
      </c>
    </row>
    <row r="43" spans="1:6">
      <c r="A43">
        <f t="shared" si="9"/>
        <v>109</v>
      </c>
      <c r="B43">
        <f t="shared" si="5"/>
        <v>17.399999999999999</v>
      </c>
      <c r="C43">
        <f t="shared" si="6"/>
        <v>7.12</v>
      </c>
      <c r="D43">
        <f t="shared" si="7"/>
        <v>-0.125</v>
      </c>
      <c r="F43">
        <f t="shared" si="8"/>
        <v>3.0349999999999984</v>
      </c>
    </row>
    <row r="44" spans="1:6">
      <c r="A44">
        <f t="shared" si="9"/>
        <v>110</v>
      </c>
      <c r="B44">
        <f t="shared" si="5"/>
        <v>18.399999999999999</v>
      </c>
      <c r="C44">
        <f t="shared" si="6"/>
        <v>8.120000000000001</v>
      </c>
      <c r="D44">
        <f t="shared" si="7"/>
        <v>-0.125</v>
      </c>
      <c r="F44">
        <f t="shared" si="8"/>
        <v>2.0349999999999966</v>
      </c>
    </row>
    <row r="45" spans="1:6">
      <c r="A45">
        <f t="shared" si="9"/>
        <v>111</v>
      </c>
      <c r="B45">
        <f t="shared" si="5"/>
        <v>19.399999999999999</v>
      </c>
      <c r="C45">
        <f t="shared" si="6"/>
        <v>9.120000000000001</v>
      </c>
      <c r="D45">
        <f t="shared" si="7"/>
        <v>-0.125</v>
      </c>
      <c r="F45">
        <f t="shared" si="8"/>
        <v>1.0349999999999966</v>
      </c>
    </row>
    <row r="46" spans="1:6">
      <c r="A46">
        <f t="shared" si="9"/>
        <v>112</v>
      </c>
      <c r="B46">
        <f t="shared" si="5"/>
        <v>20.399999999999999</v>
      </c>
      <c r="C46">
        <f t="shared" si="6"/>
        <v>10.120000000000001</v>
      </c>
      <c r="D46">
        <f t="shared" si="7"/>
        <v>-0.125</v>
      </c>
      <c r="F46">
        <f t="shared" si="8"/>
        <v>3.4999999999996589E-2</v>
      </c>
    </row>
    <row r="47" spans="1:6">
      <c r="A47">
        <f t="shared" si="9"/>
        <v>113</v>
      </c>
      <c r="B47">
        <f t="shared" si="5"/>
        <v>21.4</v>
      </c>
      <c r="C47">
        <f t="shared" si="6"/>
        <v>11.120000000000001</v>
      </c>
      <c r="D47">
        <f t="shared" si="7"/>
        <v>-0.125</v>
      </c>
      <c r="F47">
        <f t="shared" si="8"/>
        <v>-0.96500000000000341</v>
      </c>
    </row>
    <row r="48" spans="1:6">
      <c r="A48">
        <f t="shared" si="9"/>
        <v>114</v>
      </c>
      <c r="B48">
        <f t="shared" si="5"/>
        <v>22.4</v>
      </c>
      <c r="C48">
        <f t="shared" si="6"/>
        <v>12.120000000000001</v>
      </c>
      <c r="D48">
        <f t="shared" si="7"/>
        <v>-0.125</v>
      </c>
      <c r="F48">
        <f t="shared" si="8"/>
        <v>-1.9650000000000034</v>
      </c>
    </row>
    <row r="49" spans="1:6">
      <c r="A49">
        <f t="shared" si="9"/>
        <v>115</v>
      </c>
      <c r="B49">
        <f t="shared" si="5"/>
        <v>23.4</v>
      </c>
      <c r="C49">
        <f t="shared" si="6"/>
        <v>13.120000000000001</v>
      </c>
      <c r="D49">
        <f t="shared" si="7"/>
        <v>-0.125</v>
      </c>
      <c r="F49">
        <f t="shared" si="8"/>
        <v>-2.9650000000000034</v>
      </c>
    </row>
    <row r="50" spans="1:6">
      <c r="A50">
        <f t="shared" si="9"/>
        <v>116</v>
      </c>
      <c r="B50">
        <f t="shared" si="5"/>
        <v>24.4</v>
      </c>
      <c r="C50">
        <f t="shared" si="6"/>
        <v>14.120000000000001</v>
      </c>
      <c r="D50">
        <f t="shared" si="7"/>
        <v>-0.125</v>
      </c>
      <c r="F50">
        <f t="shared" si="8"/>
        <v>-3.9650000000000034</v>
      </c>
    </row>
    <row r="51" spans="1:6">
      <c r="A51">
        <f t="shared" si="9"/>
        <v>117</v>
      </c>
      <c r="B51">
        <f t="shared" si="5"/>
        <v>25.4</v>
      </c>
      <c r="C51">
        <f t="shared" si="6"/>
        <v>15.120000000000001</v>
      </c>
      <c r="D51">
        <f t="shared" si="7"/>
        <v>-0.125</v>
      </c>
      <c r="F51">
        <f t="shared" si="8"/>
        <v>-4.9650000000000034</v>
      </c>
    </row>
    <row r="52" spans="1:6">
      <c r="A52">
        <f t="shared" si="9"/>
        <v>118</v>
      </c>
      <c r="B52">
        <f t="shared" si="5"/>
        <v>26.4</v>
      </c>
      <c r="C52">
        <f t="shared" si="6"/>
        <v>16.12</v>
      </c>
      <c r="D52">
        <f t="shared" si="7"/>
        <v>-0.125</v>
      </c>
      <c r="F52">
        <f t="shared" si="8"/>
        <v>-5.9650000000000034</v>
      </c>
    </row>
    <row r="53" spans="1:6">
      <c r="A53">
        <f t="shared" si="9"/>
        <v>119</v>
      </c>
      <c r="B53">
        <f t="shared" si="5"/>
        <v>27.4</v>
      </c>
      <c r="C53">
        <f t="shared" si="6"/>
        <v>17.12</v>
      </c>
      <c r="D53">
        <f t="shared" si="7"/>
        <v>-0.125</v>
      </c>
      <c r="F53">
        <f t="shared" si="8"/>
        <v>-6.9650000000000034</v>
      </c>
    </row>
    <row r="54" spans="1:6">
      <c r="A54">
        <f t="shared" si="9"/>
        <v>120</v>
      </c>
      <c r="B54">
        <f t="shared" si="5"/>
        <v>28.4</v>
      </c>
      <c r="C54">
        <f t="shared" si="6"/>
        <v>18.12</v>
      </c>
      <c r="D54">
        <f t="shared" si="7"/>
        <v>-0.125</v>
      </c>
      <c r="F54">
        <f t="shared" si="8"/>
        <v>-7.9650000000000034</v>
      </c>
    </row>
    <row r="55" spans="1:6">
      <c r="A55">
        <f t="shared" si="9"/>
        <v>121</v>
      </c>
      <c r="B55">
        <f t="shared" si="5"/>
        <v>29.4</v>
      </c>
      <c r="C55">
        <f t="shared" si="6"/>
        <v>19.12</v>
      </c>
      <c r="D55">
        <f t="shared" si="7"/>
        <v>0.875</v>
      </c>
      <c r="F55">
        <f t="shared" si="8"/>
        <v>-7.9650000000000034</v>
      </c>
    </row>
    <row r="56" spans="1:6">
      <c r="A56">
        <f t="shared" si="9"/>
        <v>122</v>
      </c>
      <c r="B56">
        <f t="shared" si="5"/>
        <v>30.4</v>
      </c>
      <c r="C56">
        <f t="shared" si="6"/>
        <v>20.12</v>
      </c>
      <c r="D56">
        <f t="shared" si="7"/>
        <v>1.875</v>
      </c>
      <c r="F56">
        <f t="shared" si="8"/>
        <v>-7.9650000000000034</v>
      </c>
    </row>
    <row r="57" spans="1:6">
      <c r="A57">
        <f t="shared" si="9"/>
        <v>123</v>
      </c>
      <c r="B57">
        <f t="shared" si="5"/>
        <v>31.4</v>
      </c>
      <c r="C57">
        <f t="shared" si="6"/>
        <v>21.12</v>
      </c>
      <c r="D57">
        <f t="shared" si="7"/>
        <v>2.875</v>
      </c>
      <c r="F57">
        <f t="shared" si="8"/>
        <v>-7.9650000000000034</v>
      </c>
    </row>
    <row r="58" spans="1:6">
      <c r="A58">
        <f t="shared" si="9"/>
        <v>124</v>
      </c>
      <c r="B58">
        <f t="shared" si="5"/>
        <v>32.4</v>
      </c>
      <c r="C58">
        <f t="shared" si="6"/>
        <v>22.12</v>
      </c>
      <c r="D58">
        <f t="shared" si="7"/>
        <v>3.875</v>
      </c>
      <c r="F58">
        <f t="shared" si="8"/>
        <v>-7.9650000000000034</v>
      </c>
    </row>
    <row r="59" spans="1:6">
      <c r="A59">
        <f t="shared" si="9"/>
        <v>125</v>
      </c>
      <c r="B59">
        <f t="shared" si="5"/>
        <v>33.4</v>
      </c>
      <c r="C59">
        <f t="shared" si="6"/>
        <v>23.12</v>
      </c>
      <c r="D59">
        <f t="shared" si="7"/>
        <v>4.875</v>
      </c>
      <c r="F59">
        <f t="shared" si="8"/>
        <v>-7.9650000000000034</v>
      </c>
    </row>
    <row r="60" spans="1:6">
      <c r="A60">
        <f t="shared" si="9"/>
        <v>126</v>
      </c>
      <c r="B60">
        <f t="shared" si="5"/>
        <v>34.4</v>
      </c>
      <c r="C60">
        <f t="shared" si="6"/>
        <v>24.12</v>
      </c>
      <c r="D60">
        <f t="shared" si="7"/>
        <v>5.875</v>
      </c>
      <c r="F60">
        <f t="shared" si="8"/>
        <v>-7.9650000000000034</v>
      </c>
    </row>
    <row r="61" spans="1:6">
      <c r="A61">
        <f t="shared" si="9"/>
        <v>127</v>
      </c>
      <c r="B61">
        <f t="shared" si="5"/>
        <v>35.4</v>
      </c>
      <c r="C61">
        <f t="shared" si="6"/>
        <v>25.12</v>
      </c>
      <c r="D61">
        <f t="shared" si="7"/>
        <v>6.875</v>
      </c>
      <c r="F61">
        <f t="shared" si="8"/>
        <v>-7.9650000000000034</v>
      </c>
    </row>
    <row r="62" spans="1:6">
      <c r="A62">
        <f t="shared" si="9"/>
        <v>128</v>
      </c>
      <c r="B62">
        <f t="shared" si="5"/>
        <v>36.4</v>
      </c>
      <c r="C62">
        <f t="shared" si="6"/>
        <v>26.12</v>
      </c>
      <c r="D62">
        <f t="shared" si="7"/>
        <v>7.875</v>
      </c>
      <c r="F62">
        <f t="shared" si="8"/>
        <v>-7.9650000000000034</v>
      </c>
    </row>
    <row r="63" spans="1:6">
      <c r="A63">
        <f t="shared" si="9"/>
        <v>129</v>
      </c>
      <c r="B63">
        <f t="shared" si="5"/>
        <v>37.4</v>
      </c>
      <c r="C63">
        <f t="shared" si="6"/>
        <v>27.12</v>
      </c>
      <c r="D63">
        <f t="shared" si="7"/>
        <v>8.875</v>
      </c>
      <c r="F63">
        <f t="shared" si="8"/>
        <v>-7.9650000000000034</v>
      </c>
    </row>
    <row r="64" spans="1:6">
      <c r="A64">
        <f t="shared" si="9"/>
        <v>130</v>
      </c>
      <c r="B64">
        <f t="shared" si="5"/>
        <v>38.4</v>
      </c>
      <c r="C64">
        <f t="shared" si="6"/>
        <v>28.12</v>
      </c>
      <c r="D64">
        <f t="shared" si="7"/>
        <v>9.875</v>
      </c>
      <c r="F64">
        <f t="shared" si="8"/>
        <v>-7.9650000000000034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F803-18D6-444D-BC70-33D163B72262}">
  <dimension ref="A1:G14"/>
  <sheetViews>
    <sheetView workbookViewId="0">
      <selection activeCell="E23" sqref="E23"/>
    </sheetView>
  </sheetViews>
  <sheetFormatPr defaultRowHeight="15"/>
  <sheetData>
    <row r="1" spans="1:7" ht="21">
      <c r="A1" s="307" t="s">
        <v>1339</v>
      </c>
      <c r="B1" s="307"/>
      <c r="C1" s="307"/>
      <c r="D1" s="307"/>
      <c r="E1" s="307"/>
      <c r="F1" s="307"/>
      <c r="G1" s="307"/>
    </row>
    <row r="4" spans="1:7">
      <c r="B4" t="s">
        <v>298</v>
      </c>
      <c r="C4">
        <v>100</v>
      </c>
    </row>
    <row r="5" spans="1:7">
      <c r="B5" t="s">
        <v>1332</v>
      </c>
      <c r="C5">
        <v>105</v>
      </c>
    </row>
    <row r="6" spans="1:7">
      <c r="B6" t="s">
        <v>297</v>
      </c>
      <c r="C6">
        <v>0.5</v>
      </c>
    </row>
    <row r="7" spans="1:7">
      <c r="B7" t="s">
        <v>1333</v>
      </c>
      <c r="C7">
        <f>LN(1.01)</f>
        <v>9.950330853168092E-3</v>
      </c>
    </row>
    <row r="8" spans="1:7">
      <c r="B8" s="43" t="s">
        <v>152</v>
      </c>
      <c r="C8">
        <v>0.25</v>
      </c>
    </row>
    <row r="10" spans="1:7">
      <c r="B10" t="s">
        <v>1334</v>
      </c>
      <c r="C10">
        <f>(LN(C4/C5)+(C7+C8^2/2)*C6)/(C8*SQRT(C6))</f>
        <v>-0.15946671418166461</v>
      </c>
    </row>
    <row r="11" spans="1:7">
      <c r="B11" t="s">
        <v>1335</v>
      </c>
      <c r="C11">
        <f>C10-C8*SQRT(C6)</f>
        <v>-0.3362434094783015</v>
      </c>
    </row>
    <row r="13" spans="1:7">
      <c r="B13" t="s">
        <v>1336</v>
      </c>
      <c r="C13">
        <f>_xlfn.NORM.S.DIST(C10,TRUE)*C4-_xlfn.NORM.S.DIST(C11,TRUE)*C5*EXP(-C7*C6)</f>
        <v>5.1809167679303556</v>
      </c>
    </row>
    <row r="14" spans="1:7">
      <c r="B14" t="s">
        <v>1337</v>
      </c>
      <c r="C14">
        <f>_xlfn.NORM.S.DIST(-C11,TRUE)*C5*EXP(-C7*C6)-_xlfn.NORM.S.DIST(-C10,TRUE)*C4</f>
        <v>9.6598217399792219</v>
      </c>
    </row>
  </sheetData>
  <mergeCells count="1">
    <mergeCell ref="A1:G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7E5A-3739-4107-AA7D-D6A8D9DB9174}">
  <dimension ref="A1:G14"/>
  <sheetViews>
    <sheetView workbookViewId="0">
      <selection sqref="A1:G1"/>
    </sheetView>
  </sheetViews>
  <sheetFormatPr defaultRowHeight="15"/>
  <cols>
    <col min="5" max="5" width="13.140625" bestFit="1" customWidth="1"/>
  </cols>
  <sheetData>
    <row r="1" spans="1:7" ht="21">
      <c r="A1" s="307" t="s">
        <v>1338</v>
      </c>
      <c r="B1" s="307"/>
      <c r="C1" s="307"/>
      <c r="D1" s="307"/>
      <c r="E1" s="307"/>
      <c r="F1" s="307"/>
      <c r="G1" s="307"/>
    </row>
    <row r="4" spans="1:7">
      <c r="B4" t="s">
        <v>298</v>
      </c>
      <c r="C4">
        <v>100</v>
      </c>
    </row>
    <row r="5" spans="1:7">
      <c r="B5" t="s">
        <v>1332</v>
      </c>
      <c r="C5">
        <v>105</v>
      </c>
    </row>
    <row r="6" spans="1:7">
      <c r="B6" t="s">
        <v>297</v>
      </c>
      <c r="C6">
        <v>0.5</v>
      </c>
    </row>
    <row r="7" spans="1:7">
      <c r="B7" t="s">
        <v>1333</v>
      </c>
      <c r="C7">
        <f>LN(1.01)</f>
        <v>9.950330853168092E-3</v>
      </c>
    </row>
    <row r="8" spans="1:7">
      <c r="B8" s="272" t="s">
        <v>152</v>
      </c>
      <c r="C8" s="113">
        <v>0.31496891859423737</v>
      </c>
    </row>
    <row r="10" spans="1:7">
      <c r="B10" t="s">
        <v>1334</v>
      </c>
      <c r="C10">
        <f>(LN(C4/C5)+(C7+C8^2/2)*C6)/(C8*SQRT(C6))</f>
        <v>-8.5371448980634021E-2</v>
      </c>
    </row>
    <row r="11" spans="1:7">
      <c r="B11" t="s">
        <v>1335</v>
      </c>
      <c r="C11">
        <f>C10-C8*SQRT(C6)</f>
        <v>-0.30808810718161295</v>
      </c>
    </row>
    <row r="12" spans="1:7">
      <c r="E12" t="s">
        <v>1341</v>
      </c>
      <c r="F12" t="s">
        <v>1340</v>
      </c>
    </row>
    <row r="13" spans="1:7">
      <c r="B13" t="s">
        <v>1336</v>
      </c>
      <c r="C13">
        <f>_xlfn.NORM.S.DIST(C10,TRUE)*C4-_xlfn.NORM.S.DIST(C11,TRUE)*C5*EXP(-C7*C6)</f>
        <v>7.0000007835879998</v>
      </c>
      <c r="E13">
        <v>7</v>
      </c>
      <c r="F13">
        <f>E13-C13</f>
        <v>-7.8358799981970151E-7</v>
      </c>
    </row>
    <row r="14" spans="1:7">
      <c r="B14" t="s">
        <v>1337</v>
      </c>
      <c r="C14">
        <f>_xlfn.NORM.S.DIST(-C11,TRUE)*C5*EXP(-C7*C6)-_xlfn.NORM.S.DIST(-C10,TRUE)*C4</f>
        <v>11.47890575563688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3">
    <pageSetUpPr autoPageBreaks="0"/>
  </sheetPr>
  <dimension ref="A1:M42"/>
  <sheetViews>
    <sheetView showGridLines="0" zoomScale="90" zoomScaleNormal="90" zoomScaleSheetLayoutView="100" workbookViewId="0">
      <selection sqref="A1:M1"/>
    </sheetView>
  </sheetViews>
  <sheetFormatPr defaultColWidth="9.140625" defaultRowHeight="15"/>
  <cols>
    <col min="1" max="1" width="9.140625" style="57" customWidth="1"/>
    <col min="2" max="2" width="32.42578125" style="57" bestFit="1" customWidth="1"/>
    <col min="3" max="6" width="9.140625" style="57" customWidth="1"/>
    <col min="7" max="7" width="32.42578125" style="57" bestFit="1" customWidth="1"/>
    <col min="8" max="8" width="9.140625" style="57" customWidth="1"/>
    <col min="9" max="9" width="9.5703125" style="57" bestFit="1" customWidth="1"/>
    <col min="10" max="10" width="9.140625" style="57" customWidth="1"/>
    <col min="11" max="11" width="32.42578125" style="57" bestFit="1" customWidth="1"/>
    <col min="12" max="12" width="9.140625" style="57" customWidth="1"/>
    <col min="13" max="13" width="9.5703125" style="57" bestFit="1" customWidth="1"/>
    <col min="14" max="19" width="9.140625" style="57" customWidth="1"/>
    <col min="20" max="16384" width="9.140625" style="57"/>
  </cols>
  <sheetData>
    <row r="1" spans="1:13" ht="21">
      <c r="A1" s="307" t="s">
        <v>1352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4" spans="1:13">
      <c r="B4" s="312" t="s">
        <v>178</v>
      </c>
      <c r="C4" s="313"/>
      <c r="D4" s="314"/>
      <c r="G4" s="312" t="s">
        <v>178</v>
      </c>
      <c r="H4" s="313"/>
      <c r="I4" s="314"/>
      <c r="K4" s="312" t="s">
        <v>178</v>
      </c>
      <c r="L4" s="313"/>
      <c r="M4" s="314"/>
    </row>
    <row r="5" spans="1:13">
      <c r="B5" s="315" t="s">
        <v>179</v>
      </c>
      <c r="C5" s="316"/>
      <c r="D5" s="317"/>
      <c r="G5" s="315" t="s">
        <v>180</v>
      </c>
      <c r="H5" s="316"/>
      <c r="I5" s="317"/>
      <c r="K5" s="315" t="s">
        <v>181</v>
      </c>
      <c r="L5" s="316"/>
      <c r="M5" s="317"/>
    </row>
    <row r="6" spans="1:13">
      <c r="B6" s="318">
        <v>45261</v>
      </c>
      <c r="C6" s="300"/>
      <c r="D6" s="319"/>
      <c r="G6" s="318">
        <v>45261</v>
      </c>
      <c r="H6" s="300"/>
      <c r="I6" s="319"/>
      <c r="K6" s="318">
        <v>45261</v>
      </c>
      <c r="L6" s="300"/>
      <c r="M6" s="319"/>
    </row>
    <row r="7" spans="1:13">
      <c r="B7" s="277" t="s">
        <v>182</v>
      </c>
      <c r="C7" s="84"/>
      <c r="D7" s="278"/>
      <c r="G7" s="68"/>
      <c r="I7" s="69"/>
      <c r="K7" s="68"/>
      <c r="M7" s="69" t="s">
        <v>183</v>
      </c>
    </row>
    <row r="8" spans="1:13">
      <c r="B8" s="273" t="s">
        <v>184</v>
      </c>
      <c r="D8" s="69"/>
      <c r="G8" s="68" t="s">
        <v>185</v>
      </c>
      <c r="I8" s="279">
        <v>442</v>
      </c>
      <c r="K8" s="273" t="s">
        <v>186</v>
      </c>
      <c r="M8" s="69"/>
    </row>
    <row r="9" spans="1:13">
      <c r="B9" s="70" t="s">
        <v>187</v>
      </c>
      <c r="D9" s="71">
        <v>20</v>
      </c>
      <c r="G9" s="70"/>
      <c r="I9" s="71"/>
      <c r="K9" s="70" t="s">
        <v>188</v>
      </c>
      <c r="M9" s="71">
        <f>I30</f>
        <v>23.270000000000024</v>
      </c>
    </row>
    <row r="10" spans="1:13">
      <c r="B10" s="70" t="s">
        <v>189</v>
      </c>
      <c r="D10" s="71">
        <v>5</v>
      </c>
      <c r="G10" s="68" t="s">
        <v>190</v>
      </c>
      <c r="H10" s="58"/>
      <c r="I10" s="74"/>
      <c r="K10" s="70" t="s">
        <v>1351</v>
      </c>
      <c r="M10" s="285">
        <f>-I18</f>
        <v>10</v>
      </c>
    </row>
    <row r="11" spans="1:13">
      <c r="B11" s="70" t="s">
        <v>191</v>
      </c>
      <c r="D11" s="71">
        <v>45</v>
      </c>
      <c r="G11" s="70" t="s">
        <v>192</v>
      </c>
      <c r="I11" s="280">
        <f>-I8*0.7</f>
        <v>-309.39999999999998</v>
      </c>
      <c r="K11" s="70"/>
      <c r="M11" s="71"/>
    </row>
    <row r="12" spans="1:13">
      <c r="B12" s="70" t="s">
        <v>194</v>
      </c>
      <c r="D12" s="71">
        <v>25</v>
      </c>
      <c r="G12" s="68" t="s">
        <v>195</v>
      </c>
      <c r="H12" s="58"/>
      <c r="I12" s="276">
        <f>I8+I11</f>
        <v>132.60000000000002</v>
      </c>
      <c r="K12" s="70" t="s">
        <v>193</v>
      </c>
      <c r="M12" s="71"/>
    </row>
    <row r="13" spans="1:13">
      <c r="B13" s="70" t="s">
        <v>197</v>
      </c>
      <c r="C13" s="58"/>
      <c r="D13" s="71">
        <f>SUM(D9:D12)</f>
        <v>95</v>
      </c>
      <c r="G13" s="68"/>
      <c r="I13" s="74"/>
      <c r="K13" s="70" t="s">
        <v>196</v>
      </c>
      <c r="M13" s="71"/>
    </row>
    <row r="14" spans="1:13">
      <c r="B14" s="70"/>
      <c r="D14" s="71"/>
      <c r="G14" s="273" t="s">
        <v>200</v>
      </c>
      <c r="I14" s="71"/>
      <c r="K14" s="70" t="s">
        <v>198</v>
      </c>
      <c r="M14" s="285">
        <v>-5</v>
      </c>
    </row>
    <row r="15" spans="1:13">
      <c r="B15" s="273" t="s">
        <v>1343</v>
      </c>
      <c r="D15" s="71"/>
      <c r="G15" s="70" t="s">
        <v>203</v>
      </c>
      <c r="I15" s="280">
        <v>-84</v>
      </c>
      <c r="K15" s="70" t="s">
        <v>201</v>
      </c>
      <c r="M15" s="71">
        <v>6</v>
      </c>
    </row>
    <row r="16" spans="1:13">
      <c r="B16" s="70" t="s">
        <v>199</v>
      </c>
      <c r="D16" s="71">
        <v>155</v>
      </c>
      <c r="G16" s="70" t="s">
        <v>205</v>
      </c>
      <c r="H16" s="58"/>
      <c r="I16" s="280">
        <v>-0.1</v>
      </c>
      <c r="K16" s="70" t="s">
        <v>204</v>
      </c>
      <c r="M16" s="71"/>
    </row>
    <row r="17" spans="2:13">
      <c r="B17" s="70" t="s">
        <v>202</v>
      </c>
      <c r="D17" s="71">
        <v>-100</v>
      </c>
      <c r="G17" s="70" t="s">
        <v>207</v>
      </c>
      <c r="H17" s="58"/>
      <c r="I17" s="280">
        <v>-0.6</v>
      </c>
      <c r="K17" s="70" t="s">
        <v>206</v>
      </c>
      <c r="M17" s="71">
        <v>3</v>
      </c>
    </row>
    <row r="18" spans="2:13">
      <c r="B18" s="70" t="s">
        <v>1342</v>
      </c>
      <c r="C18" s="58"/>
      <c r="D18" s="71">
        <f>SUM(D16:D17)</f>
        <v>55</v>
      </c>
      <c r="G18" s="70" t="s">
        <v>210</v>
      </c>
      <c r="H18" s="58"/>
      <c r="I18" s="280">
        <v>-10</v>
      </c>
      <c r="K18" s="70" t="s">
        <v>208</v>
      </c>
      <c r="M18" s="71">
        <v>1</v>
      </c>
    </row>
    <row r="19" spans="2:13">
      <c r="B19" s="70"/>
      <c r="D19" s="71"/>
      <c r="G19" s="70" t="s">
        <v>213</v>
      </c>
      <c r="I19" s="280">
        <f>SUM(I15:I18)</f>
        <v>-94.699999999999989</v>
      </c>
      <c r="K19" s="70" t="s">
        <v>211</v>
      </c>
      <c r="M19" s="285">
        <v>-1</v>
      </c>
    </row>
    <row r="20" spans="2:13">
      <c r="B20" s="70" t="s">
        <v>1344</v>
      </c>
      <c r="C20" s="58"/>
      <c r="D20" s="71">
        <v>5</v>
      </c>
      <c r="G20" s="70"/>
      <c r="I20" s="71"/>
      <c r="K20" s="70"/>
      <c r="M20" s="71"/>
    </row>
    <row r="21" spans="2:13">
      <c r="B21" s="70" t="s">
        <v>1347</v>
      </c>
      <c r="D21" s="71">
        <v>60</v>
      </c>
      <c r="G21" s="68" t="s">
        <v>216</v>
      </c>
      <c r="H21" s="58"/>
      <c r="I21" s="276">
        <f>I12+I19</f>
        <v>37.900000000000034</v>
      </c>
      <c r="K21" s="70" t="s">
        <v>214</v>
      </c>
      <c r="M21" s="71">
        <f>SUM(M14:M19)</f>
        <v>4</v>
      </c>
    </row>
    <row r="22" spans="2:13">
      <c r="B22" s="70"/>
      <c r="D22" s="71"/>
      <c r="G22" s="70"/>
      <c r="I22" s="71"/>
      <c r="K22" s="76"/>
      <c r="L22" s="77"/>
      <c r="M22" s="73"/>
    </row>
    <row r="23" spans="2:13">
      <c r="B23" s="275" t="s">
        <v>209</v>
      </c>
      <c r="C23" s="90"/>
      <c r="D23" s="274">
        <f>D18+D13+D20</f>
        <v>155</v>
      </c>
      <c r="G23" s="273" t="s">
        <v>221</v>
      </c>
      <c r="I23" s="71"/>
      <c r="K23" s="275" t="s">
        <v>217</v>
      </c>
      <c r="L23" s="284"/>
      <c r="M23" s="287">
        <f>M9+M10+M21</f>
        <v>37.270000000000024</v>
      </c>
    </row>
    <row r="24" spans="2:13">
      <c r="B24" s="275" t="s">
        <v>212</v>
      </c>
      <c r="C24" s="77"/>
      <c r="D24" s="75"/>
      <c r="G24" s="70" t="s">
        <v>1349</v>
      </c>
      <c r="I24" s="80">
        <f>0.05*5</f>
        <v>0.25</v>
      </c>
      <c r="K24" s="288" t="s">
        <v>219</v>
      </c>
      <c r="L24" s="78"/>
      <c r="M24" s="79"/>
    </row>
    <row r="25" spans="2:13">
      <c r="B25" s="273" t="s">
        <v>215</v>
      </c>
      <c r="D25" s="71"/>
      <c r="G25" s="70" t="s">
        <v>1350</v>
      </c>
      <c r="I25" s="281">
        <f>0.08*D32</f>
        <v>2.4</v>
      </c>
      <c r="K25" s="70"/>
      <c r="M25" s="71"/>
    </row>
    <row r="26" spans="2:13">
      <c r="B26" s="70" t="s">
        <v>218</v>
      </c>
      <c r="D26" s="71">
        <v>40</v>
      </c>
      <c r="G26" s="70" t="s">
        <v>228</v>
      </c>
      <c r="I26" s="81">
        <v>-2.1</v>
      </c>
      <c r="K26" s="70" t="s">
        <v>222</v>
      </c>
      <c r="M26" s="71"/>
    </row>
    <row r="27" spans="2:13">
      <c r="B27" s="70" t="s">
        <v>220</v>
      </c>
      <c r="D27" s="71">
        <v>15</v>
      </c>
      <c r="G27" s="70"/>
      <c r="H27" s="58"/>
      <c r="I27" s="71"/>
      <c r="K27" s="70" t="s">
        <v>224</v>
      </c>
      <c r="M27" s="285">
        <v>-5</v>
      </c>
    </row>
    <row r="28" spans="2:13">
      <c r="B28" s="70" t="s">
        <v>223</v>
      </c>
      <c r="D28" s="71">
        <v>5</v>
      </c>
      <c r="G28" s="68" t="s">
        <v>232</v>
      </c>
      <c r="H28" s="58"/>
      <c r="I28" s="282">
        <f>I21+I26</f>
        <v>35.800000000000033</v>
      </c>
      <c r="K28" s="70" t="s">
        <v>227</v>
      </c>
      <c r="M28" s="69">
        <v>10</v>
      </c>
    </row>
    <row r="29" spans="2:13">
      <c r="B29" s="70" t="s">
        <v>225</v>
      </c>
      <c r="C29" s="58"/>
      <c r="D29" s="71">
        <f>SUM(D26:D28)</f>
        <v>60</v>
      </c>
      <c r="G29" s="70" t="s">
        <v>235</v>
      </c>
      <c r="H29" s="58"/>
      <c r="I29" s="81">
        <f>-0.35*I28</f>
        <v>-12.53000000000001</v>
      </c>
      <c r="K29" s="70"/>
      <c r="M29" s="71"/>
    </row>
    <row r="30" spans="2:13">
      <c r="B30" s="70"/>
      <c r="D30" s="71"/>
      <c r="G30" s="275" t="s">
        <v>237</v>
      </c>
      <c r="H30" s="90"/>
      <c r="I30" s="283">
        <f>I28+I29</f>
        <v>23.270000000000024</v>
      </c>
      <c r="K30" s="70" t="s">
        <v>230</v>
      </c>
      <c r="M30" s="71"/>
    </row>
    <row r="31" spans="2:13">
      <c r="B31" s="273" t="s">
        <v>1345</v>
      </c>
      <c r="D31" s="71"/>
      <c r="K31" s="70" t="s">
        <v>233</v>
      </c>
      <c r="M31" s="285">
        <v>-3</v>
      </c>
    </row>
    <row r="32" spans="2:13">
      <c r="B32" s="70" t="s">
        <v>1346</v>
      </c>
      <c r="C32" s="58"/>
      <c r="D32" s="71">
        <v>30</v>
      </c>
      <c r="K32" s="70" t="s">
        <v>236</v>
      </c>
      <c r="M32" s="69">
        <v>2</v>
      </c>
    </row>
    <row r="33" spans="2:13">
      <c r="B33" s="70" t="s">
        <v>1348</v>
      </c>
      <c r="C33" s="58"/>
      <c r="D33" s="71">
        <v>30</v>
      </c>
      <c r="K33" s="76"/>
      <c r="L33" s="77"/>
      <c r="M33" s="73"/>
    </row>
    <row r="34" spans="2:13">
      <c r="B34" s="70"/>
      <c r="D34" s="71"/>
      <c r="K34" s="275" t="s">
        <v>238</v>
      </c>
      <c r="L34" s="90"/>
      <c r="M34" s="286">
        <f>SUM(M27:M32)</f>
        <v>4</v>
      </c>
    </row>
    <row r="35" spans="2:13">
      <c r="B35" s="68" t="s">
        <v>229</v>
      </c>
      <c r="C35" s="58"/>
      <c r="D35" s="74">
        <f>SUM(D29:D32)</f>
        <v>90</v>
      </c>
      <c r="K35" s="70" t="s">
        <v>239</v>
      </c>
      <c r="M35" s="82"/>
    </row>
    <row r="36" spans="2:13">
      <c r="B36" s="275" t="s">
        <v>231</v>
      </c>
      <c r="C36" s="90"/>
      <c r="D36" s="274">
        <f>155-90</f>
        <v>65</v>
      </c>
      <c r="K36" s="70" t="s">
        <v>240</v>
      </c>
      <c r="M36" s="71">
        <v>-5</v>
      </c>
    </row>
    <row r="37" spans="2:13">
      <c r="B37" s="275" t="s">
        <v>234</v>
      </c>
      <c r="C37" s="90"/>
      <c r="D37" s="274">
        <f>SUM(D35:D36)</f>
        <v>155</v>
      </c>
      <c r="K37" s="70" t="s">
        <v>241</v>
      </c>
      <c r="M37" s="71">
        <v>2</v>
      </c>
    </row>
    <row r="38" spans="2:13">
      <c r="K38" s="70" t="s">
        <v>242</v>
      </c>
      <c r="M38" s="71">
        <v>1</v>
      </c>
    </row>
    <row r="39" spans="2:13">
      <c r="K39" s="76" t="s">
        <v>243</v>
      </c>
      <c r="L39" s="77"/>
      <c r="M39" s="73">
        <v>-2.4</v>
      </c>
    </row>
    <row r="40" spans="2:13">
      <c r="K40" s="275" t="s">
        <v>244</v>
      </c>
      <c r="L40" s="77"/>
      <c r="M40" s="274">
        <f>SUM(M36:M39)</f>
        <v>-4.4000000000000004</v>
      </c>
    </row>
    <row r="41" spans="2:13">
      <c r="K41" s="83"/>
      <c r="L41" s="84"/>
      <c r="M41" s="72"/>
    </row>
    <row r="42" spans="2:13">
      <c r="K42" s="275" t="s">
        <v>245</v>
      </c>
      <c r="L42" s="77"/>
      <c r="M42" s="274">
        <f>M40+M34+M23</f>
        <v>36.870000000000026</v>
      </c>
    </row>
  </sheetData>
  <mergeCells count="10">
    <mergeCell ref="A1:M1"/>
    <mergeCell ref="G4:I4"/>
    <mergeCell ref="B5:D5"/>
    <mergeCell ref="K4:M4"/>
    <mergeCell ref="K6:M6"/>
    <mergeCell ref="B6:D6"/>
    <mergeCell ref="G6:I6"/>
    <mergeCell ref="G5:I5"/>
    <mergeCell ref="K5:M5"/>
    <mergeCell ref="B4:D4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2">
    <pageSetUpPr fitToPage="1"/>
  </sheetPr>
  <dimension ref="A1:S43"/>
  <sheetViews>
    <sheetView showGridLines="0" workbookViewId="0">
      <selection activeCell="E28" sqref="E28"/>
    </sheetView>
  </sheetViews>
  <sheetFormatPr defaultColWidth="9.140625" defaultRowHeight="15"/>
  <cols>
    <col min="1" max="1" width="30.42578125" style="57" bestFit="1" customWidth="1"/>
    <col min="2" max="4" width="9.140625" style="57" customWidth="1"/>
    <col min="5" max="5" width="9.5703125" style="57" bestFit="1" customWidth="1"/>
    <col min="6" max="8" width="9.5703125" style="57" customWidth="1"/>
    <col min="9" max="9" width="9.140625" style="57" customWidth="1"/>
    <col min="10" max="10" width="28.140625" style="57" bestFit="1" customWidth="1"/>
    <col min="11" max="11" width="9.5703125" style="57" bestFit="1" customWidth="1"/>
    <col min="12" max="12" width="8.85546875" style="57" customWidth="1"/>
    <col min="13" max="13" width="9.5703125" style="57" bestFit="1" customWidth="1"/>
    <col min="14" max="14" width="9.85546875" style="57" bestFit="1" customWidth="1"/>
    <col min="15" max="17" width="9.5703125" style="57" bestFit="1" customWidth="1"/>
    <col min="18" max="23" width="9.140625" style="57" customWidth="1"/>
    <col min="24" max="16384" width="9.140625" style="57"/>
  </cols>
  <sheetData>
    <row r="1" spans="1:17" ht="21">
      <c r="A1" s="307" t="s">
        <v>1353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3" spans="1:17">
      <c r="A3" s="320" t="s">
        <v>251</v>
      </c>
      <c r="B3" s="316"/>
      <c r="C3" s="316"/>
      <c r="D3" s="316"/>
      <c r="E3" s="316"/>
      <c r="F3" s="85"/>
      <c r="G3" s="85"/>
      <c r="H3" s="85"/>
      <c r="J3" s="321"/>
      <c r="K3" s="316"/>
      <c r="L3" s="316"/>
      <c r="M3" s="316"/>
      <c r="N3" s="316"/>
    </row>
    <row r="4" spans="1:17">
      <c r="A4" s="322" t="s">
        <v>1354</v>
      </c>
      <c r="B4" s="322"/>
      <c r="C4" s="322"/>
      <c r="D4" s="322"/>
      <c r="E4" s="322"/>
      <c r="F4" s="322"/>
      <c r="G4" s="322"/>
      <c r="H4" s="322"/>
      <c r="J4" s="322" t="s">
        <v>1355</v>
      </c>
      <c r="K4" s="322"/>
      <c r="L4" s="322"/>
      <c r="M4" s="322"/>
      <c r="N4" s="322"/>
      <c r="O4" s="322"/>
      <c r="P4" s="322"/>
      <c r="Q4" s="322"/>
    </row>
    <row r="5" spans="1:17">
      <c r="A5" s="56"/>
      <c r="B5" s="56">
        <f ca="1">C5-1</f>
        <v>2022</v>
      </c>
      <c r="C5" s="56">
        <f ca="1">D5-1</f>
        <v>2023</v>
      </c>
      <c r="D5" s="56">
        <f ca="1">E5-1</f>
        <v>2024</v>
      </c>
      <c r="E5" s="56">
        <f ca="1">F5-1</f>
        <v>2025</v>
      </c>
      <c r="F5" s="56">
        <f ca="1">YEAR(TODAY())</f>
        <v>2026</v>
      </c>
      <c r="G5" s="56">
        <f ca="1">F5+1</f>
        <v>2027</v>
      </c>
      <c r="H5" s="56">
        <f ca="1">G5+1</f>
        <v>2028</v>
      </c>
      <c r="J5" s="58"/>
      <c r="K5" s="56">
        <f t="shared" ref="K5:Q5" ca="1" si="0">B5</f>
        <v>2022</v>
      </c>
      <c r="L5" s="56">
        <f t="shared" ca="1" si="0"/>
        <v>2023</v>
      </c>
      <c r="M5" s="56">
        <f t="shared" ca="1" si="0"/>
        <v>2024</v>
      </c>
      <c r="N5" s="56">
        <f t="shared" ca="1" si="0"/>
        <v>2025</v>
      </c>
      <c r="O5" s="56">
        <f t="shared" ca="1" si="0"/>
        <v>2026</v>
      </c>
      <c r="P5" s="56">
        <f t="shared" ca="1" si="0"/>
        <v>2027</v>
      </c>
      <c r="Q5" s="56">
        <f t="shared" ca="1" si="0"/>
        <v>2028</v>
      </c>
    </row>
    <row r="6" spans="1:17">
      <c r="A6" s="57" t="s">
        <v>185</v>
      </c>
      <c r="B6" s="59">
        <v>226.66666666666671</v>
      </c>
      <c r="C6" s="59">
        <v>272</v>
      </c>
      <c r="D6" s="57">
        <v>353.6</v>
      </c>
      <c r="E6" s="60">
        <v>442</v>
      </c>
      <c r="F6" s="60">
        <v>561.34</v>
      </c>
      <c r="G6" s="60">
        <v>718.51520000000005</v>
      </c>
      <c r="H6" s="60">
        <v>948.44006400000012</v>
      </c>
      <c r="J6" s="57" t="s">
        <v>188</v>
      </c>
      <c r="K6" s="59">
        <f t="shared" ref="K6:Q6" si="1">B23</f>
        <v>11.28573333333337</v>
      </c>
      <c r="L6" s="59">
        <f t="shared" si="1"/>
        <v>12.835679999999996</v>
      </c>
      <c r="M6" s="59">
        <f t="shared" si="1"/>
        <v>17.146064000000024</v>
      </c>
      <c r="N6" s="59">
        <f t="shared" si="1"/>
        <v>23.075000000000017</v>
      </c>
      <c r="O6" s="59">
        <f t="shared" si="1"/>
        <v>26.854505600000032</v>
      </c>
      <c r="P6" s="59">
        <f t="shared" si="1"/>
        <v>36.241906688</v>
      </c>
      <c r="Q6" s="59">
        <f t="shared" si="1"/>
        <v>47.83931682815998</v>
      </c>
    </row>
    <row r="7" spans="1:17">
      <c r="A7" s="61" t="s">
        <v>252</v>
      </c>
      <c r="C7" s="62">
        <f t="shared" ref="C7:H7" si="2">C6/B6-1</f>
        <v>0.19999999999999973</v>
      </c>
      <c r="D7" s="62">
        <f t="shared" si="2"/>
        <v>0.30000000000000004</v>
      </c>
      <c r="E7" s="62">
        <f t="shared" si="2"/>
        <v>0.25</v>
      </c>
      <c r="F7" s="62">
        <f t="shared" si="2"/>
        <v>0.27</v>
      </c>
      <c r="G7" s="62">
        <f t="shared" si="2"/>
        <v>0.28000000000000003</v>
      </c>
      <c r="H7" s="62">
        <f t="shared" si="2"/>
        <v>0.32000000000000006</v>
      </c>
      <c r="J7" s="57" t="s">
        <v>253</v>
      </c>
      <c r="K7" s="59">
        <v>10</v>
      </c>
      <c r="L7" s="59">
        <v>10</v>
      </c>
      <c r="M7" s="59">
        <v>10</v>
      </c>
      <c r="N7" s="59">
        <v>10</v>
      </c>
      <c r="O7" s="59">
        <v>9.5</v>
      </c>
      <c r="P7" s="59">
        <v>9.5</v>
      </c>
      <c r="Q7" s="59">
        <f>9.5+1.5</f>
        <v>11</v>
      </c>
    </row>
    <row r="8" spans="1:17">
      <c r="A8" s="61"/>
      <c r="C8" s="62"/>
      <c r="D8" s="62"/>
      <c r="E8" s="62"/>
      <c r="F8" s="62"/>
      <c r="G8" s="62"/>
      <c r="H8" s="62"/>
      <c r="J8" s="57" t="s">
        <v>1356</v>
      </c>
      <c r="K8" s="57">
        <v>0.5</v>
      </c>
      <c r="L8" s="57">
        <v>1</v>
      </c>
      <c r="M8" s="57">
        <v>3</v>
      </c>
      <c r="N8" s="57">
        <v>4</v>
      </c>
      <c r="O8" s="57">
        <v>2</v>
      </c>
      <c r="P8" s="57">
        <v>1</v>
      </c>
      <c r="Q8" s="57">
        <v>2</v>
      </c>
    </row>
    <row r="9" spans="1:17">
      <c r="A9" s="57" t="s">
        <v>190</v>
      </c>
      <c r="B9" s="58"/>
      <c r="C9" s="58"/>
      <c r="D9" s="58"/>
      <c r="E9" s="58"/>
      <c r="F9" s="58"/>
      <c r="J9" s="57" t="s">
        <v>255</v>
      </c>
      <c r="K9" s="64">
        <f>K6+K7-K8</f>
        <v>20.785733333333368</v>
      </c>
      <c r="L9" s="64">
        <f t="shared" ref="L9:Q9" si="3">L6+L7-L8</f>
        <v>21.835679999999996</v>
      </c>
      <c r="M9" s="64">
        <f t="shared" si="3"/>
        <v>24.146064000000024</v>
      </c>
      <c r="N9" s="64">
        <f t="shared" si="3"/>
        <v>29.075000000000017</v>
      </c>
      <c r="O9" s="64">
        <f t="shared" si="3"/>
        <v>34.354505600000032</v>
      </c>
      <c r="P9" s="64">
        <f t="shared" si="3"/>
        <v>44.741906688</v>
      </c>
      <c r="Q9" s="64">
        <f t="shared" si="3"/>
        <v>56.83931682815998</v>
      </c>
    </row>
    <row r="10" spans="1:17">
      <c r="A10" s="57" t="s">
        <v>192</v>
      </c>
      <c r="B10" s="59">
        <v>160.93333333333331</v>
      </c>
      <c r="C10" s="59">
        <v>195.84</v>
      </c>
      <c r="D10" s="59">
        <v>240.44800000000001</v>
      </c>
      <c r="E10" s="59">
        <v>309.39999999999998</v>
      </c>
      <c r="F10" s="59">
        <v>381.71120000000008</v>
      </c>
      <c r="G10" s="59">
        <v>524.51609600000006</v>
      </c>
      <c r="H10" s="59">
        <v>692.36124672000005</v>
      </c>
      <c r="J10" s="57" t="s">
        <v>256</v>
      </c>
      <c r="K10" s="57">
        <v>0</v>
      </c>
      <c r="L10" s="57">
        <v>0</v>
      </c>
      <c r="M10" s="57">
        <v>0</v>
      </c>
      <c r="N10" s="57">
        <v>-5</v>
      </c>
      <c r="O10" s="57">
        <v>0</v>
      </c>
      <c r="P10" s="57">
        <v>15</v>
      </c>
      <c r="Q10" s="57">
        <v>0</v>
      </c>
    </row>
    <row r="11" spans="1:17">
      <c r="A11" s="57" t="s">
        <v>195</v>
      </c>
      <c r="B11" s="59">
        <f>B6-B10</f>
        <v>65.733333333333405</v>
      </c>
      <c r="C11" s="59">
        <f t="shared" ref="C11:H11" si="4">C6-C10</f>
        <v>76.16</v>
      </c>
      <c r="D11" s="59">
        <f t="shared" si="4"/>
        <v>113.15200000000002</v>
      </c>
      <c r="E11" s="59">
        <f t="shared" si="4"/>
        <v>132.60000000000002</v>
      </c>
      <c r="F11" s="59">
        <f t="shared" si="4"/>
        <v>179.62879999999996</v>
      </c>
      <c r="G11" s="59">
        <f t="shared" si="4"/>
        <v>193.99910399999999</v>
      </c>
      <c r="H11" s="59">
        <f t="shared" si="4"/>
        <v>256.07881728000007</v>
      </c>
      <c r="J11" s="57" t="s">
        <v>257</v>
      </c>
      <c r="K11" s="59">
        <f t="shared" ref="K11:Q11" si="5">B18</f>
        <v>1.224</v>
      </c>
      <c r="L11" s="59">
        <f t="shared" si="5"/>
        <v>1.4688000000000001</v>
      </c>
      <c r="M11" s="59">
        <f t="shared" si="5"/>
        <v>1.90944</v>
      </c>
      <c r="N11" s="59">
        <f t="shared" si="5"/>
        <v>2.4</v>
      </c>
      <c r="O11" s="59">
        <f t="shared" si="5"/>
        <v>3.0312359999999998</v>
      </c>
      <c r="P11" s="59">
        <f t="shared" si="5"/>
        <v>3.87998208</v>
      </c>
      <c r="Q11" s="59">
        <f t="shared" si="5"/>
        <v>5.1215763456000012</v>
      </c>
    </row>
    <row r="12" spans="1:17">
      <c r="A12" s="57" t="s">
        <v>258</v>
      </c>
      <c r="B12" s="57">
        <f t="shared" ref="B12:H12" si="6">B11/B6</f>
        <v>0.29000000000000026</v>
      </c>
      <c r="C12" s="57">
        <f t="shared" si="6"/>
        <v>0.27999999999999997</v>
      </c>
      <c r="D12" s="57">
        <f t="shared" si="6"/>
        <v>0.32</v>
      </c>
      <c r="E12" s="64">
        <f t="shared" si="6"/>
        <v>0.30000000000000004</v>
      </c>
      <c r="F12" s="57">
        <f t="shared" si="6"/>
        <v>0.3199999999999999</v>
      </c>
      <c r="G12" s="57">
        <f t="shared" si="6"/>
        <v>0.26999999999999996</v>
      </c>
      <c r="H12" s="57">
        <f t="shared" si="6"/>
        <v>0.27</v>
      </c>
      <c r="J12" s="57" t="s">
        <v>259</v>
      </c>
      <c r="K12" s="57">
        <v>0.35</v>
      </c>
      <c r="L12" s="57">
        <v>0.35</v>
      </c>
      <c r="M12" s="57">
        <v>0.35</v>
      </c>
      <c r="N12" s="57">
        <v>0.35</v>
      </c>
      <c r="O12" s="57">
        <v>0.35</v>
      </c>
      <c r="P12" s="57">
        <v>0.35</v>
      </c>
      <c r="Q12" s="57">
        <v>0.35</v>
      </c>
    </row>
    <row r="13" spans="1:17">
      <c r="A13" s="58"/>
      <c r="F13" s="56"/>
      <c r="J13" s="57" t="s">
        <v>260</v>
      </c>
      <c r="K13" s="64">
        <f t="shared" ref="K13:Q13" si="7">K11*(1-K12)</f>
        <v>0.79559999999999997</v>
      </c>
      <c r="L13" s="64">
        <f t="shared" si="7"/>
        <v>0.95472000000000012</v>
      </c>
      <c r="M13" s="64">
        <f t="shared" si="7"/>
        <v>1.241136</v>
      </c>
      <c r="N13" s="64">
        <f t="shared" si="7"/>
        <v>1.56</v>
      </c>
      <c r="O13" s="64">
        <f t="shared" si="7"/>
        <v>1.9703033999999999</v>
      </c>
      <c r="P13" s="64">
        <f t="shared" si="7"/>
        <v>2.5219883520000002</v>
      </c>
      <c r="Q13" s="64">
        <f t="shared" si="7"/>
        <v>3.329024624640001</v>
      </c>
    </row>
    <row r="14" spans="1:17">
      <c r="A14" s="57" t="s">
        <v>213</v>
      </c>
      <c r="B14" s="59">
        <v>47.146666666666682</v>
      </c>
      <c r="C14" s="59">
        <v>54.944000000000003</v>
      </c>
      <c r="D14" s="59">
        <v>84.863999999999976</v>
      </c>
      <c r="E14" s="56">
        <v>94.7</v>
      </c>
      <c r="F14" s="59">
        <v>135.28293999999991</v>
      </c>
      <c r="G14" s="59">
        <v>134.36234239999999</v>
      </c>
      <c r="H14" s="59">
        <v>177.35829196800009</v>
      </c>
      <c r="J14" s="57" t="s">
        <v>247</v>
      </c>
      <c r="K14" s="59">
        <f>K9-K10+K13</f>
        <v>21.581333333333369</v>
      </c>
      <c r="L14" s="59">
        <f t="shared" ref="L14:Q14" si="8">L9-L10+L13</f>
        <v>22.790399999999998</v>
      </c>
      <c r="M14" s="59">
        <f t="shared" si="8"/>
        <v>25.387200000000025</v>
      </c>
      <c r="N14" s="59">
        <f t="shared" si="8"/>
        <v>35.635000000000019</v>
      </c>
      <c r="O14" s="59">
        <f t="shared" si="8"/>
        <v>36.32480900000003</v>
      </c>
      <c r="P14" s="59">
        <f t="shared" si="8"/>
        <v>32.263895040000001</v>
      </c>
      <c r="Q14" s="59">
        <f t="shared" si="8"/>
        <v>60.168341452799979</v>
      </c>
    </row>
    <row r="15" spans="1:17">
      <c r="A15" s="57" t="s">
        <v>216</v>
      </c>
      <c r="B15" s="59">
        <f>B11-B14</f>
        <v>18.586666666666723</v>
      </c>
      <c r="C15" s="59">
        <f t="shared" ref="C15:H15" si="9">C11-C14</f>
        <v>21.215999999999994</v>
      </c>
      <c r="D15" s="59">
        <f t="shared" si="9"/>
        <v>28.288000000000039</v>
      </c>
      <c r="E15" s="59">
        <f t="shared" si="9"/>
        <v>37.90000000000002</v>
      </c>
      <c r="F15" s="59">
        <f t="shared" si="9"/>
        <v>44.345860000000044</v>
      </c>
      <c r="G15" s="59">
        <f t="shared" si="9"/>
        <v>59.6367616</v>
      </c>
      <c r="H15" s="59">
        <f t="shared" si="9"/>
        <v>78.720525311999978</v>
      </c>
      <c r="J15" s="57" t="s">
        <v>261</v>
      </c>
      <c r="K15" s="86">
        <f t="shared" ref="K15:Q15" si="10">K14/B6</f>
        <v>9.5211764705882496E-2</v>
      </c>
      <c r="L15" s="86">
        <f t="shared" si="10"/>
        <v>8.3788235294117636E-2</v>
      </c>
      <c r="M15" s="86">
        <f t="shared" si="10"/>
        <v>7.1796380090497797E-2</v>
      </c>
      <c r="N15" s="86">
        <f t="shared" si="10"/>
        <v>8.0622171945701399E-2</v>
      </c>
      <c r="O15" s="86">
        <f t="shared" si="10"/>
        <v>6.4710886450279739E-2</v>
      </c>
      <c r="P15" s="86">
        <f t="shared" si="10"/>
        <v>4.490356646595646E-2</v>
      </c>
      <c r="Q15" s="86">
        <f t="shared" si="10"/>
        <v>6.3439265944800885E-2</v>
      </c>
    </row>
    <row r="16" spans="1:17">
      <c r="A16" s="57" t="s">
        <v>262</v>
      </c>
      <c r="B16" s="88">
        <f>B15/B6</f>
        <v>8.2000000000000225E-2</v>
      </c>
      <c r="C16" s="88">
        <f t="shared" ref="C16:H16" si="11">C15/C6</f>
        <v>7.7999999999999972E-2</v>
      </c>
      <c r="D16" s="88">
        <f t="shared" si="11"/>
        <v>8.0000000000000113E-2</v>
      </c>
      <c r="E16" s="88">
        <f t="shared" si="11"/>
        <v>8.5746606334841671E-2</v>
      </c>
      <c r="F16" s="88">
        <f t="shared" si="11"/>
        <v>7.900000000000007E-2</v>
      </c>
      <c r="G16" s="88">
        <f t="shared" si="11"/>
        <v>8.299999999999999E-2</v>
      </c>
      <c r="H16" s="88">
        <f t="shared" si="11"/>
        <v>8.2999999999999963E-2</v>
      </c>
    </row>
    <row r="17" spans="1:19">
      <c r="B17" s="59"/>
      <c r="C17" s="59"/>
      <c r="D17" s="59"/>
      <c r="E17" s="60"/>
      <c r="F17" s="59"/>
      <c r="G17" s="59"/>
      <c r="H17" s="59"/>
      <c r="J17" s="61" t="s">
        <v>172</v>
      </c>
    </row>
    <row r="18" spans="1:19">
      <c r="A18" s="57" t="s">
        <v>226</v>
      </c>
      <c r="B18" s="59">
        <v>1.224</v>
      </c>
      <c r="C18" s="59">
        <v>1.4688000000000001</v>
      </c>
      <c r="D18" s="59">
        <v>1.90944</v>
      </c>
      <c r="E18" s="59">
        <v>2.4</v>
      </c>
      <c r="F18" s="59">
        <v>3.0312359999999998</v>
      </c>
      <c r="G18" s="59">
        <v>3.87998208</v>
      </c>
      <c r="H18" s="59">
        <v>5.1215763456000012</v>
      </c>
      <c r="J18" s="61" t="s">
        <v>237</v>
      </c>
      <c r="L18" s="62">
        <f t="shared" ref="L18:Q18" si="12">L6/K6-1</f>
        <v>0.13733681462140579</v>
      </c>
      <c r="M18" s="62">
        <f t="shared" si="12"/>
        <v>0.33581267217631083</v>
      </c>
      <c r="N18" s="62">
        <f t="shared" si="12"/>
        <v>0.34578991423337646</v>
      </c>
      <c r="O18" s="62">
        <f t="shared" si="12"/>
        <v>0.16379222535211313</v>
      </c>
      <c r="P18" s="62">
        <f t="shared" si="12"/>
        <v>0.34956521739130286</v>
      </c>
      <c r="Q18" s="62">
        <f t="shared" si="12"/>
        <v>0.3199999999999994</v>
      </c>
    </row>
    <row r="19" spans="1:19">
      <c r="B19" s="65"/>
      <c r="C19" s="65"/>
      <c r="D19" s="65"/>
      <c r="E19" s="65"/>
      <c r="F19" s="65"/>
      <c r="G19" s="65"/>
      <c r="H19" s="65"/>
      <c r="J19" s="61" t="s">
        <v>255</v>
      </c>
      <c r="K19" s="58"/>
      <c r="L19" s="62">
        <f t="shared" ref="L19:Q19" si="13">L9/K9-1</f>
        <v>5.0512851763707678E-2</v>
      </c>
      <c r="M19" s="62">
        <f t="shared" si="13"/>
        <v>0.10580774219076439</v>
      </c>
      <c r="N19" s="62">
        <f t="shared" si="13"/>
        <v>0.20412999816450372</v>
      </c>
      <c r="O19" s="62">
        <f t="shared" si="13"/>
        <v>0.18158230782459195</v>
      </c>
      <c r="P19" s="62">
        <f t="shared" si="13"/>
        <v>0.30235920752123868</v>
      </c>
      <c r="Q19" s="62">
        <f t="shared" si="13"/>
        <v>0.27038208774872263</v>
      </c>
    </row>
    <row r="20" spans="1:19">
      <c r="B20" s="58"/>
      <c r="C20" s="58"/>
      <c r="D20" s="58"/>
      <c r="F20" s="66"/>
      <c r="G20" s="59"/>
      <c r="H20" s="59"/>
      <c r="J20" s="61" t="s">
        <v>247</v>
      </c>
      <c r="K20" s="58"/>
      <c r="L20" s="62">
        <f t="shared" ref="L20:Q20" si="14">L14/K14-1</f>
        <v>5.6023724206102132E-2</v>
      </c>
      <c r="M20" s="62">
        <f t="shared" si="14"/>
        <v>0.11394271272114698</v>
      </c>
      <c r="N20" s="62">
        <f t="shared" si="14"/>
        <v>0.40366011218251652</v>
      </c>
      <c r="O20" s="62">
        <f t="shared" si="14"/>
        <v>1.9357625929564026E-2</v>
      </c>
      <c r="P20" s="62">
        <f t="shared" si="14"/>
        <v>-0.11179450275980873</v>
      </c>
      <c r="Q20" s="62">
        <f t="shared" si="14"/>
        <v>0.8648815147149691</v>
      </c>
    </row>
    <row r="21" spans="1:19" ht="30">
      <c r="A21" s="57" t="s">
        <v>232</v>
      </c>
      <c r="B21" s="59">
        <f>B15-B18</f>
        <v>17.362666666666723</v>
      </c>
      <c r="C21" s="59">
        <f t="shared" ref="C21:H21" si="15">C15-C18</f>
        <v>19.747199999999992</v>
      </c>
      <c r="D21" s="59">
        <f t="shared" si="15"/>
        <v>26.378560000000039</v>
      </c>
      <c r="E21" s="59">
        <f t="shared" si="15"/>
        <v>35.500000000000021</v>
      </c>
      <c r="F21" s="59">
        <f t="shared" si="15"/>
        <v>41.314624000000045</v>
      </c>
      <c r="G21" s="59">
        <f t="shared" si="15"/>
        <v>55.756779520000002</v>
      </c>
      <c r="H21" s="59">
        <f t="shared" si="15"/>
        <v>73.598948966399973</v>
      </c>
      <c r="N21" s="66"/>
      <c r="R21" s="110" t="s">
        <v>263</v>
      </c>
    </row>
    <row r="22" spans="1:19">
      <c r="A22" s="57" t="s">
        <v>235</v>
      </c>
      <c r="B22" s="59">
        <f>0.35*B21</f>
        <v>6.0769333333333524</v>
      </c>
      <c r="C22" s="59">
        <f t="shared" ref="C22:H22" si="16">0.35*C21</f>
        <v>6.9115199999999968</v>
      </c>
      <c r="D22" s="59">
        <f t="shared" si="16"/>
        <v>9.2324960000000136</v>
      </c>
      <c r="E22" s="57">
        <f t="shared" si="16"/>
        <v>12.425000000000006</v>
      </c>
      <c r="F22" s="59">
        <f t="shared" si="16"/>
        <v>14.460118400000015</v>
      </c>
      <c r="G22" s="59">
        <f t="shared" si="16"/>
        <v>19.514872831999998</v>
      </c>
      <c r="H22" s="59">
        <f t="shared" si="16"/>
        <v>25.75963213823999</v>
      </c>
      <c r="O22" s="56">
        <f ca="1">O5</f>
        <v>2026</v>
      </c>
      <c r="P22" s="56">
        <f ca="1">P5</f>
        <v>2027</v>
      </c>
      <c r="Q22" s="56">
        <f ca="1">Q5</f>
        <v>2028</v>
      </c>
      <c r="R22" s="57">
        <v>2028</v>
      </c>
      <c r="S22" s="57" t="s">
        <v>264</v>
      </c>
    </row>
    <row r="23" spans="1:19">
      <c r="A23" s="63" t="s">
        <v>237</v>
      </c>
      <c r="B23" s="59">
        <f t="shared" ref="B23:H23" si="17">B21-B22</f>
        <v>11.28573333333337</v>
      </c>
      <c r="C23" s="59">
        <f t="shared" si="17"/>
        <v>12.835679999999996</v>
      </c>
      <c r="D23" s="59">
        <f t="shared" si="17"/>
        <v>17.146064000000024</v>
      </c>
      <c r="E23" s="59">
        <f t="shared" si="17"/>
        <v>23.075000000000017</v>
      </c>
      <c r="F23" s="59">
        <f t="shared" si="17"/>
        <v>26.854505600000032</v>
      </c>
      <c r="G23" s="59">
        <f t="shared" si="17"/>
        <v>36.241906688</v>
      </c>
      <c r="H23" s="59">
        <f t="shared" si="17"/>
        <v>47.83931682815998</v>
      </c>
      <c r="I23" s="59"/>
      <c r="J23" s="57" t="s">
        <v>250</v>
      </c>
      <c r="K23" s="57">
        <v>0.18</v>
      </c>
    </row>
    <row r="24" spans="1:19">
      <c r="A24" s="57" t="s">
        <v>172</v>
      </c>
      <c r="C24" s="289">
        <f t="shared" ref="C24:H24" si="18">C23/B23-1</f>
        <v>0.13733681462140579</v>
      </c>
      <c r="D24" s="289">
        <f t="shared" si="18"/>
        <v>0.33581267217631083</v>
      </c>
      <c r="E24" s="289">
        <f t="shared" si="18"/>
        <v>0.34578991423337646</v>
      </c>
      <c r="F24" s="289">
        <f t="shared" si="18"/>
        <v>0.16379222535211313</v>
      </c>
      <c r="G24" s="289">
        <f t="shared" si="18"/>
        <v>0.34956521739130286</v>
      </c>
      <c r="H24" s="289">
        <f t="shared" si="18"/>
        <v>0.3199999999999994</v>
      </c>
      <c r="J24" s="57" t="s">
        <v>265</v>
      </c>
      <c r="O24" s="59">
        <f>O14</f>
        <v>36.32480900000003</v>
      </c>
      <c r="P24" s="59">
        <f>P14</f>
        <v>32.263895040000001</v>
      </c>
      <c r="Q24" s="59">
        <f>Q14</f>
        <v>60.168341452799979</v>
      </c>
      <c r="R24" s="64">
        <f>S24*(H15+Q7)</f>
        <v>865.75443933910799</v>
      </c>
      <c r="S24" s="64">
        <v>9.6494579844297306</v>
      </c>
    </row>
    <row r="25" spans="1:19">
      <c r="H25" s="66"/>
      <c r="J25" s="57" t="s">
        <v>248</v>
      </c>
      <c r="K25" s="59">
        <f>SUM(O25:R25)</f>
        <v>617.50035360888171</v>
      </c>
      <c r="O25" s="59">
        <f>O24/(1+$K$23)^1</f>
        <v>30.783736440677995</v>
      </c>
      <c r="P25" s="59">
        <f>P24/(1+$K$23)^2</f>
        <v>23.171427061189316</v>
      </c>
      <c r="Q25" s="59">
        <f>Q24/(1+$K$23)^3</f>
        <v>36.620310166083186</v>
      </c>
      <c r="R25" s="59">
        <f>R24/(1+$K$23)^3</f>
        <v>526.92487994093119</v>
      </c>
    </row>
    <row r="26" spans="1:19">
      <c r="G26" s="87"/>
      <c r="J26" s="57" t="s">
        <v>266</v>
      </c>
      <c r="K26" s="57">
        <f>30-20</f>
        <v>10</v>
      </c>
      <c r="N26" s="63"/>
    </row>
    <row r="27" spans="1:19">
      <c r="H27" s="87"/>
      <c r="J27" s="57" t="s">
        <v>267</v>
      </c>
      <c r="K27" s="59">
        <f>K25-K26</f>
        <v>607.50035360888171</v>
      </c>
    </row>
    <row r="28" spans="1:19">
      <c r="J28" s="57" t="s">
        <v>268</v>
      </c>
      <c r="K28" s="57">
        <v>50</v>
      </c>
      <c r="N28" s="63"/>
    </row>
    <row r="29" spans="1:19">
      <c r="J29" s="57" t="s">
        <v>269</v>
      </c>
      <c r="K29" s="64">
        <f>K27/K28</f>
        <v>12.150007072177635</v>
      </c>
    </row>
    <row r="30" spans="1:19">
      <c r="J30" s="57" t="s">
        <v>270</v>
      </c>
      <c r="K30" s="57">
        <v>12.15</v>
      </c>
    </row>
    <row r="41" spans="11:14">
      <c r="K41" s="59"/>
    </row>
    <row r="42" spans="11:14">
      <c r="N42" s="63"/>
    </row>
    <row r="43" spans="11:14">
      <c r="K43" s="64"/>
    </row>
  </sheetData>
  <mergeCells count="5">
    <mergeCell ref="A3:E3"/>
    <mergeCell ref="J3:N3"/>
    <mergeCell ref="A1:Q1"/>
    <mergeCell ref="A4:H4"/>
    <mergeCell ref="J4:Q4"/>
  </mergeCells>
  <pageMargins left="0.7" right="0.7" top="0.75" bottom="0.75" header="0.3" footer="0.3"/>
  <pageSetup scale="5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S39"/>
  <sheetViews>
    <sheetView showGridLines="0" workbookViewId="0">
      <selection activeCell="E28" sqref="E28"/>
    </sheetView>
  </sheetViews>
  <sheetFormatPr defaultColWidth="9.140625" defaultRowHeight="15"/>
  <cols>
    <col min="1" max="1" width="30.42578125" style="57" bestFit="1" customWidth="1"/>
    <col min="2" max="4" width="9.140625" style="57" customWidth="1"/>
    <col min="5" max="5" width="9.5703125" style="57" bestFit="1" customWidth="1"/>
    <col min="6" max="8" width="9.5703125" style="57" customWidth="1"/>
    <col min="9" max="9" width="9.140625" style="57" customWidth="1"/>
    <col min="10" max="10" width="28.140625" style="57" bestFit="1" customWidth="1"/>
    <col min="11" max="13" width="9.5703125" style="57" bestFit="1" customWidth="1"/>
    <col min="14" max="14" width="9.85546875" style="57" bestFit="1" customWidth="1"/>
    <col min="15" max="17" width="9.5703125" style="57" bestFit="1" customWidth="1"/>
    <col min="18" max="23" width="9.140625" style="57" customWidth="1"/>
    <col min="24" max="16384" width="9.140625" style="57"/>
  </cols>
  <sheetData>
    <row r="1" spans="1:17" ht="21">
      <c r="A1" s="307" t="s">
        <v>1357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3" spans="1:17">
      <c r="A3" s="320" t="s">
        <v>251</v>
      </c>
      <c r="B3" s="316"/>
      <c r="C3" s="316"/>
      <c r="D3" s="316"/>
      <c r="E3" s="316"/>
      <c r="F3" s="85"/>
      <c r="G3" s="85"/>
      <c r="H3" s="85"/>
      <c r="J3" s="321"/>
      <c r="K3" s="316"/>
      <c r="L3" s="316"/>
      <c r="M3" s="316"/>
      <c r="N3" s="316"/>
    </row>
    <row r="4" spans="1:17">
      <c r="A4" s="322" t="s">
        <v>1354</v>
      </c>
      <c r="B4" s="322"/>
      <c r="C4" s="322"/>
      <c r="D4" s="322"/>
      <c r="E4" s="322"/>
      <c r="F4" s="322"/>
      <c r="G4" s="322"/>
      <c r="H4" s="322"/>
      <c r="J4" s="322" t="s">
        <v>1355</v>
      </c>
      <c r="K4" s="322"/>
      <c r="L4" s="322"/>
      <c r="M4" s="322"/>
      <c r="N4" s="322"/>
      <c r="O4" s="322"/>
      <c r="P4" s="322"/>
      <c r="Q4" s="322"/>
    </row>
    <row r="5" spans="1:17">
      <c r="A5" s="56"/>
      <c r="B5" s="56">
        <f ca="1">C5-1</f>
        <v>2022</v>
      </c>
      <c r="C5" s="56">
        <f ca="1">D5-1</f>
        <v>2023</v>
      </c>
      <c r="D5" s="56">
        <f ca="1">E5-1</f>
        <v>2024</v>
      </c>
      <c r="E5" s="56">
        <f ca="1">F5-1</f>
        <v>2025</v>
      </c>
      <c r="F5" s="56">
        <f ca="1">YEAR(TODAY())</f>
        <v>2026</v>
      </c>
      <c r="G5" s="56">
        <f ca="1">F5+1</f>
        <v>2027</v>
      </c>
      <c r="H5" s="56">
        <f ca="1">G5+1</f>
        <v>2028</v>
      </c>
      <c r="J5" s="58"/>
      <c r="K5" s="56">
        <f ca="1">B5</f>
        <v>2022</v>
      </c>
      <c r="L5" s="56">
        <f t="shared" ref="L5:Q5" ca="1" si="0">C5</f>
        <v>2023</v>
      </c>
      <c r="M5" s="56">
        <f t="shared" ca="1" si="0"/>
        <v>2024</v>
      </c>
      <c r="N5" s="56">
        <f t="shared" ca="1" si="0"/>
        <v>2025</v>
      </c>
      <c r="O5" s="56">
        <f t="shared" ca="1" si="0"/>
        <v>2026</v>
      </c>
      <c r="P5" s="56">
        <f t="shared" ca="1" si="0"/>
        <v>2027</v>
      </c>
      <c r="Q5" s="56">
        <f t="shared" ca="1" si="0"/>
        <v>2028</v>
      </c>
    </row>
    <row r="6" spans="1:17">
      <c r="A6" s="57" t="s">
        <v>185</v>
      </c>
      <c r="B6" s="59">
        <v>226.66666666666671</v>
      </c>
      <c r="C6" s="59">
        <f>B6*(1+C8)</f>
        <v>272.00000000000006</v>
      </c>
      <c r="D6" s="59">
        <f>C6*(1+D8)</f>
        <v>353.60000000000008</v>
      </c>
      <c r="E6" s="59">
        <f>D6*(1+E8)</f>
        <v>442.00000000000011</v>
      </c>
      <c r="F6" s="59">
        <f>E6*(1+F7)</f>
        <v>583.44000000000017</v>
      </c>
      <c r="G6" s="59">
        <f>F6*(1+G7)</f>
        <v>775.97520000000031</v>
      </c>
      <c r="H6" s="59">
        <f>G6*(1+H7)</f>
        <v>1063.0860240000004</v>
      </c>
      <c r="J6" s="57" t="s">
        <v>188</v>
      </c>
      <c r="K6" s="59">
        <f t="shared" ref="K6:Q6" si="1">B25</f>
        <v>11.285733333333337</v>
      </c>
      <c r="L6" s="59">
        <f t="shared" si="1"/>
        <v>12.835680000000004</v>
      </c>
      <c r="M6" s="59">
        <f t="shared" si="1"/>
        <v>17.146064000000006</v>
      </c>
      <c r="N6" s="59">
        <f t="shared" si="1"/>
        <v>23.075000000000017</v>
      </c>
      <c r="O6" s="59">
        <f t="shared" si="1"/>
        <v>27.989340600000013</v>
      </c>
      <c r="P6" s="59">
        <f t="shared" si="1"/>
        <v>39.341873688000021</v>
      </c>
      <c r="Q6" s="59">
        <f t="shared" si="1"/>
        <v>54.024466370160027</v>
      </c>
    </row>
    <row r="7" spans="1:17">
      <c r="A7" s="57" t="s">
        <v>271</v>
      </c>
      <c r="B7" s="59"/>
      <c r="C7" s="59"/>
      <c r="D7" s="59"/>
      <c r="E7" s="59"/>
      <c r="F7" s="67">
        <f>F9+F8</f>
        <v>0.32</v>
      </c>
      <c r="G7" s="67">
        <f>G9+G8</f>
        <v>0.33</v>
      </c>
      <c r="H7" s="67">
        <f>H9+H8</f>
        <v>0.37000000000000011</v>
      </c>
      <c r="J7" s="57" t="s">
        <v>253</v>
      </c>
      <c r="K7" s="59">
        <v>10</v>
      </c>
      <c r="L7" s="59">
        <v>10</v>
      </c>
      <c r="M7" s="59">
        <v>10</v>
      </c>
      <c r="N7" s="59">
        <v>10</v>
      </c>
      <c r="O7" s="59">
        <v>9.5</v>
      </c>
      <c r="P7" s="59">
        <v>9.5</v>
      </c>
      <c r="Q7" s="59">
        <f>9.5+1.5</f>
        <v>11</v>
      </c>
    </row>
    <row r="8" spans="1:17">
      <c r="A8" s="57" t="s">
        <v>272</v>
      </c>
      <c r="C8" s="62">
        <v>0.2</v>
      </c>
      <c r="D8" s="62">
        <v>0.3</v>
      </c>
      <c r="E8" s="62">
        <v>0.25</v>
      </c>
      <c r="F8" s="62">
        <v>0.27</v>
      </c>
      <c r="G8" s="62">
        <v>0.28000000000000003</v>
      </c>
      <c r="H8" s="62">
        <v>0.32000000000000012</v>
      </c>
      <c r="J8" s="57" t="s">
        <v>254</v>
      </c>
      <c r="K8" s="57">
        <v>0.5</v>
      </c>
      <c r="L8" s="57">
        <v>1</v>
      </c>
      <c r="M8" s="57">
        <v>3</v>
      </c>
      <c r="N8" s="57">
        <v>4</v>
      </c>
      <c r="O8" s="57">
        <v>2</v>
      </c>
      <c r="P8" s="57">
        <v>1</v>
      </c>
      <c r="Q8" s="57">
        <v>2</v>
      </c>
    </row>
    <row r="9" spans="1:17">
      <c r="A9" s="57" t="s">
        <v>273</v>
      </c>
      <c r="C9" s="62"/>
      <c r="D9" s="62"/>
      <c r="E9" s="62"/>
      <c r="F9" s="62">
        <v>0.05</v>
      </c>
      <c r="G9" s="62">
        <v>0.05</v>
      </c>
      <c r="H9" s="62">
        <v>0.05</v>
      </c>
      <c r="J9" s="57" t="s">
        <v>255</v>
      </c>
      <c r="K9" s="64">
        <f t="shared" ref="K9:Q9" si="2">K6+K7-K8</f>
        <v>20.785733333333337</v>
      </c>
      <c r="L9" s="64">
        <f t="shared" si="2"/>
        <v>21.835680000000004</v>
      </c>
      <c r="M9" s="64">
        <f t="shared" si="2"/>
        <v>24.146064000000006</v>
      </c>
      <c r="N9" s="64">
        <f t="shared" si="2"/>
        <v>29.075000000000017</v>
      </c>
      <c r="O9" s="64">
        <f t="shared" si="2"/>
        <v>35.489340600000013</v>
      </c>
      <c r="P9" s="64">
        <f t="shared" si="2"/>
        <v>47.841873688000021</v>
      </c>
      <c r="Q9" s="64">
        <f t="shared" si="2"/>
        <v>63.024466370160027</v>
      </c>
    </row>
    <row r="10" spans="1:17">
      <c r="A10" s="61"/>
      <c r="C10" s="62"/>
      <c r="D10" s="62"/>
      <c r="E10" s="62"/>
      <c r="F10" s="62"/>
      <c r="G10" s="62"/>
      <c r="H10" s="62"/>
      <c r="J10" s="57" t="s">
        <v>256</v>
      </c>
      <c r="K10" s="57">
        <v>0</v>
      </c>
      <c r="L10" s="57">
        <v>0</v>
      </c>
      <c r="M10" s="57">
        <v>0</v>
      </c>
      <c r="N10" s="57">
        <v>-5</v>
      </c>
      <c r="O10" s="57">
        <v>0</v>
      </c>
      <c r="P10" s="57">
        <v>15</v>
      </c>
      <c r="Q10" s="57">
        <v>0</v>
      </c>
    </row>
    <row r="11" spans="1:17">
      <c r="A11" s="57" t="s">
        <v>190</v>
      </c>
      <c r="B11" s="89"/>
      <c r="C11" s="58"/>
      <c r="D11" s="58"/>
      <c r="E11" s="58"/>
      <c r="F11" s="58"/>
      <c r="J11" s="57" t="s">
        <v>257</v>
      </c>
      <c r="K11" s="59">
        <f t="shared" ref="K11:Q11" si="3">B20</f>
        <v>1.224</v>
      </c>
      <c r="L11" s="59">
        <f t="shared" si="3"/>
        <v>1.4688000000000001</v>
      </c>
      <c r="M11" s="59">
        <f t="shared" si="3"/>
        <v>1.90944</v>
      </c>
      <c r="N11" s="59">
        <f t="shared" si="3"/>
        <v>2.4</v>
      </c>
      <c r="O11" s="59">
        <f t="shared" si="3"/>
        <v>3.0312359999999998</v>
      </c>
      <c r="P11" s="59">
        <f t="shared" si="3"/>
        <v>3.87998208</v>
      </c>
      <c r="Q11" s="59">
        <f t="shared" si="3"/>
        <v>5.1215763456000012</v>
      </c>
    </row>
    <row r="12" spans="1:17">
      <c r="A12" s="57" t="s">
        <v>192</v>
      </c>
      <c r="B12" s="59">
        <f>B6-B13</f>
        <v>160.93333333333337</v>
      </c>
      <c r="C12" s="59">
        <f t="shared" ref="C12:H12" si="4">C6-C13</f>
        <v>195.84000000000003</v>
      </c>
      <c r="D12" s="59">
        <f t="shared" si="4"/>
        <v>240.44800000000004</v>
      </c>
      <c r="E12" s="59">
        <f t="shared" si="4"/>
        <v>309.40000000000009</v>
      </c>
      <c r="F12" s="59">
        <f t="shared" si="4"/>
        <v>396.73920000000021</v>
      </c>
      <c r="G12" s="59">
        <f t="shared" si="4"/>
        <v>566.46189600000025</v>
      </c>
      <c r="H12" s="59">
        <f t="shared" si="4"/>
        <v>776.05279752000024</v>
      </c>
      <c r="J12" s="57" t="s">
        <v>259</v>
      </c>
      <c r="K12" s="57">
        <v>0.35</v>
      </c>
      <c r="L12" s="57">
        <v>0.35</v>
      </c>
      <c r="M12" s="57">
        <v>0.35</v>
      </c>
      <c r="N12" s="57">
        <v>0.35</v>
      </c>
      <c r="O12" s="57">
        <v>0.35</v>
      </c>
      <c r="P12" s="57">
        <v>0.35</v>
      </c>
      <c r="Q12" s="57">
        <v>0.35</v>
      </c>
    </row>
    <row r="13" spans="1:17">
      <c r="A13" s="57" t="s">
        <v>195</v>
      </c>
      <c r="B13" s="59">
        <f>B14*B6</f>
        <v>65.733333333333348</v>
      </c>
      <c r="C13" s="59">
        <f t="shared" ref="C13:H13" si="5">C14*C6</f>
        <v>76.160000000000025</v>
      </c>
      <c r="D13" s="59">
        <f t="shared" si="5"/>
        <v>113.15200000000003</v>
      </c>
      <c r="E13" s="59">
        <f t="shared" si="5"/>
        <v>132.60000000000002</v>
      </c>
      <c r="F13" s="59">
        <f t="shared" si="5"/>
        <v>186.70079999999999</v>
      </c>
      <c r="G13" s="59">
        <f t="shared" si="5"/>
        <v>209.51330400000009</v>
      </c>
      <c r="H13" s="59">
        <f t="shared" si="5"/>
        <v>287.03322648000011</v>
      </c>
      <c r="J13" s="57" t="s">
        <v>260</v>
      </c>
      <c r="K13" s="64">
        <f t="shared" ref="K13:Q13" si="6">K11*(1-K12)</f>
        <v>0.79559999999999997</v>
      </c>
      <c r="L13" s="64">
        <f t="shared" si="6"/>
        <v>0.95472000000000012</v>
      </c>
      <c r="M13" s="64">
        <f t="shared" si="6"/>
        <v>1.241136</v>
      </c>
      <c r="N13" s="64">
        <f t="shared" si="6"/>
        <v>1.56</v>
      </c>
      <c r="O13" s="64">
        <f t="shared" si="6"/>
        <v>1.9703033999999999</v>
      </c>
      <c r="P13" s="64">
        <f t="shared" si="6"/>
        <v>2.5219883520000002</v>
      </c>
      <c r="Q13" s="64">
        <f t="shared" si="6"/>
        <v>3.329024624640001</v>
      </c>
    </row>
    <row r="14" spans="1:17">
      <c r="A14" s="57" t="s">
        <v>258</v>
      </c>
      <c r="B14" s="57">
        <v>0.28999999999999998</v>
      </c>
      <c r="C14" s="57">
        <v>0.28000000000000003</v>
      </c>
      <c r="D14" s="57">
        <v>0.32</v>
      </c>
      <c r="E14" s="57">
        <v>0.3</v>
      </c>
      <c r="F14" s="57">
        <v>0.3199999999999999</v>
      </c>
      <c r="G14" s="57">
        <v>0.27</v>
      </c>
      <c r="H14" s="57">
        <v>0.27</v>
      </c>
      <c r="J14" s="57" t="s">
        <v>247</v>
      </c>
      <c r="K14" s="59">
        <f t="shared" ref="K14:Q14" si="7">K9-K10+K13</f>
        <v>21.581333333333337</v>
      </c>
      <c r="L14" s="59">
        <f t="shared" si="7"/>
        <v>22.790400000000005</v>
      </c>
      <c r="M14" s="59">
        <f t="shared" si="7"/>
        <v>25.387200000000007</v>
      </c>
      <c r="N14" s="59">
        <f t="shared" si="7"/>
        <v>35.635000000000019</v>
      </c>
      <c r="O14" s="59">
        <f t="shared" si="7"/>
        <v>37.459644000000011</v>
      </c>
      <c r="P14" s="59">
        <f t="shared" si="7"/>
        <v>35.363862040000022</v>
      </c>
      <c r="Q14" s="59">
        <f t="shared" si="7"/>
        <v>66.353490994800026</v>
      </c>
    </row>
    <row r="15" spans="1:17">
      <c r="A15" s="58"/>
      <c r="F15" s="56"/>
      <c r="J15" s="61" t="s">
        <v>172</v>
      </c>
      <c r="L15" s="86">
        <f t="shared" ref="L15:Q15" si="8">L14/K14-1</f>
        <v>5.6023724206104131E-2</v>
      </c>
      <c r="M15" s="86">
        <f t="shared" si="8"/>
        <v>0.11394271272114587</v>
      </c>
      <c r="N15" s="86">
        <f t="shared" si="8"/>
        <v>0.40366011218251763</v>
      </c>
      <c r="O15" s="86">
        <f t="shared" si="8"/>
        <v>5.1203704223375723E-2</v>
      </c>
      <c r="P15" s="86">
        <f t="shared" si="8"/>
        <v>-5.5947727639909961E-2</v>
      </c>
      <c r="Q15" s="86">
        <f t="shared" si="8"/>
        <v>0.87630782293369625</v>
      </c>
    </row>
    <row r="16" spans="1:17">
      <c r="A16" s="57" t="s">
        <v>213</v>
      </c>
      <c r="B16" s="59">
        <f>B13-B17</f>
        <v>47.146666666666675</v>
      </c>
      <c r="C16" s="59">
        <f>C13-C17</f>
        <v>54.944000000000017</v>
      </c>
      <c r="D16" s="59">
        <f>D13-D17</f>
        <v>84.864000000000019</v>
      </c>
      <c r="E16" s="59">
        <f>E13-E17</f>
        <v>94.699999999999989</v>
      </c>
      <c r="F16" s="59">
        <f>F13-F17</f>
        <v>140.60903999999996</v>
      </c>
      <c r="G16" s="59">
        <v>134.36234239999999</v>
      </c>
      <c r="H16" s="59">
        <v>177.35829196800009</v>
      </c>
      <c r="J16" s="57" t="s">
        <v>261</v>
      </c>
      <c r="K16" s="86">
        <f t="shared" ref="K16:Q16" si="9">K14/B6</f>
        <v>9.5211764705882343E-2</v>
      </c>
      <c r="L16" s="86">
        <f t="shared" si="9"/>
        <v>8.3788235294117649E-2</v>
      </c>
      <c r="M16" s="86">
        <f t="shared" si="9"/>
        <v>7.1796380090497741E-2</v>
      </c>
      <c r="N16" s="86">
        <f t="shared" si="9"/>
        <v>8.0622171945701385E-2</v>
      </c>
      <c r="O16" s="86">
        <f t="shared" si="9"/>
        <v>6.4204792266556968E-2</v>
      </c>
      <c r="P16" s="86">
        <f t="shared" si="9"/>
        <v>4.5573443635827549E-2</v>
      </c>
      <c r="Q16" s="86">
        <f t="shared" si="9"/>
        <v>6.2415918840825625E-2</v>
      </c>
    </row>
    <row r="17" spans="1:19">
      <c r="A17" s="57" t="s">
        <v>216</v>
      </c>
      <c r="B17" s="59">
        <f>B18*B6</f>
        <v>18.58666666666667</v>
      </c>
      <c r="C17" s="59">
        <f t="shared" ref="C17:H17" si="10">C18*C6</f>
        <v>21.216000000000005</v>
      </c>
      <c r="D17" s="59">
        <f t="shared" si="10"/>
        <v>28.288000000000007</v>
      </c>
      <c r="E17" s="59">
        <f t="shared" si="10"/>
        <v>37.900000000000027</v>
      </c>
      <c r="F17" s="59">
        <f t="shared" si="10"/>
        <v>46.091760000000015</v>
      </c>
      <c r="G17" s="59">
        <f t="shared" si="10"/>
        <v>64.405941600000034</v>
      </c>
      <c r="H17" s="59">
        <f t="shared" si="10"/>
        <v>88.236139992000048</v>
      </c>
    </row>
    <row r="18" spans="1:19">
      <c r="A18" s="57" t="s">
        <v>262</v>
      </c>
      <c r="B18" s="88">
        <v>8.2000000000000003E-2</v>
      </c>
      <c r="C18" s="88">
        <v>7.8E-2</v>
      </c>
      <c r="D18" s="88">
        <v>0.08</v>
      </c>
      <c r="E18" s="88">
        <v>8.5746606334841671E-2</v>
      </c>
      <c r="F18" s="88">
        <v>7.9000000000000001E-2</v>
      </c>
      <c r="G18" s="88">
        <v>8.3000000000000004E-2</v>
      </c>
      <c r="H18" s="88">
        <v>8.3000000000000018E-2</v>
      </c>
      <c r="J18" s="61" t="s">
        <v>172</v>
      </c>
    </row>
    <row r="19" spans="1:19">
      <c r="B19" s="59"/>
      <c r="C19" s="59"/>
      <c r="D19" s="59"/>
      <c r="E19" s="60"/>
      <c r="F19" s="59"/>
      <c r="G19" s="59"/>
      <c r="H19" s="59"/>
      <c r="J19" s="57" t="s">
        <v>237</v>
      </c>
      <c r="L19" s="67">
        <f t="shared" ref="L19:Q19" si="11">L6/K6-1</f>
        <v>0.13733681462141001</v>
      </c>
      <c r="M19" s="67">
        <f t="shared" si="11"/>
        <v>0.33581267217630861</v>
      </c>
      <c r="N19" s="67">
        <f t="shared" si="11"/>
        <v>0.34578991423337802</v>
      </c>
      <c r="O19" s="67">
        <f t="shared" si="11"/>
        <v>0.21297250704225323</v>
      </c>
      <c r="P19" s="67">
        <f t="shared" si="11"/>
        <v>0.40560202007760071</v>
      </c>
      <c r="Q19" s="67">
        <f t="shared" si="11"/>
        <v>0.37320522145437263</v>
      </c>
    </row>
    <row r="20" spans="1:19">
      <c r="A20" s="57" t="s">
        <v>226</v>
      </c>
      <c r="B20" s="59">
        <v>1.224</v>
      </c>
      <c r="C20" s="59">
        <v>1.4688000000000001</v>
      </c>
      <c r="D20" s="59">
        <v>1.90944</v>
      </c>
      <c r="E20" s="59">
        <v>2.4</v>
      </c>
      <c r="F20" s="59">
        <v>3.0312359999999998</v>
      </c>
      <c r="G20" s="59">
        <v>3.87998208</v>
      </c>
      <c r="H20" s="59">
        <v>5.1215763456000012</v>
      </c>
      <c r="J20" s="57" t="s">
        <v>255</v>
      </c>
      <c r="K20" s="58"/>
      <c r="L20" s="67">
        <f t="shared" ref="L20:Q20" si="12">L9/K9-1</f>
        <v>5.0512851763709676E-2</v>
      </c>
      <c r="M20" s="67">
        <f t="shared" si="12"/>
        <v>0.10580774219076305</v>
      </c>
      <c r="N20" s="67">
        <f t="shared" si="12"/>
        <v>0.20412999816450461</v>
      </c>
      <c r="O20" s="67">
        <f t="shared" si="12"/>
        <v>0.22061360619088544</v>
      </c>
      <c r="P20" s="67">
        <f t="shared" si="12"/>
        <v>0.34806318965531879</v>
      </c>
      <c r="Q20" s="67">
        <f t="shared" si="12"/>
        <v>0.31734945794918135</v>
      </c>
    </row>
    <row r="21" spans="1:19">
      <c r="B21" s="65"/>
      <c r="C21" s="65"/>
      <c r="D21" s="65"/>
      <c r="E21" s="65"/>
      <c r="F21" s="65"/>
      <c r="G21" s="65"/>
      <c r="H21" s="65"/>
      <c r="N21" s="66"/>
      <c r="R21" s="57" t="s">
        <v>263</v>
      </c>
    </row>
    <row r="22" spans="1:19">
      <c r="B22" s="58"/>
      <c r="C22" s="58"/>
      <c r="D22" s="58"/>
      <c r="F22" s="66"/>
      <c r="G22" s="59"/>
      <c r="H22" s="59"/>
      <c r="K22" s="57">
        <v>2025</v>
      </c>
      <c r="L22" s="57">
        <v>2026</v>
      </c>
      <c r="O22" s="56">
        <f ca="1">O5</f>
        <v>2026</v>
      </c>
      <c r="P22" s="56">
        <f ca="1">P5</f>
        <v>2027</v>
      </c>
      <c r="Q22" s="56">
        <f ca="1">Q5</f>
        <v>2028</v>
      </c>
      <c r="R22" s="57">
        <v>2026</v>
      </c>
      <c r="S22" s="57" t="s">
        <v>264</v>
      </c>
    </row>
    <row r="23" spans="1:19">
      <c r="A23" s="57" t="s">
        <v>232</v>
      </c>
      <c r="B23" s="59">
        <f t="shared" ref="B23:H23" si="13">B17-B20</f>
        <v>17.362666666666669</v>
      </c>
      <c r="C23" s="59">
        <f t="shared" si="13"/>
        <v>19.747200000000003</v>
      </c>
      <c r="D23" s="59">
        <f t="shared" si="13"/>
        <v>26.378560000000007</v>
      </c>
      <c r="E23" s="59">
        <f t="shared" si="13"/>
        <v>35.500000000000028</v>
      </c>
      <c r="F23" s="59">
        <f t="shared" si="13"/>
        <v>43.060524000000015</v>
      </c>
      <c r="G23" s="59">
        <f t="shared" si="13"/>
        <v>60.525959520000036</v>
      </c>
      <c r="H23" s="59">
        <f t="shared" si="13"/>
        <v>83.114563646400043</v>
      </c>
      <c r="J23" s="57" t="s">
        <v>250</v>
      </c>
      <c r="K23" s="57">
        <v>0.18</v>
      </c>
      <c r="L23" s="57">
        <f>K23</f>
        <v>0.18</v>
      </c>
    </row>
    <row r="24" spans="1:19">
      <c r="A24" s="57" t="s">
        <v>235</v>
      </c>
      <c r="B24" s="59">
        <f t="shared" ref="B24:H24" si="14">0.35*B23</f>
        <v>6.0769333333333337</v>
      </c>
      <c r="C24" s="59">
        <f t="shared" si="14"/>
        <v>6.9115200000000003</v>
      </c>
      <c r="D24" s="59">
        <f t="shared" si="14"/>
        <v>9.2324960000000011</v>
      </c>
      <c r="E24" s="57">
        <f t="shared" si="14"/>
        <v>12.42500000000001</v>
      </c>
      <c r="F24" s="59">
        <f t="shared" si="14"/>
        <v>15.071183400000004</v>
      </c>
      <c r="G24" s="59">
        <f t="shared" si="14"/>
        <v>21.184085832000012</v>
      </c>
      <c r="H24" s="59">
        <f t="shared" si="14"/>
        <v>29.090097276240012</v>
      </c>
      <c r="N24" s="56" t="s">
        <v>1360</v>
      </c>
      <c r="O24" s="59">
        <f>O14</f>
        <v>37.459644000000011</v>
      </c>
      <c r="P24" s="59">
        <f>P14</f>
        <v>35.363862040000022</v>
      </c>
      <c r="Q24" s="59">
        <f>Q14</f>
        <v>66.353490994800026</v>
      </c>
      <c r="R24" s="64">
        <f>S24*(H17+Q7)</f>
        <v>957.57432078014915</v>
      </c>
      <c r="S24" s="64">
        <v>9.64945150886909</v>
      </c>
    </row>
    <row r="25" spans="1:19">
      <c r="A25" s="63" t="s">
        <v>237</v>
      </c>
      <c r="B25" s="66">
        <f t="shared" ref="B25:H25" si="15">B23-B24</f>
        <v>11.285733333333337</v>
      </c>
      <c r="C25" s="66">
        <f t="shared" si="15"/>
        <v>12.835680000000004</v>
      </c>
      <c r="D25" s="66">
        <f t="shared" si="15"/>
        <v>17.146064000000006</v>
      </c>
      <c r="E25" s="66">
        <f t="shared" si="15"/>
        <v>23.075000000000017</v>
      </c>
      <c r="F25" s="66">
        <f t="shared" si="15"/>
        <v>27.989340600000013</v>
      </c>
      <c r="G25" s="66">
        <f t="shared" si="15"/>
        <v>39.341873688000021</v>
      </c>
      <c r="H25" s="66">
        <f t="shared" si="15"/>
        <v>54.024466370160027</v>
      </c>
      <c r="J25" s="57" t="s">
        <v>274</v>
      </c>
      <c r="K25" s="59">
        <f>SUM(O25:R25)</f>
        <v>680.33731375149682</v>
      </c>
      <c r="L25" s="57">
        <f>SUM(P25:R25)*1.18</f>
        <v>765.33838622676615</v>
      </c>
      <c r="O25" s="59">
        <f>O24/(1+$K$23)^1</f>
        <v>31.745461016949164</v>
      </c>
      <c r="P25" s="59">
        <f>P24/(1+$K$23)^2</f>
        <v>25.397775093363993</v>
      </c>
      <c r="Q25" s="59">
        <f>Q24/(1+$K$23)^3</f>
        <v>40.384783129482585</v>
      </c>
      <c r="R25" s="59">
        <f>R24/(1+$K$23)^3</f>
        <v>582.80929451170107</v>
      </c>
    </row>
    <row r="26" spans="1:19">
      <c r="G26" s="66"/>
      <c r="J26" s="57" t="s">
        <v>266</v>
      </c>
      <c r="K26" s="57">
        <f>30-20</f>
        <v>10</v>
      </c>
      <c r="L26" s="57">
        <v>10</v>
      </c>
      <c r="N26" s="63"/>
    </row>
    <row r="27" spans="1:19">
      <c r="H27" s="66"/>
      <c r="J27" s="57" t="s">
        <v>1358</v>
      </c>
      <c r="K27" s="59">
        <f>K25-K26</f>
        <v>670.33731375149682</v>
      </c>
      <c r="L27" s="59">
        <f>L25-L26</f>
        <v>755.33838622676615</v>
      </c>
    </row>
    <row r="28" spans="1:19">
      <c r="G28" s="87"/>
      <c r="J28" s="57" t="s">
        <v>268</v>
      </c>
      <c r="K28" s="57">
        <v>50</v>
      </c>
      <c r="L28" s="57">
        <v>50</v>
      </c>
      <c r="N28" s="63"/>
    </row>
    <row r="29" spans="1:19">
      <c r="H29" s="87"/>
      <c r="J29" s="57" t="s">
        <v>269</v>
      </c>
      <c r="K29" s="64">
        <f>K27/K28</f>
        <v>13.406746275029937</v>
      </c>
      <c r="L29" s="64">
        <f>L27/L28</f>
        <v>15.106767724535324</v>
      </c>
    </row>
    <row r="30" spans="1:19">
      <c r="J30" s="57" t="s">
        <v>270</v>
      </c>
      <c r="K30" s="57">
        <v>12.15</v>
      </c>
    </row>
    <row r="31" spans="1:19">
      <c r="J31" s="57" t="s">
        <v>1359</v>
      </c>
      <c r="L31" s="136">
        <f>L29/K30-1</f>
        <v>0.24335536827451221</v>
      </c>
    </row>
    <row r="32" spans="1:19">
      <c r="J32" s="61"/>
    </row>
    <row r="33" spans="11:19">
      <c r="R33" s="64"/>
      <c r="S33" s="64"/>
    </row>
    <row r="34" spans="11:19">
      <c r="K34" s="64"/>
      <c r="O34" s="59"/>
      <c r="P34" s="59"/>
      <c r="Q34" s="59"/>
      <c r="R34" s="59"/>
    </row>
    <row r="35" spans="11:19">
      <c r="K35" s="88"/>
      <c r="O35" s="59"/>
      <c r="P35" s="59"/>
      <c r="Q35" s="59"/>
    </row>
    <row r="36" spans="11:19">
      <c r="N36" s="63"/>
    </row>
    <row r="37" spans="11:19">
      <c r="K37" s="59"/>
    </row>
    <row r="38" spans="11:19">
      <c r="N38" s="63"/>
    </row>
    <row r="39" spans="11:19">
      <c r="K39" s="64"/>
    </row>
  </sheetData>
  <mergeCells count="5">
    <mergeCell ref="A3:E3"/>
    <mergeCell ref="J3:N3"/>
    <mergeCell ref="A1:Q1"/>
    <mergeCell ref="A4:H4"/>
    <mergeCell ref="J4:Q4"/>
  </mergeCells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EX5.1.2</vt:lpstr>
      <vt:lpstr>EX5.4.1</vt:lpstr>
      <vt:lpstr>EX7.1.1</vt:lpstr>
      <vt:lpstr>EX7.1.2</vt:lpstr>
      <vt:lpstr>EX7.1.3</vt:lpstr>
      <vt:lpstr>EX7.2.1</vt:lpstr>
      <vt:lpstr>EX7.4.1</vt:lpstr>
      <vt:lpstr>EX8.2.3</vt:lpstr>
      <vt:lpstr>EX9.1.1</vt:lpstr>
      <vt:lpstr>EX9.2.3</vt:lpstr>
      <vt:lpstr>EX9.3.1</vt:lpstr>
      <vt:lpstr>EX9.5.1</vt:lpstr>
      <vt:lpstr>EX9.5.2</vt:lpstr>
      <vt:lpstr>EX10.1.1</vt:lpstr>
      <vt:lpstr>EX10.2.1</vt:lpstr>
      <vt:lpstr>EX10-Vol&amp;Corr</vt:lpstr>
      <vt:lpstr>EX10-Beta_and_Var</vt:lpstr>
      <vt:lpstr>EX10.4.1</vt:lpstr>
      <vt:lpstr>EX11.1.1</vt:lpstr>
      <vt:lpstr>EX11.1.2</vt:lpstr>
      <vt:lpstr>EX11-Efficient Frontier</vt:lpstr>
      <vt:lpstr>EX12-alpha</vt:lpstr>
      <vt:lpstr>EX12-alpha (generalized)</vt:lpstr>
      <vt:lpstr>EX13-Startup</vt:lpstr>
      <vt:lpstr>EX14.1.1</vt:lpstr>
      <vt:lpstr>EX15.3.1</vt:lpstr>
      <vt:lpstr>EX15.3.2</vt:lpstr>
      <vt:lpstr>EX15.3.3</vt:lpstr>
      <vt:lpstr>EX19.2.1</vt:lpstr>
      <vt:lpstr>EX19.2.2</vt:lpstr>
      <vt:lpstr>EX19.2.3</vt:lpstr>
      <vt:lpstr>EX19.3.1</vt:lpstr>
      <vt:lpstr>EX19.2.6</vt:lpstr>
      <vt:lpstr>EX20.2.2</vt:lpstr>
      <vt:lpstr>EX20.3.1</vt:lpstr>
      <vt:lpstr>EX20.3.5</vt:lpstr>
      <vt:lpstr>EX20-PE Metrics</vt:lpstr>
      <vt:lpstr>EX21.5.1</vt:lpstr>
      <vt:lpstr>EX23.1.1</vt:lpstr>
      <vt:lpstr>EX23.2.1</vt:lpstr>
      <vt:lpstr>EX23.3.1</vt:lpstr>
      <vt:lpstr>EX23.3.2</vt:lpstr>
      <vt:lpstr>EX26.2.1</vt:lpstr>
      <vt:lpstr>EX26.6.1</vt:lpstr>
      <vt:lpstr>EX26.6.3</vt:lpstr>
      <vt:lpstr>EX28-Accounting</vt:lpstr>
      <vt:lpstr>EX28-Consensus Model</vt:lpstr>
      <vt:lpstr>EX28-Thesis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Brian Boyer</cp:lastModifiedBy>
  <cp:lastPrinted>2023-10-02T19:10:48Z</cp:lastPrinted>
  <dcterms:created xsi:type="dcterms:W3CDTF">2015-09-02T15:34:26Z</dcterms:created>
  <dcterms:modified xsi:type="dcterms:W3CDTF">2026-01-22T14:51:39Z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0x010100FBD0A339B4036C47A03FA8F4FFF00EBA</vt:lpwstr>
  </property>
</Properties>
</file>